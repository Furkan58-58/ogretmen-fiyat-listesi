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fb8c0590e64e5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Ürünler" sheetId="1" r:id="R60c43b9198934506"/>
    <x:sheet xmlns:r="http://schemas.openxmlformats.org/officeDocument/2006/relationships" name="İndirimler" sheetId="2" r:id="R814afbe31aaa4f61"/>
    <x:sheet xmlns:r="http://schemas.openxmlformats.org/officeDocument/2006/relationships" name="Tasarım" sheetId="3" r:id="R1d94d9b3b2dd415c"/>
    <x:sheet xmlns:r="http://schemas.openxmlformats.org/officeDocument/2006/relationships" name="Kullanım" sheetId="4" r:id="R1e1d1bfeec8d4be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%"/>
    <x:numFmt numFmtId="201" formatCode="@"/>
    <x:numFmt numFmtId="202" formatCode="₺#,##0.00"/>
  </x:numFmts>
  <x:fonts count="6">
    <x:font>
      <x:sz val="11"/>
      <x:name val="Carlito"/>
    </x:font>
    <x:font>
      <x:b/>
      <x:sz val="11"/>
      <x:color rgb="FFFFFFFF"/>
      <x:name val="Carlito"/>
    </x:font>
    <x:font>
      <x:sz val="10"/>
      <x:color rgb="FF17212B"/>
      <x:name val="Carlito"/>
    </x:font>
    <x:font>
      <x:b/>
      <x:sz val="18"/>
      <x:color rgb="FFFFFFFF"/>
      <x:name val="Carlito"/>
    </x:font>
    <x:font>
      <x:b/>
      <x:sz val="11"/>
      <x:color rgb="FF17212B"/>
      <x:name val="Carlito"/>
    </x:font>
    <x:font>
      <x:b/>
      <x:sz val="11"/>
      <x:color rgb="FF173F5F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73F5F"/>
      </x:patternFill>
    </x:fill>
    <x:fill>
      <x:patternFill patternType="solid">
        <x:fgColor rgb="FFFFF4CC"/>
      </x:patternFill>
    </x:fill>
    <x:fill>
      <x:patternFill patternType="solid">
        <x:fgColor rgb="FFE9F8EF"/>
      </x:patternFill>
    </x:fill>
    <x:fill>
      <x:patternFill patternType="solid">
        <x:fgColor rgb="FFF2B134"/>
      </x:patternFill>
    </x:fill>
    <x:fill>
      <x:patternFill patternType="solid">
        <x:fgColor rgb="FFEAF2F7"/>
      </x:patternFill>
    </x:fill>
  </x:fills>
  <x:borders count="7">
    <x:border/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left style="medium">
        <x:color rgb="FF173F5F"/>
      </x:left>
      <x:top style="medium">
        <x:color rgb="FF173F5F"/>
      </x:top>
      <x:bottom style="medium">
        <x:color rgb="FF173F5F"/>
      </x:bottom>
    </x:border>
    <x:border>
      <x:top style="medium">
        <x:color rgb="FF173F5F"/>
      </x:top>
      <x:bottom style="medium">
        <x:color rgb="FF173F5F"/>
      </x:bottom>
    </x:border>
    <x:border>
      <x:right style="medium">
        <x:color rgb="FF173F5F"/>
      </x:right>
      <x:top style="medium">
        <x:color rgb="FF173F5F"/>
      </x:top>
      <x:bottom style="medium">
        <x:color rgb="FF173F5F"/>
      </x:bottom>
    </x:border>
  </x:borders>
  <x:cellStyleXfs count="1">
    <x:xf numFmtId="0" fontId="0" fillId="0" borderId="0"/>
  </x:cellStyleXfs>
  <x:cellXfs count="6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1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/>
    </x:xf>
    <x:xf numFmtId="0" fontId="0" fillId="0" borderId="3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vertical="center"/>
    </x:xf>
    <x:xf numFmtId="0" fontId="0" fillId="3" borderId="2" xfId="0" applyNumberFormat="1" applyFont="1" applyFill="1" applyBorder="1" applyAlignment="1">
      <x:alignment vertical="center"/>
    </x:xf>
    <x:xf numFmtId="0" fontId="0" fillId="3" borderId="3" xfId="0" applyNumberFormat="1" applyFont="1" applyFill="1" applyBorder="1" applyAlignment="1">
      <x:alignment vertical="center"/>
    </x:xf>
    <x:xf numFmtId="200" fontId="0" fillId="3" borderId="1" xfId="0" applyNumberFormat="1" applyFont="1" applyFill="1" applyBorder="1" applyAlignment="1">
      <x:alignment vertical="center"/>
    </x:xf>
    <x:xf numFmtId="200" fontId="0" fillId="3" borderId="2" xfId="0" applyNumberFormat="1" applyFont="1" applyFill="1" applyBorder="1" applyAlignment="1">
      <x:alignment vertical="center"/>
    </x:xf>
    <x:xf numFmtId="200" fontId="0" fillId="3" borderId="3" xfId="0" applyNumberFormat="1" applyFont="1" applyFill="1" applyBorder="1" applyAlignment="1">
      <x:alignment vertical="center"/>
    </x:xf>
    <x:xf numFmtId="200" fontId="0" fillId="3" borderId="1" xfId="0" applyNumberFormat="1" applyFont="1" applyFill="1" applyBorder="1" applyAlignment="1">
      <x:alignment horizontal="center" vertical="center"/>
    </x:xf>
    <x:xf numFmtId="200" fontId="0" fillId="3" borderId="2" xfId="0" applyNumberFormat="1" applyFont="1" applyFill="1" applyBorder="1" applyAlignment="1">
      <x:alignment horizontal="center" vertical="center"/>
    </x:xf>
    <x:xf numFmtId="200" fontId="0" fillId="3" borderId="3" xfId="0" applyNumberFormat="1" applyFont="1" applyFill="1" applyBorder="1" applyAlignment="1">
      <x:alignment horizontal="center" vertical="center"/>
    </x:xf>
    <x:xf numFmtId="0" fontId="1" fillId="2" borderId="4" xfId="0" applyNumberFormat="1" applyFont="1" applyFill="1" applyBorder="1"/>
    <x:xf numFmtId="0" fontId="1" fillId="2" borderId="5" xfId="0" applyNumberFormat="1" applyFont="1" applyFill="1" applyBorder="1"/>
    <x:xf numFmtId="0" fontId="1" fillId="2" borderId="6" xfId="0" applyNumberFormat="1" applyFont="1" applyFill="1" applyBorder="1"/>
    <x:xf numFmtId="0" fontId="1" fillId="2" borderId="4" xfId="0" applyNumberFormat="1" applyFont="1" applyFill="1" applyBorder="1" applyAlignment="1">
      <x:alignment wrapText="1"/>
    </x:xf>
    <x:xf numFmtId="0" fontId="1" fillId="2" borderId="5" xfId="0" applyNumberFormat="1" applyFont="1" applyFill="1" applyBorder="1" applyAlignment="1">
      <x:alignment wrapText="1"/>
    </x:xf>
    <x:xf numFmtId="0" fontId="1" fillId="2" borderId="6" xfId="0" applyNumberFormat="1" applyFont="1" applyFill="1" applyBorder="1" applyAlignment="1">
      <x:alignment wrapText="1"/>
    </x:xf>
    <x:xf numFmtId="0" fontId="1" fillId="2" borderId="4" xfId="0" applyNumberFormat="1" applyFont="1" applyFill="1" applyBorder="1" applyAlignment="1">
      <x:alignment horizontal="center" wrapText="1"/>
    </x:xf>
    <x:xf numFmtId="0" fontId="1" fillId="2" borderId="5" xfId="0" applyNumberFormat="1" applyFont="1" applyFill="1" applyBorder="1" applyAlignment="1">
      <x:alignment horizontal="center" wrapText="1"/>
    </x:xf>
    <x:xf numFmtId="0" fontId="1" fillId="2" borderId="6" xfId="0" applyNumberFormat="1" applyFont="1" applyFill="1" applyBorder="1" applyAlignment="1">
      <x:alignment horizontal="center" wrapText="1"/>
    </x:xf>
    <x:xf numFmtId="0" fontId="1" fillId="2" borderId="4" xfId="0" applyNumberFormat="1" applyFont="1" applyFill="1" applyBorder="1" applyAlignment="1">
      <x:alignment horizontal="center" vertical="center" wrapText="1"/>
    </x:xf>
    <x:xf numFmtId="0" fontId="1" fillId="2" borderId="5" xfId="0" applyNumberFormat="1" applyFont="1" applyFill="1" applyBorder="1" applyAlignment="1">
      <x:alignment horizontal="center" vertical="center" wrapText="1"/>
    </x:xf>
    <x:xf numFmtId="0" fontId="1" fillId="2" borderId="6" xfId="0" applyNumberFormat="1" applyFont="1" applyFill="1" applyBorder="1" applyAlignment="1">
      <x:alignment horizontal="center" vertical="center" wrapText="1"/>
    </x:xf>
    <x:xf numFmtId="0" fontId="2" fillId="0" borderId="0" xfId="0" applyNumberFormat="1" applyFont="1" applyFill="1" applyBorder="1"/>
    <x:xf numFmtId="0" fontId="2" fillId="0" borderId="1" xfId="0" applyNumberFormat="1" applyFont="1" applyFill="1" applyBorder="1"/>
    <x:xf numFmtId="0" fontId="2" fillId="0" borderId="2" xfId="0" applyNumberFormat="1" applyFont="1" applyFill="1" applyBorder="1"/>
    <x:xf numFmtId="0" fontId="2" fillId="0" borderId="3" xfId="0" applyNumberFormat="1" applyFont="1" applyFill="1" applyBorder="1"/>
    <x:xf numFmtId="0" fontId="2" fillId="0" borderId="1" xfId="0" applyNumberFormat="1" applyFont="1" applyFill="1" applyBorder="1" applyAlignment="1">
      <x:alignment vertical="center"/>
    </x:xf>
    <x:xf numFmtId="0" fontId="2" fillId="0" borderId="2" xfId="0" applyNumberFormat="1" applyFont="1" applyFill="1" applyBorder="1" applyAlignment="1">
      <x:alignment vertical="center"/>
    </x:xf>
    <x:xf numFmtId="0" fontId="2" fillId="0" borderId="3" xfId="0" applyNumberFormat="1" applyFont="1" applyFill="1" applyBorder="1" applyAlignment="1">
      <x:alignment vertical="center"/>
    </x:xf>
    <x:xf numFmtId="201" fontId="2" fillId="0" borderId="1" xfId="0" applyNumberFormat="1" applyFont="1" applyFill="1" applyBorder="1" applyAlignment="1">
      <x:alignment vertical="center"/>
    </x:xf>
    <x:xf numFmtId="201" fontId="2" fillId="0" borderId="2" xfId="0" applyNumberFormat="1" applyFont="1" applyFill="1" applyBorder="1" applyAlignment="1">
      <x:alignment vertical="center"/>
    </x:xf>
    <x:xf numFmtId="201" fontId="2" fillId="0" borderId="3" xfId="0" applyNumberFormat="1" applyFont="1" applyFill="1" applyBorder="1" applyAlignment="1">
      <x:alignment vertical="center"/>
    </x:xf>
    <x:xf numFmtId="202" fontId="2" fillId="0" borderId="1" xfId="0" applyNumberFormat="1" applyFont="1" applyFill="1" applyBorder="1" applyAlignment="1">
      <x:alignment vertical="center"/>
    </x:xf>
    <x:xf numFmtId="202" fontId="2" fillId="0" borderId="2" xfId="0" applyNumberFormat="1" applyFont="1" applyFill="1" applyBorder="1" applyAlignment="1">
      <x:alignment vertical="center"/>
    </x:xf>
    <x:xf numFmtId="202" fontId="2" fillId="0" borderId="3" xfId="0" applyNumberFormat="1" applyFont="1" applyFill="1" applyBorder="1" applyAlignment="1">
      <x:alignment vertical="center"/>
    </x:xf>
    <x:xf numFmtId="202" fontId="2" fillId="3" borderId="1" xfId="0" applyNumberFormat="1" applyFont="1" applyFill="1" applyBorder="1" applyAlignment="1">
      <x:alignment vertical="center"/>
    </x:xf>
    <x:xf numFmtId="202" fontId="2" fillId="3" borderId="2" xfId="0" applyNumberFormat="1" applyFont="1" applyFill="1" applyBorder="1" applyAlignment="1">
      <x:alignment vertical="center"/>
    </x:xf>
    <x:xf numFmtId="202" fontId="2" fillId="3" borderId="3" xfId="0" applyNumberFormat="1" applyFont="1" applyFill="1" applyBorder="1" applyAlignment="1">
      <x:alignment vertical="center"/>
    </x:xf>
    <x:xf numFmtId="202" fontId="2" fillId="4" borderId="1" xfId="0" applyNumberFormat="1" applyFont="1" applyFill="1" applyBorder="1" applyAlignment="1">
      <x:alignment vertical="center"/>
    </x:xf>
    <x:xf numFmtId="202" fontId="2" fillId="4" borderId="2" xfId="0" applyNumberFormat="1" applyFont="1" applyFill="1" applyBorder="1" applyAlignment="1">
      <x:alignment vertical="center"/>
    </x:xf>
    <x:xf numFmtId="202" fontId="2" fillId="4" borderId="3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4" fillId="5" borderId="0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5" fillId="6" borderId="0" xfId="0" applyNumberFormat="1" applyFont="1" applyFill="1" applyBorder="1"/>
    <x:xf numFmtId="0" fontId="0" fillId="3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67efde5c434aa1" /><Relationship Type="http://schemas.openxmlformats.org/officeDocument/2006/relationships/theme" Target="/xl/theme/theme1.xml" Id="R90dbbd1737804377" /><Relationship Type="http://schemas.openxmlformats.org/officeDocument/2006/relationships/sharedStrings" Target="/xl/sharedStrings.xml" Id="Ra77cbcd380684ceb" /><Relationship Type="http://schemas.openxmlformats.org/officeDocument/2006/relationships/worksheet" Target="/xl/worksheets/sheet1.xml" Id="R60c43b9198934506" /><Relationship Type="http://schemas.openxmlformats.org/officeDocument/2006/relationships/worksheet" Target="/xl/worksheets/sheet2.xml" Id="R814afbe31aaa4f61" /><Relationship Type="http://schemas.openxmlformats.org/officeDocument/2006/relationships/worksheet" Target="/xl/worksheets/sheet3.xml" Id="R1d94d9b3b2dd415c" /><Relationship Type="http://schemas.openxmlformats.org/officeDocument/2006/relationships/worksheet" Target="/xl/worksheets/sheet4.xml" Id="R1e1d1bfeec8d4be7" /></Relationships>
</file>

<file path=xl/tables/table1.xml><?xml version="1.0" encoding="utf-8"?>
<x:table xmlns:x="http://schemas.openxmlformats.org/spreadsheetml/2006/main" id="2" name="UrunlerTablosu" displayName="UrunlerTablosu" ref="A1:J508" headerRowCount="1" totalsRowCount="0" totalsRowShown="0">
  <x:autoFilter ref="A1:J508"/>
  <x:tableColumns count="10">
    <x:tableColumn id="1" name="Barkod"/>
    <x:tableColumn id="2" name="Yayın"/>
    <x:tableColumn id="3" name="Sınıf"/>
    <x:tableColumn id="4" name="Ders"/>
    <x:tableColumn id="5" name="Genel Tür"/>
    <x:tableColumn id="6" name="Tür"/>
    <x:tableColumn id="7" name="Fiyat"/>
    <x:tableColumn id="8" name="İnd"/>
    <x:tableColumn id="9" name="Toplu"/>
    <x:tableColumn id="10" name="Tanıtım Linki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IndirimlerTablosu" displayName="IndirimlerTablosu" ref="A1:D110" headerRowCount="1" totalsRowCount="0" totalsRowShown="0">
  <x:tableColumns count="4">
    <x:tableColumn id="1" name="Yayın"/>
    <x:tableColumn id="2" name="Sınıf"/>
    <x:tableColumn id="3" name="Tekli İndirim %"/>
    <x:tableColumn id="4" name="Toplu İndirim %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a5ea9e4dd2b44a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30f867c27463419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28" hidden="0" customWidth="1"/>
    <x:col min="3" max="3" width="16" hidden="0" customWidth="1"/>
    <x:col min="4" max="4" width="25" hidden="0" customWidth="1"/>
    <x:col min="5" max="5" width="28" hidden="0" customWidth="1"/>
    <x:col min="6" max="6" width="20" hidden="0" customWidth="1"/>
    <x:col min="7" max="7" width="14" hidden="0" customWidth="1"/>
    <x:col min="8" max="8" width="14" hidden="0" customWidth="1"/>
    <x:col min="9" max="9" width="14" hidden="0" customWidth="1"/>
    <x:col min="10" max="10" width="42" hidden="0" customWidth="1"/>
  </x:cols>
  <x:sheetData>
    <x:row r="1" ht="34" customHeight="1">
      <x:c r="A1" s="29" t="str">
        <x:v>Barkod</x:v>
      </x:c>
      <x:c r="B1" s="30" t="str">
        <x:v>Yayın</x:v>
      </x:c>
      <x:c r="C1" s="30" t="str">
        <x:v>Sınıf</x:v>
      </x:c>
      <x:c r="D1" s="30" t="str">
        <x:v>Ders</x:v>
      </x:c>
      <x:c r="E1" s="30" t="str">
        <x:v>Genel Tür</x:v>
      </x:c>
      <x:c r="F1" s="30" t="str">
        <x:v>Tür</x:v>
      </x:c>
      <x:c r="G1" s="30" t="str">
        <x:v>Fiyat</x:v>
      </x:c>
      <x:c r="H1" s="30" t="str">
        <x:v>İnd</x:v>
      </x:c>
      <x:c r="I1" s="30" t="str">
        <x:v>Toplu</x:v>
      </x:c>
      <x:c r="J1" s="31" t="str">
        <x:v>Tanıtım Linki</x:v>
      </x:c>
    </x:row>
    <x:row r="2" ht="22" customHeight="1">
      <x:c r="A2" s="39" t="str">
        <x:v>9786256648630</x:v>
      </x:c>
      <x:c r="B2" s="36" t="str">
        <x:v>Apotemi Yayınları</x:v>
      </x:c>
      <x:c r="C2" s="36" t="str">
        <x:v>Maarif TYT</x:v>
      </x:c>
      <x:c r="D2" s="36" t="str">
        <x:v>Türkçe</x:v>
      </x:c>
      <x:c r="E2" s="36" t="str">
        <x:v>Paragraf</x:v>
      </x:c>
      <x:c r="F2" s="36" t="str">
        <x:v>Soru Bankası</x:v>
      </x:c>
      <x:c r="G2" s="42" t="n">
        <x:v>509</x:v>
      </x:c>
      <x:c r="H2" s="45" t="str">
        <x:f>IF(SUMIFS('İndirimler'!$C$2:$C$110,'İndirimler'!$A$2:$A$110,B2,'İndirimler'!$B$2:$B$110,C2)&gt;0,ROUND(G2*(1-SUMIFS('İndirimler'!$C$2:$C$110,'İndirimler'!$A$2:$A$110,B2,'İndirimler'!$B$2:$B$110,C2)),2),"")</x:f>
      </x:c>
      <x:c r="I2" s="48" t="str">
        <x:f>IF(SUMIFS('İndirimler'!$D$2:$D$110,'İndirimler'!$A$2:$A$110,B2,'İndirimler'!$B$2:$B$110,C2)&gt;0,ROUND(G2*(1-SUMIFS('İndirimler'!$D$2:$D$110,'İndirimler'!$A$2:$A$110,B2,'İndirimler'!$B$2:$B$110,C2)),2),"")</x:f>
      </x:c>
      <x:c r="J2" s="36"/>
    </x:row>
    <x:row r="3" ht="22" customHeight="1">
      <x:c r="A3" s="40" t="str">
        <x:v>9786256712614</x:v>
      </x:c>
      <x:c r="B3" s="37" t="str">
        <x:v>Bilgi Sarmal Yayınları</x:v>
      </x:c>
      <x:c r="C3" s="37" t="str">
        <x:v>Maarif TYT</x:v>
      </x:c>
      <x:c r="D3" s="37" t="str">
        <x:v>Türkçe</x:v>
      </x:c>
      <x:c r="E3" s="37"/>
      <x:c r="F3" s="37" t="str">
        <x:v>Soru Bankası</x:v>
      </x:c>
      <x:c r="G3" s="43" t="n">
        <x:v>539</x:v>
      </x:c>
      <x:c r="H3" s="46" t="str">
        <x:f>IF(SUMIFS('İndirimler'!$C$2:$C$110,'İndirimler'!$A$2:$A$110,B3,'İndirimler'!$B$2:$B$110,C3)&gt;0,ROUND(G3*(1-SUMIFS('İndirimler'!$C$2:$C$110,'İndirimler'!$A$2:$A$110,B3,'İndirimler'!$B$2:$B$110,C3)),2),"")</x:f>
      </x:c>
      <x:c r="I3" s="49" t="str">
        <x:f>IF(SUMIFS('İndirimler'!$D$2:$D$110,'İndirimler'!$A$2:$A$110,B3,'İndirimler'!$B$2:$B$110,C3)&gt;0,ROUND(G3*(1-SUMIFS('İndirimler'!$D$2:$D$110,'İndirimler'!$A$2:$A$110,B3,'İndirimler'!$B$2:$B$110,C3)),2),"")</x:f>
      </x:c>
      <x:c r="J3" s="37"/>
    </x:row>
    <x:row r="4" ht="22" customHeight="1">
      <x:c r="A4" s="40" t="str">
        <x:v>9786259206219</x:v>
      </x:c>
      <x:c r="B4" s="37" t="str">
        <x:v>Edebiyat Sokağı Yayınları</x:v>
      </x:c>
      <x:c r="C4" s="37" t="str">
        <x:v>Maarif TYT</x:v>
      </x:c>
      <x:c r="D4" s="37" t="str">
        <x:v>Türkçe</x:v>
      </x:c>
      <x:c r="E4" s="37" t="str">
        <x:v>Paragraf</x:v>
      </x:c>
      <x:c r="F4" s="37" t="str">
        <x:v>Soru Bankası</x:v>
      </x:c>
      <x:c r="G4" s="43" t="n">
        <x:v>369</x:v>
      </x:c>
      <x:c r="H4" s="46" t="str">
        <x:f>IF(SUMIFS('İndirimler'!$C$2:$C$110,'İndirimler'!$A$2:$A$110,B4,'İndirimler'!$B$2:$B$110,C4)&gt;0,ROUND(G4*(1-SUMIFS('İndirimler'!$C$2:$C$110,'İndirimler'!$A$2:$A$110,B4,'İndirimler'!$B$2:$B$110,C4)),2),"")</x:f>
      </x:c>
      <x:c r="I4" s="49" t="str">
        <x:f>IF(SUMIFS('İndirimler'!$D$2:$D$110,'İndirimler'!$A$2:$A$110,B4,'İndirimler'!$B$2:$B$110,C4)&gt;0,ROUND(G4*(1-SUMIFS('İndirimler'!$D$2:$D$110,'İndirimler'!$A$2:$A$110,B4,'İndirimler'!$B$2:$B$110,C4)),2),"")</x:f>
      </x:c>
      <x:c r="J4" s="37"/>
    </x:row>
    <x:row r="5" ht="22" customHeight="1">
      <x:c r="A5" s="40" t="str">
        <x:v>9786052758861</x:v>
      </x:c>
      <x:c r="B5" s="37" t="str">
        <x:v>Limit</x:v>
      </x:c>
      <x:c r="C5" s="37" t="str">
        <x:v>Maarif TYT</x:v>
      </x:c>
      <x:c r="D5" s="37" t="str">
        <x:v>Türkçe</x:v>
      </x:c>
      <x:c r="E5" s="37"/>
      <x:c r="F5" s="37" t="str">
        <x:v>Soru Bankası</x:v>
      </x:c>
      <x:c r="G5" s="43" t="n">
        <x:v>480</x:v>
      </x:c>
      <x:c r="H5" s="46" t="str">
        <x:f>IF(SUMIFS('İndirimler'!$C$2:$C$110,'İndirimler'!$A$2:$A$110,B5,'İndirimler'!$B$2:$B$110,C5)&gt;0,ROUND(G5*(1-SUMIFS('İndirimler'!$C$2:$C$110,'İndirimler'!$A$2:$A$110,B5,'İndirimler'!$B$2:$B$110,C5)),2),"")</x:f>
      </x:c>
      <x:c r="I5" s="49" t="str">
        <x:f>IF(SUMIFS('İndirimler'!$D$2:$D$110,'İndirimler'!$A$2:$A$110,B5,'İndirimler'!$B$2:$B$110,C5)&gt;0,ROUND(G5*(1-SUMIFS('İndirimler'!$D$2:$D$110,'İndirimler'!$A$2:$A$110,B5,'İndirimler'!$B$2:$B$110,C5)),2),"")</x:f>
      </x:c>
      <x:c r="J5" s="37"/>
    </x:row>
    <x:row r="6" ht="22" customHeight="1">
      <x:c r="A6" s="40" t="str">
        <x:v>ORNEK00000257</x:v>
      </x:c>
      <x:c r="B6" s="37" t="str">
        <x:v>Mikro Orijinal Yayınları</x:v>
      </x:c>
      <x:c r="C6" s="37" t="str">
        <x:v>Maarif TYT</x:v>
      </x:c>
      <x:c r="D6" s="37" t="str">
        <x:v>Türkçe</x:v>
      </x:c>
      <x:c r="E6" s="37" t="str">
        <x:v>Dil Bilgisi</x:v>
      </x:c>
      <x:c r="F6" s="37" t="str">
        <x:v>Soru Bankası</x:v>
      </x:c>
      <x:c r="G6" s="43" t="n">
        <x:v>500</x:v>
      </x:c>
      <x:c r="H6" s="46" t="str">
        <x:f>IF(SUMIFS('İndirimler'!$C$2:$C$110,'İndirimler'!$A$2:$A$110,B6,'İndirimler'!$B$2:$B$110,C6)&gt;0,ROUND(G6*(1-SUMIFS('İndirimler'!$C$2:$C$110,'İndirimler'!$A$2:$A$110,B6,'İndirimler'!$B$2:$B$110,C6)),2),"")</x:f>
      </x:c>
      <x:c r="I6" s="49" t="str">
        <x:f>IF(SUMIFS('İndirimler'!$D$2:$D$110,'İndirimler'!$A$2:$A$110,B6,'İndirimler'!$B$2:$B$110,C6)&gt;0,ROUND(G6*(1-SUMIFS('İndirimler'!$D$2:$D$110,'İndirimler'!$A$2:$A$110,B6,'İndirimler'!$B$2:$B$110,C6)),2),"")</x:f>
      </x:c>
      <x:c r="J6" s="37"/>
    </x:row>
    <x:row r="7" ht="22" customHeight="1">
      <x:c r="A7" s="40" t="str">
        <x:v>ORNEK00000263</x:v>
      </x:c>
      <x:c r="B7" s="37" t="str">
        <x:v>Mikro Orijinal Yayınları</x:v>
      </x:c>
      <x:c r="C7" s="37" t="str">
        <x:v>Maarif TYT</x:v>
      </x:c>
      <x:c r="D7" s="37" t="str">
        <x:v>Türkçe</x:v>
      </x:c>
      <x:c r="E7" s="37" t="str">
        <x:v>Mikro</x:v>
      </x:c>
      <x:c r="F7" s="37" t="str">
        <x:v>Soru Bankası</x:v>
      </x:c>
      <x:c r="G7" s="43" t="n">
        <x:v>500</x:v>
      </x:c>
      <x:c r="H7" s="46" t="str">
        <x:f>IF(SUMIFS('İndirimler'!$C$2:$C$110,'İndirimler'!$A$2:$A$110,B7,'İndirimler'!$B$2:$B$110,C7)&gt;0,ROUND(G7*(1-SUMIFS('İndirimler'!$C$2:$C$110,'İndirimler'!$A$2:$A$110,B7,'İndirimler'!$B$2:$B$110,C7)),2),"")</x:f>
      </x:c>
      <x:c r="I7" s="49" t="str">
        <x:f>IF(SUMIFS('İndirimler'!$D$2:$D$110,'İndirimler'!$A$2:$A$110,B7,'İndirimler'!$B$2:$B$110,C7)&gt;0,ROUND(G7*(1-SUMIFS('İndirimler'!$D$2:$D$110,'İndirimler'!$A$2:$A$110,B7,'İndirimler'!$B$2:$B$110,C7)),2),"")</x:f>
      </x:c>
      <x:c r="J7" s="37"/>
    </x:row>
    <x:row r="8" ht="22" customHeight="1">
      <x:c r="A8" s="40" t="str">
        <x:v>9786255708427</x:v>
      </x:c>
      <x:c r="B8" s="37" t="str">
        <x:v>Mikro Orijinal Yayınları</x:v>
      </x:c>
      <x:c r="C8" s="37" t="str">
        <x:v>Maarif TYT</x:v>
      </x:c>
      <x:c r="D8" s="37" t="str">
        <x:v>Türkçe</x:v>
      </x:c>
      <x:c r="E8" s="37" t="str">
        <x:v>Yazım ve Noktalama</x:v>
      </x:c>
      <x:c r="F8" s="37" t="str">
        <x:v>Soru Bankası</x:v>
      </x:c>
      <x:c r="G8" s="43" t="n">
        <x:v>219</x:v>
      </x:c>
      <x:c r="H8" s="46" t="str">
        <x:f>IF(SUMIFS('İndirimler'!$C$2:$C$110,'İndirimler'!$A$2:$A$110,B8,'İndirimler'!$B$2:$B$110,C8)&gt;0,ROUND(G8*(1-SUMIFS('İndirimler'!$C$2:$C$110,'İndirimler'!$A$2:$A$110,B8,'İndirimler'!$B$2:$B$110,C8)),2),"")</x:f>
      </x:c>
      <x:c r="I8" s="49" t="str">
        <x:f>IF(SUMIFS('İndirimler'!$D$2:$D$110,'İndirimler'!$A$2:$A$110,B8,'İndirimler'!$B$2:$B$110,C8)&gt;0,ROUND(G8*(1-SUMIFS('İndirimler'!$D$2:$D$110,'İndirimler'!$A$2:$A$110,B8,'İndirimler'!$B$2:$B$110,C8)),2),"")</x:f>
      </x:c>
      <x:c r="J8" s="37"/>
    </x:row>
    <x:row r="9" ht="22" customHeight="1">
      <x:c r="A9" s="40" t="str">
        <x:v>9786259205748</x:v>
      </x:c>
      <x:c r="B9" s="37" t="str">
        <x:v>Ulti Yayınları</x:v>
      </x:c>
      <x:c r="C9" s="37" t="str">
        <x:v>9. Sınıf</x:v>
      </x:c>
      <x:c r="D9" s="37" t="str">
        <x:v>Türk Dili ve Edebiyatı</x:v>
      </x:c>
      <x:c r="E9" s="37"/>
      <x:c r="F9" s="37" t="str">
        <x:v>Fasikül Set</x:v>
      </x:c>
      <x:c r="G9" s="43" t="n">
        <x:v>549</x:v>
      </x:c>
      <x:c r="H9" s="46" t="str">
        <x:f>IF(SUMIFS('İndirimler'!$C$2:$C$110,'İndirimler'!$A$2:$A$110,B9,'İndirimler'!$B$2:$B$110,C9)&gt;0,ROUND(G9*(1-SUMIFS('İndirimler'!$C$2:$C$110,'İndirimler'!$A$2:$A$110,B9,'İndirimler'!$B$2:$B$110,C9)),2),"")</x:f>
      </x:c>
      <x:c r="I9" s="49" t="str">
        <x:f>IF(SUMIFS('İndirimler'!$D$2:$D$110,'İndirimler'!$A$2:$A$110,B9,'İndirimler'!$B$2:$B$110,C9)&gt;0,ROUND(G9*(1-SUMIFS('İndirimler'!$D$2:$D$110,'İndirimler'!$A$2:$A$110,B9,'İndirimler'!$B$2:$B$110,C9)),2),"")</x:f>
      </x:c>
      <x:c r="J9" s="37"/>
    </x:row>
    <x:row r="10" ht="22" customHeight="1">
      <x:c r="A10" s="40" t="str">
        <x:v>9786256040229</x:v>
      </x:c>
      <x:c r="B10" s="37" t="str">
        <x:v>Çap Yayınları</x:v>
      </x:c>
      <x:c r="C10" s="37" t="str">
        <x:v>9. Sınıf</x:v>
      </x:c>
      <x:c r="D10" s="37" t="str">
        <x:v>Türk Dili ve Edebiyatı</x:v>
      </x:c>
      <x:c r="E10" s="37"/>
      <x:c r="F10" s="37" t="str">
        <x:v>Fasikül Set</x:v>
      </x:c>
      <x:c r="G10" s="43" t="n">
        <x:v>565</x:v>
      </x:c>
      <x:c r="H10" s="46" t="str">
        <x:f>IF(SUMIFS('İndirimler'!$C$2:$C$110,'İndirimler'!$A$2:$A$110,B10,'İndirimler'!$B$2:$B$110,C10)&gt;0,ROUND(G10*(1-SUMIFS('İndirimler'!$C$2:$C$110,'İndirimler'!$A$2:$A$110,B10,'İndirimler'!$B$2:$B$110,C10)),2),"")</x:f>
      </x:c>
      <x:c r="I10" s="49" t="str">
        <x:f>IF(SUMIFS('İndirimler'!$D$2:$D$110,'İndirimler'!$A$2:$A$110,B10,'İndirimler'!$B$2:$B$110,C10)&gt;0,ROUND(G10*(1-SUMIFS('İndirimler'!$D$2:$D$110,'İndirimler'!$A$2:$A$110,B10,'İndirimler'!$B$2:$B$110,C10)),2),"")</x:f>
      </x:c>
      <x:c r="J10" s="37"/>
    </x:row>
    <x:row r="11" ht="22" customHeight="1">
      <x:c r="A11" s="40" t="str">
        <x:v>ORNEK00000036</x:v>
      </x:c>
      <x:c r="B11" s="37" t="str">
        <x:v>Bilgi Sarmal Yayınları</x:v>
      </x:c>
      <x:c r="C11" s="37" t="str">
        <x:v>9. Sınıf</x:v>
      </x:c>
      <x:c r="D11" s="37" t="str">
        <x:v>Türk Dili ve Edebiyatı</x:v>
      </x:c>
      <x:c r="E11" s="37" t="str">
        <x:v>Tema</x:v>
      </x:c>
      <x:c r="F11" s="37" t="str">
        <x:v>Konu Anlatımlı</x:v>
      </x:c>
      <x:c r="G11" s="43" t="n">
        <x:v>500</x:v>
      </x:c>
      <x:c r="H11" s="46" t="str">
        <x:f>IF(SUMIFS('İndirimler'!$C$2:$C$110,'İndirimler'!$A$2:$A$110,B11,'İndirimler'!$B$2:$B$110,C11)&gt;0,ROUND(G11*(1-SUMIFS('İndirimler'!$C$2:$C$110,'İndirimler'!$A$2:$A$110,B11,'İndirimler'!$B$2:$B$110,C11)),2),"")</x:f>
      </x:c>
      <x:c r="I11" s="49" t="str">
        <x:f>IF(SUMIFS('İndirimler'!$D$2:$D$110,'İndirimler'!$A$2:$A$110,B11,'İndirimler'!$B$2:$B$110,C11)&gt;0,ROUND(G11*(1-SUMIFS('İndirimler'!$D$2:$D$110,'İndirimler'!$A$2:$A$110,B11,'İndirimler'!$B$2:$B$110,C11)),2),"")</x:f>
      </x:c>
      <x:c r="J11" s="37"/>
    </x:row>
    <x:row r="12" ht="22" customHeight="1">
      <x:c r="A12" s="40" t="str">
        <x:v>9786256630413</x:v>
      </x:c>
      <x:c r="B12" s="37" t="str">
        <x:v>Eğitim Vadisi</x:v>
      </x:c>
      <x:c r="C12" s="37" t="str">
        <x:v>9. Sınıf</x:v>
      </x:c>
      <x:c r="D12" s="37" t="str">
        <x:v>Türk Dili ve Edebiyatı</x:v>
      </x:c>
      <x:c r="E12" s="37" t="str">
        <x:v>TAK Tam Anlatım Kitabı</x:v>
      </x:c>
      <x:c r="F12" s="37" t="str">
        <x:v>Konu Anlatımlı</x:v>
      </x:c>
      <x:c r="G12" s="43" t="n">
        <x:v>428</x:v>
      </x:c>
      <x:c r="H12" s="46" t="str">
        <x:f>IF(SUMIFS('İndirimler'!$C$2:$C$110,'İndirimler'!$A$2:$A$110,B12,'İndirimler'!$B$2:$B$110,C12)&gt;0,ROUND(G12*(1-SUMIFS('İndirimler'!$C$2:$C$110,'İndirimler'!$A$2:$A$110,B12,'İndirimler'!$B$2:$B$110,C12)),2),"")</x:f>
      </x:c>
      <x:c r="I12" s="49" t="str">
        <x:f>IF(SUMIFS('İndirimler'!$D$2:$D$110,'İndirimler'!$A$2:$A$110,B12,'İndirimler'!$B$2:$B$110,C12)&gt;0,ROUND(G12*(1-SUMIFS('İndirimler'!$D$2:$D$110,'İndirimler'!$A$2:$A$110,B12,'İndirimler'!$B$2:$B$110,C12)),2),"")</x:f>
      </x:c>
      <x:c r="J12" s="37" t="str">
        <x:v>https://app.karakok.net/spShowFlip/1546</x:v>
      </x:c>
    </x:row>
    <x:row r="13" ht="22" customHeight="1">
      <x:c r="A13" s="40" t="str">
        <x:v>9786052756713</x:v>
      </x:c>
      <x:c r="B13" s="37" t="str">
        <x:v>Limit</x:v>
      </x:c>
      <x:c r="C13" s="37" t="str">
        <x:v>9. Sınıf</x:v>
      </x:c>
      <x:c r="D13" s="37" t="str">
        <x:v>Türk Dili ve Edebiyatı</x:v>
      </x:c>
      <x:c r="E13" s="37"/>
      <x:c r="F13" s="37" t="str">
        <x:v>Konu Anlatımlı</x:v>
      </x:c>
      <x:c r="G13" s="43" t="n">
        <x:v>669</x:v>
      </x:c>
      <x:c r="H13" s="46" t="str">
        <x:f>IF(SUMIFS('İndirimler'!$C$2:$C$110,'İndirimler'!$A$2:$A$110,B13,'İndirimler'!$B$2:$B$110,C13)&gt;0,ROUND(G13*(1-SUMIFS('İndirimler'!$C$2:$C$110,'İndirimler'!$A$2:$A$110,B13,'İndirimler'!$B$2:$B$110,C13)),2),"")</x:f>
      </x:c>
      <x:c r="I13" s="49" t="str">
        <x:f>IF(SUMIFS('İndirimler'!$D$2:$D$110,'İndirimler'!$A$2:$A$110,B13,'İndirimler'!$B$2:$B$110,C13)&gt;0,ROUND(G13*(1-SUMIFS('İndirimler'!$D$2:$D$110,'İndirimler'!$A$2:$A$110,B13,'İndirimler'!$B$2:$B$110,C13)),2),"")</x:f>
      </x:c>
      <x:c r="J13" s="37"/>
    </x:row>
    <x:row r="14" ht="22" customHeight="1">
      <x:c r="A14" s="40" t="str">
        <x:v>9786256412958</x:v>
      </x:c>
      <x:c r="B14" s="37" t="str">
        <x:v>Miray</x:v>
      </x:c>
      <x:c r="C14" s="37" t="str">
        <x:v>9. Sınıf</x:v>
      </x:c>
      <x:c r="D14" s="37" t="str">
        <x:v>Türk Dili ve Edebiyatı</x:v>
      </x:c>
      <x:c r="E14" s="37" t="str">
        <x:v>Ders Anlatım Fasikülleri</x:v>
      </x:c>
      <x:c r="F14" s="37" t="str">
        <x:v>Konu Anlatımlı</x:v>
      </x:c>
      <x:c r="G14" s="43" t="n">
        <x:v>800</x:v>
      </x:c>
      <x:c r="H14" s="46" t="str">
        <x:f>IF(SUMIFS('İndirimler'!$C$2:$C$110,'İndirimler'!$A$2:$A$110,B14,'İndirimler'!$B$2:$B$110,C14)&gt;0,ROUND(G14*(1-SUMIFS('İndirimler'!$C$2:$C$110,'İndirimler'!$A$2:$A$110,B14,'İndirimler'!$B$2:$B$110,C14)),2),"")</x:f>
      </x:c>
      <x:c r="I14" s="49" t="str">
        <x:f>IF(SUMIFS('İndirimler'!$D$2:$D$110,'İndirimler'!$A$2:$A$110,B14,'İndirimler'!$B$2:$B$110,C14)&gt;0,ROUND(G14*(1-SUMIFS('İndirimler'!$D$2:$D$110,'İndirimler'!$A$2:$A$110,B14,'İndirimler'!$B$2:$B$110,C14)),2),"")</x:f>
      </x:c>
      <x:c r="J14" s="37"/>
    </x:row>
    <x:row r="15" ht="22" customHeight="1">
      <x:c r="A15" s="40" t="str">
        <x:v>9786259981284</x:v>
      </x:c>
      <x:c r="B15" s="37" t="str">
        <x:v>Süre Yayınları</x:v>
      </x:c>
      <x:c r="C15" s="37" t="str">
        <x:v>9. Sınıf</x:v>
      </x:c>
      <x:c r="D15" s="37" t="str">
        <x:v>Türk Dili ve Edebiyatı</x:v>
      </x:c>
      <x:c r="E15" s="37"/>
      <x:c r="F15" s="37" t="str">
        <x:v>Konu Anlatımlı</x:v>
      </x:c>
      <x:c r="G15" s="43" t="n">
        <x:v>539</x:v>
      </x:c>
      <x:c r="H15" s="46" t="str">
        <x:f>IF(SUMIFS('İndirimler'!$C$2:$C$110,'İndirimler'!$A$2:$A$110,B15,'İndirimler'!$B$2:$B$110,C15)&gt;0,ROUND(G15*(1-SUMIFS('İndirimler'!$C$2:$C$110,'İndirimler'!$A$2:$A$110,B15,'İndirimler'!$B$2:$B$110,C15)),2),"")</x:f>
      </x:c>
      <x:c r="I15" s="49" t="str">
        <x:f>IF(SUMIFS('İndirimler'!$D$2:$D$110,'İndirimler'!$A$2:$A$110,B15,'İndirimler'!$B$2:$B$110,C15)&gt;0,ROUND(G15*(1-SUMIFS('İndirimler'!$D$2:$D$110,'İndirimler'!$A$2:$A$110,B15,'İndirimler'!$B$2:$B$110,C15)),2),"")</x:f>
      </x:c>
      <x:c r="J15" s="37"/>
    </x:row>
    <x:row r="16" ht="22" customHeight="1">
      <x:c r="A16" s="40" t="str">
        <x:v>9786256921481</x:v>
      </x:c>
      <x:c r="B16" s="37" t="str">
        <x:v>4K</x:v>
      </x:c>
      <x:c r="C16" s="37" t="str">
        <x:v>9. Sınıf</x:v>
      </x:c>
      <x:c r="D16" s="37" t="str">
        <x:v>Türk Dili ve Edebiyatı</x:v>
      </x:c>
      <x:c r="E16" s="37"/>
      <x:c r="F16" s="37" t="str">
        <x:v>Soru Bankası</x:v>
      </x:c>
      <x:c r="G16" s="43" t="n">
        <x:v>402</x:v>
      </x:c>
      <x:c r="H16" s="46" t="str">
        <x:f>IF(SUMIFS('İndirimler'!$C$2:$C$110,'İndirimler'!$A$2:$A$110,B16,'İndirimler'!$B$2:$B$110,C16)&gt;0,ROUND(G16*(1-SUMIFS('İndirimler'!$C$2:$C$110,'İndirimler'!$A$2:$A$110,B16,'İndirimler'!$B$2:$B$110,C16)),2),"")</x:f>
      </x:c>
      <x:c r="I16" s="49" t="str">
        <x:f>IF(SUMIFS('İndirimler'!$D$2:$D$110,'İndirimler'!$A$2:$A$110,B16,'İndirimler'!$B$2:$B$110,C16)&gt;0,ROUND(G16*(1-SUMIFS('İndirimler'!$D$2:$D$110,'İndirimler'!$A$2:$A$110,B16,'İndirimler'!$B$2:$B$110,C16)),2),"")</x:f>
      </x:c>
      <x:c r="J16" s="37" t="str">
        <x:v>https://app.karakok.net/spShowFlip/2140</x:v>
      </x:c>
    </x:row>
    <x:row r="17" ht="22" customHeight="1">
      <x:c r="A17" s="40" t="str">
        <x:v>9786256712157</x:v>
      </x:c>
      <x:c r="B17" s="37" t="str">
        <x:v>Bilgi Sarmal Yayınları</x:v>
      </x:c>
      <x:c r="C17" s="37" t="str">
        <x:v>9. Sınıf</x:v>
      </x:c>
      <x:c r="D17" s="37" t="str">
        <x:v>Türk Dili ve Edebiyatı</x:v>
      </x:c>
      <x:c r="E17" s="37"/>
      <x:c r="F17" s="37" t="str">
        <x:v>Soru Bankası</x:v>
      </x:c>
      <x:c r="G17" s="43" t="n">
        <x:v>329</x:v>
      </x:c>
      <x:c r="H17" s="46" t="str">
        <x:f>IF(SUMIFS('İndirimler'!$C$2:$C$110,'İndirimler'!$A$2:$A$110,B17,'İndirimler'!$B$2:$B$110,C17)&gt;0,ROUND(G17*(1-SUMIFS('İndirimler'!$C$2:$C$110,'İndirimler'!$A$2:$A$110,B17,'İndirimler'!$B$2:$B$110,C17)),2),"")</x:f>
      </x:c>
      <x:c r="I17" s="49" t="str">
        <x:f>IF(SUMIFS('İndirimler'!$D$2:$D$110,'İndirimler'!$A$2:$A$110,B17,'İndirimler'!$B$2:$B$110,C17)&gt;0,ROUND(G17*(1-SUMIFS('İndirimler'!$D$2:$D$110,'İndirimler'!$A$2:$A$110,B17,'İndirimler'!$B$2:$B$110,C17)),2),"")</x:f>
      </x:c>
      <x:c r="J17" s="37"/>
    </x:row>
    <x:row r="18" ht="22" customHeight="1">
      <x:c r="A18" s="40" t="str">
        <x:v>9786256630475</x:v>
      </x:c>
      <x:c r="B18" s="37" t="str">
        <x:v>Eğitim Vadisi</x:v>
      </x:c>
      <x:c r="C18" s="37" t="str">
        <x:v>9. Sınıf</x:v>
      </x:c>
      <x:c r="D18" s="37" t="str">
        <x:v>Türk Dili ve Edebiyatı</x:v>
      </x:c>
      <x:c r="E18" s="37" t="str">
        <x:v>TİK Tam İzleme Kitabı</x:v>
      </x:c>
      <x:c r="F18" s="37" t="str">
        <x:v>Soru Bankası</x:v>
      </x:c>
      <x:c r="G18" s="43" t="n">
        <x:v>428</x:v>
      </x:c>
      <x:c r="H18" s="46" t="str">
        <x:f>IF(SUMIFS('İndirimler'!$C$2:$C$110,'İndirimler'!$A$2:$A$110,B18,'İndirimler'!$B$2:$B$110,C18)&gt;0,ROUND(G18*(1-SUMIFS('İndirimler'!$C$2:$C$110,'İndirimler'!$A$2:$A$110,B18,'İndirimler'!$B$2:$B$110,C18)),2),"")</x:f>
      </x:c>
      <x:c r="I18" s="49" t="str">
        <x:f>IF(SUMIFS('İndirimler'!$D$2:$D$110,'İndirimler'!$A$2:$A$110,B18,'İndirimler'!$B$2:$B$110,C18)&gt;0,ROUND(G18*(1-SUMIFS('İndirimler'!$D$2:$D$110,'İndirimler'!$A$2:$A$110,B18,'İndirimler'!$B$2:$B$110,C18)),2),"")</x:f>
      </x:c>
      <x:c r="J18" s="37" t="str">
        <x:v>https://app.karakok.net/spShowFlip/1553</x:v>
      </x:c>
    </x:row>
    <x:row r="19" ht="22" customHeight="1">
      <x:c r="A19" s="40" t="str">
        <x:v>9786257532754</x:v>
      </x:c>
      <x:c r="B19" s="37" t="str">
        <x:v>Hız ve Renk Yayınları</x:v>
      </x:c>
      <x:c r="C19" s="37" t="str">
        <x:v>9. Sınıf</x:v>
      </x:c>
      <x:c r="D19" s="37" t="str">
        <x:v>Türk Dili ve Edebiyatı</x:v>
      </x:c>
      <x:c r="E19" s="37" t="str">
        <x:v>HİT</x:v>
      </x:c>
      <x:c r="F19" s="37" t="str">
        <x:v>Soru Bankası</x:v>
      </x:c>
      <x:c r="G19" s="43" t="n">
        <x:v>475</x:v>
      </x:c>
      <x:c r="H19" s="46" t="str">
        <x:f>IF(SUMIFS('İndirimler'!$C$2:$C$110,'İndirimler'!$A$2:$A$110,B19,'İndirimler'!$B$2:$B$110,C19)&gt;0,ROUND(G19*(1-SUMIFS('İndirimler'!$C$2:$C$110,'İndirimler'!$A$2:$A$110,B19,'İndirimler'!$B$2:$B$110,C19)),2),"")</x:f>
      </x:c>
      <x:c r="I19" s="49" t="str">
        <x:f>IF(SUMIFS('İndirimler'!$D$2:$D$110,'İndirimler'!$A$2:$A$110,B19,'İndirimler'!$B$2:$B$110,C19)&gt;0,ROUND(G19*(1-SUMIFS('İndirimler'!$D$2:$D$110,'İndirimler'!$A$2:$A$110,B19,'İndirimler'!$B$2:$B$110,C19)),2),"")</x:f>
      </x:c>
      <x:c r="J19" s="37"/>
    </x:row>
    <x:row r="20" ht="22" customHeight="1">
      <x:c r="A20" s="40" t="str">
        <x:v>9786052756782</x:v>
      </x:c>
      <x:c r="B20" s="37" t="str">
        <x:v>Limit</x:v>
      </x:c>
      <x:c r="C20" s="37" t="str">
        <x:v>9. Sınıf</x:v>
      </x:c>
      <x:c r="D20" s="37" t="str">
        <x:v>Türk Dili ve Edebiyatı</x:v>
      </x:c>
      <x:c r="E20" s="37"/>
      <x:c r="F20" s="37" t="str">
        <x:v>Soru Bankası</x:v>
      </x:c>
      <x:c r="G20" s="43" t="n">
        <x:v>626</x:v>
      </x:c>
      <x:c r="H20" s="46" t="str">
        <x:f>IF(SUMIFS('İndirimler'!$C$2:$C$110,'İndirimler'!$A$2:$A$110,B20,'İndirimler'!$B$2:$B$110,C20)&gt;0,ROUND(G20*(1-SUMIFS('İndirimler'!$C$2:$C$110,'İndirimler'!$A$2:$A$110,B20,'İndirimler'!$B$2:$B$110,C20)),2),"")</x:f>
      </x:c>
      <x:c r="I20" s="49" t="str">
        <x:f>IF(SUMIFS('İndirimler'!$D$2:$D$110,'İndirimler'!$A$2:$A$110,B20,'İndirimler'!$B$2:$B$110,C20)&gt;0,ROUND(G20*(1-SUMIFS('İndirimler'!$D$2:$D$110,'İndirimler'!$A$2:$A$110,B20,'İndirimler'!$B$2:$B$110,C20)),2),"")</x:f>
      </x:c>
      <x:c r="J20" s="37"/>
    </x:row>
    <x:row r="21" ht="22" customHeight="1">
      <x:c r="A21" s="40" t="str">
        <x:v>9786256412835</x:v>
      </x:c>
      <x:c r="B21" s="37" t="str">
        <x:v>Miray</x:v>
      </x:c>
      <x:c r="C21" s="37" t="str">
        <x:v>9. Sınıf</x:v>
      </x:c>
      <x:c r="D21" s="37" t="str">
        <x:v>Türk Dili ve Edebiyatı</x:v>
      </x:c>
      <x:c r="E21" s="37" t="str">
        <x:v>Tematik</x:v>
      </x:c>
      <x:c r="F21" s="37" t="str">
        <x:v>Soru Bankası</x:v>
      </x:c>
      <x:c r="G21" s="43" t="n">
        <x:v>493</x:v>
      </x:c>
      <x:c r="H21" s="46" t="str">
        <x:f>IF(SUMIFS('İndirimler'!$C$2:$C$110,'İndirimler'!$A$2:$A$110,B21,'İndirimler'!$B$2:$B$110,C21)&gt;0,ROUND(G21*(1-SUMIFS('İndirimler'!$C$2:$C$110,'İndirimler'!$A$2:$A$110,B21,'İndirimler'!$B$2:$B$110,C21)),2),"")</x:f>
      </x:c>
      <x:c r="I21" s="49" t="str">
        <x:f>IF(SUMIFS('İndirimler'!$D$2:$D$110,'İndirimler'!$A$2:$A$110,B21,'İndirimler'!$B$2:$B$110,C21)&gt;0,ROUND(G21*(1-SUMIFS('İndirimler'!$D$2:$D$110,'İndirimler'!$A$2:$A$110,B21,'İndirimler'!$B$2:$B$110,C21)),2),"")</x:f>
      </x:c>
      <x:c r="J21" s="37"/>
    </x:row>
    <x:row r="22" ht="22" customHeight="1">
      <x:c r="A22" s="40" t="str">
        <x:v>9786256040502</x:v>
      </x:c>
      <x:c r="B22" s="37" t="str">
        <x:v>Çap Yayınları</x:v>
      </x:c>
      <x:c r="C22" s="37" t="str">
        <x:v>9. Sınıf</x:v>
      </x:c>
      <x:c r="D22" s="37" t="str">
        <x:v>Türk Dili ve Edebiyatı</x:v>
      </x:c>
      <x:c r="E22" s="37" t="str">
        <x:v>Tematik</x:v>
      </x:c>
      <x:c r="F22" s="37" t="str">
        <x:v>Soru Bankası</x:v>
      </x:c>
      <x:c r="G22" s="43" t="n">
        <x:v>519</x:v>
      </x:c>
      <x:c r="H22" s="46" t="str">
        <x:f>IF(SUMIFS('İndirimler'!$C$2:$C$110,'İndirimler'!$A$2:$A$110,B22,'İndirimler'!$B$2:$B$110,C22)&gt;0,ROUND(G22*(1-SUMIFS('İndirimler'!$C$2:$C$110,'İndirimler'!$A$2:$A$110,B22,'İndirimler'!$B$2:$B$110,C22)),2),"")</x:f>
      </x:c>
      <x:c r="I22" s="49" t="str">
        <x:f>IF(SUMIFS('İndirimler'!$D$2:$D$110,'İndirimler'!$A$2:$A$110,B22,'İndirimler'!$B$2:$B$110,C22)&gt;0,ROUND(G22*(1-SUMIFS('İndirimler'!$D$2:$D$110,'İndirimler'!$A$2:$A$110,B22,'İndirimler'!$B$2:$B$110,C22)),2),"")</x:f>
      </x:c>
      <x:c r="J22" s="37"/>
    </x:row>
    <x:row r="23" ht="22" customHeight="1">
      <x:c r="A23" s="40" t="str">
        <x:v>9786258160406</x:v>
      </x:c>
      <x:c r="B23" s="37" t="str">
        <x:v>ENS Yayınları</x:v>
      </x:c>
      <x:c r="C23" s="37" t="str">
        <x:v>9. Sınıf</x:v>
      </x:c>
      <x:c r="D23" s="37" t="str">
        <x:v>Türk Dili ve Edebiyatı</x:v>
      </x:c>
      <x:c r="E23" s="37"/>
      <x:c r="F23" s="37" t="str">
        <x:v>Etkinlik Kitabı</x:v>
      </x:c>
      <x:c r="G23" s="43" t="n">
        <x:v>329</x:v>
      </x:c>
      <x:c r="H23" s="46" t="str">
        <x:f>IF(SUMIFS('İndirimler'!$C$2:$C$110,'İndirimler'!$A$2:$A$110,B23,'İndirimler'!$B$2:$B$110,C23)&gt;0,ROUND(G23*(1-SUMIFS('İndirimler'!$C$2:$C$110,'İndirimler'!$A$2:$A$110,B23,'İndirimler'!$B$2:$B$110,C23)),2),"")</x:f>
      </x:c>
      <x:c r="I23" s="49" t="str">
        <x:f>IF(SUMIFS('İndirimler'!$D$2:$D$110,'İndirimler'!$A$2:$A$110,B23,'İndirimler'!$B$2:$B$110,C23)&gt;0,ROUND(G23*(1-SUMIFS('İndirimler'!$D$2:$D$110,'İndirimler'!$A$2:$A$110,B23,'İndirimler'!$B$2:$B$110,C23)),2),"")</x:f>
      </x:c>
      <x:c r="J23" s="37"/>
    </x:row>
    <x:row r="24" ht="22" customHeight="1">
      <x:c r="A24" s="40" t="str">
        <x:v>9786258160895</x:v>
      </x:c>
      <x:c r="B24" s="37" t="str">
        <x:v>ENS Yayınları</x:v>
      </x:c>
      <x:c r="C24" s="37" t="str">
        <x:v>9. Sınıf</x:v>
      </x:c>
      <x:c r="D24" s="37" t="str">
        <x:v>Türk Dili ve Edebiyatı</x:v>
      </x:c>
      <x:c r="E24" s="37"/>
      <x:c r="F24" s="37" t="str">
        <x:v>Etkinlik Kitabı</x:v>
      </x:c>
      <x:c r="G24" s="43" t="n">
        <x:v>429</x:v>
      </x:c>
      <x:c r="H24" s="46" t="str">
        <x:f>IF(SUMIFS('İndirimler'!$C$2:$C$110,'İndirimler'!$A$2:$A$110,B24,'İndirimler'!$B$2:$B$110,C24)&gt;0,ROUND(G24*(1-SUMIFS('İndirimler'!$C$2:$C$110,'İndirimler'!$A$2:$A$110,B24,'İndirimler'!$B$2:$B$110,C24)),2),"")</x:f>
      </x:c>
      <x:c r="I24" s="49" t="str">
        <x:f>IF(SUMIFS('İndirimler'!$D$2:$D$110,'İndirimler'!$A$2:$A$110,B24,'İndirimler'!$B$2:$B$110,C24)&gt;0,ROUND(G24*(1-SUMIFS('İndirimler'!$D$2:$D$110,'İndirimler'!$A$2:$A$110,B24,'İndirimler'!$B$2:$B$110,C24)),2),"")</x:f>
      </x:c>
      <x:c r="J24" s="37"/>
    </x:row>
    <x:row r="25" ht="22" customHeight="1">
      <x:c r="A25" s="40" t="str">
        <x:v>9786259052601</x:v>
      </x:c>
      <x:c r="B25" s="37" t="str">
        <x:v>Ulti Yayınları</x:v>
      </x:c>
      <x:c r="C25" s="37" t="str">
        <x:v>10. Sınıf</x:v>
      </x:c>
      <x:c r="D25" s="37" t="str">
        <x:v>Türk Dili ve Edebiyatı</x:v>
      </x:c>
      <x:c r="E25" s="37"/>
      <x:c r="F25" s="37" t="str">
        <x:v>Fasikül Set</x:v>
      </x:c>
      <x:c r="G25" s="43" t="n">
        <x:v>529</x:v>
      </x:c>
      <x:c r="H25" s="46" t="str">
        <x:f>IF(SUMIFS('İndirimler'!$C$2:$C$110,'İndirimler'!$A$2:$A$110,B25,'İndirimler'!$B$2:$B$110,C25)&gt;0,ROUND(G25*(1-SUMIFS('İndirimler'!$C$2:$C$110,'İndirimler'!$A$2:$A$110,B25,'İndirimler'!$B$2:$B$110,C25)),2),"")</x:f>
      </x:c>
      <x:c r="I25" s="49" t="str">
        <x:f>IF(SUMIFS('İndirimler'!$D$2:$D$110,'İndirimler'!$A$2:$A$110,B25,'İndirimler'!$B$2:$B$110,C25)&gt;0,ROUND(G25*(1-SUMIFS('İndirimler'!$D$2:$D$110,'İndirimler'!$A$2:$A$110,B25,'İndirimler'!$B$2:$B$110,C25)),2),"")</x:f>
      </x:c>
      <x:c r="J25" s="37"/>
    </x:row>
    <x:row r="26" ht="22" customHeight="1">
      <x:c r="A26" s="40" t="str">
        <x:v>9786256040977</x:v>
      </x:c>
      <x:c r="B26" s="37" t="str">
        <x:v>Çap Yayınları</x:v>
      </x:c>
      <x:c r="C26" s="37" t="str">
        <x:v>10. Sınıf</x:v>
      </x:c>
      <x:c r="D26" s="37" t="str">
        <x:v>Türk Dili ve Edebiyatı</x:v>
      </x:c>
      <x:c r="E26" s="37"/>
      <x:c r="F26" s="37" t="str">
        <x:v>Fasikül Set</x:v>
      </x:c>
      <x:c r="G26" s="43" t="n">
        <x:v>589</x:v>
      </x:c>
      <x:c r="H26" s="46" t="str">
        <x:f>IF(SUMIFS('İndirimler'!$C$2:$C$110,'İndirimler'!$A$2:$A$110,B26,'İndirimler'!$B$2:$B$110,C26)&gt;0,ROUND(G26*(1-SUMIFS('İndirimler'!$C$2:$C$110,'İndirimler'!$A$2:$A$110,B26,'İndirimler'!$B$2:$B$110,C26)),2),"")</x:f>
      </x:c>
      <x:c r="I26" s="49" t="str">
        <x:f>IF(SUMIFS('İndirimler'!$D$2:$D$110,'İndirimler'!$A$2:$A$110,B26,'İndirimler'!$B$2:$B$110,C26)&gt;0,ROUND(G26*(1-SUMIFS('İndirimler'!$D$2:$D$110,'İndirimler'!$A$2:$A$110,B26,'İndirimler'!$B$2:$B$110,C26)),2),"")</x:f>
      </x:c>
      <x:c r="J26" s="37"/>
    </x:row>
    <x:row r="27" ht="22" customHeight="1">
      <x:c r="A27" s="40" t="str">
        <x:v>ORNEK00000040</x:v>
      </x:c>
      <x:c r="B27" s="37" t="str">
        <x:v>Bilgi Sarmal Yayınları</x:v>
      </x:c>
      <x:c r="C27" s="37" t="str">
        <x:v>10. Sınıf</x:v>
      </x:c>
      <x:c r="D27" s="37" t="str">
        <x:v>Türk Dili ve Edebiyatı</x:v>
      </x:c>
      <x:c r="E27" s="37" t="str">
        <x:v>Tema</x:v>
      </x:c>
      <x:c r="F27" s="37" t="str">
        <x:v>Konu Anlatımlı</x:v>
      </x:c>
      <x:c r="G27" s="43" t="n">
        <x:v>500</x:v>
      </x:c>
      <x:c r="H27" s="46" t="str">
        <x:f>IF(SUMIFS('İndirimler'!$C$2:$C$110,'İndirimler'!$A$2:$A$110,B27,'İndirimler'!$B$2:$B$110,C27)&gt;0,ROUND(G27*(1-SUMIFS('İndirimler'!$C$2:$C$110,'İndirimler'!$A$2:$A$110,B27,'İndirimler'!$B$2:$B$110,C27)),2),"")</x:f>
      </x:c>
      <x:c r="I27" s="49" t="str">
        <x:f>IF(SUMIFS('İndirimler'!$D$2:$D$110,'İndirimler'!$A$2:$A$110,B27,'İndirimler'!$B$2:$B$110,C27)&gt;0,ROUND(G27*(1-SUMIFS('İndirimler'!$D$2:$D$110,'İndirimler'!$A$2:$A$110,B27,'İndirimler'!$B$2:$B$110,C27)),2),"")</x:f>
      </x:c>
      <x:c r="J27" s="37"/>
    </x:row>
    <x:row r="28" ht="22" customHeight="1">
      <x:c r="A28" s="40" t="str">
        <x:v>9786256911680</x:v>
      </x:c>
      <x:c r="B28" s="37" t="str">
        <x:v>Eğitim Vadisi</x:v>
      </x:c>
      <x:c r="C28" s="37" t="str">
        <x:v>10. Sınıf</x:v>
      </x:c>
      <x:c r="D28" s="37" t="str">
        <x:v>Türk Dili ve Edebiyatı</x:v>
      </x:c>
      <x:c r="E28" s="37" t="str">
        <x:v>TAK Tam Anlatım Kitabı</x:v>
      </x:c>
      <x:c r="F28" s="37" t="str">
        <x:v>Konu Anlatımlı</x:v>
      </x:c>
      <x:c r="G28" s="43" t="n">
        <x:v>376</x:v>
      </x:c>
      <x:c r="H28" s="46" t="str">
        <x:f>IF(SUMIFS('İndirimler'!$C$2:$C$110,'İndirimler'!$A$2:$A$110,B28,'İndirimler'!$B$2:$B$110,C28)&gt;0,ROUND(G28*(1-SUMIFS('İndirimler'!$C$2:$C$110,'İndirimler'!$A$2:$A$110,B28,'İndirimler'!$B$2:$B$110,C28)),2),"")</x:f>
      </x:c>
      <x:c r="I28" s="49" t="str">
        <x:f>IF(SUMIFS('İndirimler'!$D$2:$D$110,'İndirimler'!$A$2:$A$110,B28,'İndirimler'!$B$2:$B$110,C28)&gt;0,ROUND(G28*(1-SUMIFS('İndirimler'!$D$2:$D$110,'İndirimler'!$A$2:$A$110,B28,'İndirimler'!$B$2:$B$110,C28)),2),"")</x:f>
      </x:c>
      <x:c r="J28" s="37" t="str">
        <x:v>https://app.karakok.net/spShowFlip/2166</x:v>
      </x:c>
    </x:row>
    <x:row r="29" ht="22" customHeight="1">
      <x:c r="A29" s="40" t="str">
        <x:v>9786052757567</x:v>
      </x:c>
      <x:c r="B29" s="37" t="str">
        <x:v>Limit</x:v>
      </x:c>
      <x:c r="C29" s="37" t="str">
        <x:v>10. Sınıf</x:v>
      </x:c>
      <x:c r="D29" s="37" t="str">
        <x:v>Türk Dili ve Edebiyatı</x:v>
      </x:c>
      <x:c r="E29" s="37"/>
      <x:c r="F29" s="37" t="str">
        <x:v>Konu Anlatımlı</x:v>
      </x:c>
      <x:c r="G29" s="43" t="n">
        <x:v>684</x:v>
      </x:c>
      <x:c r="H29" s="46" t="str">
        <x:f>IF(SUMIFS('İndirimler'!$C$2:$C$110,'İndirimler'!$A$2:$A$110,B29,'İndirimler'!$B$2:$B$110,C29)&gt;0,ROUND(G29*(1-SUMIFS('İndirimler'!$C$2:$C$110,'İndirimler'!$A$2:$A$110,B29,'İndirimler'!$B$2:$B$110,C29)),2),"")</x:f>
      </x:c>
      <x:c r="I29" s="49" t="str">
        <x:f>IF(SUMIFS('İndirimler'!$D$2:$D$110,'İndirimler'!$A$2:$A$110,B29,'İndirimler'!$B$2:$B$110,C29)&gt;0,ROUND(G29*(1-SUMIFS('İndirimler'!$D$2:$D$110,'İndirimler'!$A$2:$A$110,B29,'İndirimler'!$B$2:$B$110,C29)),2),"")</x:f>
      </x:c>
      <x:c r="J29" s="37"/>
    </x:row>
    <x:row r="30" ht="22" customHeight="1">
      <x:c r="A30" s="40" t="str">
        <x:v>9786256142176</x:v>
      </x:c>
      <x:c r="B30" s="37" t="str">
        <x:v>Miray</x:v>
      </x:c>
      <x:c r="C30" s="37" t="str">
        <x:v>10. Sınıf</x:v>
      </x:c>
      <x:c r="D30" s="37" t="str">
        <x:v>Türk Dili ve Edebiyatı</x:v>
      </x:c>
      <x:c r="E30" s="37" t="str">
        <x:v>Ders Anlatım Fasikülleri</x:v>
      </x:c>
      <x:c r="F30" s="37" t="str">
        <x:v>Konu Anlatımlı</x:v>
      </x:c>
      <x:c r="G30" s="43" t="n">
        <x:v>820</x:v>
      </x:c>
      <x:c r="H30" s="46" t="str">
        <x:f>IF(SUMIFS('İndirimler'!$C$2:$C$110,'İndirimler'!$A$2:$A$110,B30,'İndirimler'!$B$2:$B$110,C30)&gt;0,ROUND(G30*(1-SUMIFS('İndirimler'!$C$2:$C$110,'İndirimler'!$A$2:$A$110,B30,'İndirimler'!$B$2:$B$110,C30)),2),"")</x:f>
      </x:c>
      <x:c r="I30" s="49" t="str">
        <x:f>IF(SUMIFS('İndirimler'!$D$2:$D$110,'İndirimler'!$A$2:$A$110,B30,'İndirimler'!$B$2:$B$110,C30)&gt;0,ROUND(G30*(1-SUMIFS('İndirimler'!$D$2:$D$110,'İndirimler'!$A$2:$A$110,B30,'İndirimler'!$B$2:$B$110,C30)),2),"")</x:f>
      </x:c>
      <x:c r="J30" s="37"/>
    </x:row>
    <x:row r="31" ht="22" customHeight="1">
      <x:c r="A31" s="40" t="str">
        <x:v>9786256921740</x:v>
      </x:c>
      <x:c r="B31" s="37" t="str">
        <x:v>4K</x:v>
      </x:c>
      <x:c r="C31" s="37" t="str">
        <x:v>10. Sınıf</x:v>
      </x:c>
      <x:c r="D31" s="37" t="str">
        <x:v>Türk Dili ve Edebiyatı</x:v>
      </x:c>
      <x:c r="E31" s="37"/>
      <x:c r="F31" s="37" t="str">
        <x:v>Soru Bankası</x:v>
      </x:c>
      <x:c r="G31" s="43" t="n">
        <x:v>402</x:v>
      </x:c>
      <x:c r="H31" s="46" t="str">
        <x:f>IF(SUMIFS('İndirimler'!$C$2:$C$110,'İndirimler'!$A$2:$A$110,B31,'İndirimler'!$B$2:$B$110,C31)&gt;0,ROUND(G31*(1-SUMIFS('İndirimler'!$C$2:$C$110,'İndirimler'!$A$2:$A$110,B31,'İndirimler'!$B$2:$B$110,C31)),2),"")</x:f>
      </x:c>
      <x:c r="I31" s="49" t="str">
        <x:f>IF(SUMIFS('İndirimler'!$D$2:$D$110,'İndirimler'!$A$2:$A$110,B31,'İndirimler'!$B$2:$B$110,C31)&gt;0,ROUND(G31*(1-SUMIFS('İndirimler'!$D$2:$D$110,'İndirimler'!$A$2:$A$110,B31,'İndirimler'!$B$2:$B$110,C31)),2),"")</x:f>
      </x:c>
      <x:c r="J31" s="37" t="str">
        <x:v>https://app.karakok.net/spShowFlip/1917</x:v>
      </x:c>
    </x:row>
    <x:row r="32" ht="22" customHeight="1">
      <x:c r="A32" s="40" t="str">
        <x:v>9786256712409</x:v>
      </x:c>
      <x:c r="B32" s="37" t="str">
        <x:v>Bilgi Sarmal Yayınları</x:v>
      </x:c>
      <x:c r="C32" s="37" t="str">
        <x:v>10. Sınıf</x:v>
      </x:c>
      <x:c r="D32" s="37" t="str">
        <x:v>Türk Dili ve Edebiyatı</x:v>
      </x:c>
      <x:c r="E32" s="37"/>
      <x:c r="F32" s="37" t="str">
        <x:v>Soru Bankası</x:v>
      </x:c>
      <x:c r="G32" s="43" t="n">
        <x:v>479</x:v>
      </x:c>
      <x:c r="H32" s="46" t="str">
        <x:f>IF(SUMIFS('İndirimler'!$C$2:$C$110,'İndirimler'!$A$2:$A$110,B32,'İndirimler'!$B$2:$B$110,C32)&gt;0,ROUND(G32*(1-SUMIFS('İndirimler'!$C$2:$C$110,'İndirimler'!$A$2:$A$110,B32,'İndirimler'!$B$2:$B$110,C32)),2),"")</x:f>
      </x:c>
      <x:c r="I32" s="49" t="str">
        <x:f>IF(SUMIFS('İndirimler'!$D$2:$D$110,'İndirimler'!$A$2:$A$110,B32,'İndirimler'!$B$2:$B$110,C32)&gt;0,ROUND(G32*(1-SUMIFS('İndirimler'!$D$2:$D$110,'İndirimler'!$A$2:$A$110,B32,'İndirimler'!$B$2:$B$110,C32)),2),"")</x:f>
      </x:c>
      <x:c r="J32" s="37"/>
    </x:row>
    <x:row r="33" ht="22" customHeight="1">
      <x:c r="A33" s="40" t="str">
        <x:v>9786256457256</x:v>
      </x:c>
      <x:c r="B33" s="37" t="str">
        <x:v>Eğitim Vadisi</x:v>
      </x:c>
      <x:c r="C33" s="37" t="str">
        <x:v>10. Sınıf</x:v>
      </x:c>
      <x:c r="D33" s="37" t="str">
        <x:v>Türk Dili ve Edebiyatı</x:v>
      </x:c>
      <x:c r="E33" s="37" t="str">
        <x:v>TİK Tam İzleme Kitabı</x:v>
      </x:c>
      <x:c r="F33" s="37" t="str">
        <x:v>Soru Bankası</x:v>
      </x:c>
      <x:c r="G33" s="43" t="n">
        <x:v>428</x:v>
      </x:c>
      <x:c r="H33" s="46" t="str">
        <x:f>IF(SUMIFS('İndirimler'!$C$2:$C$110,'İndirimler'!$A$2:$A$110,B33,'İndirimler'!$B$2:$B$110,C33)&gt;0,ROUND(G33*(1-SUMIFS('İndirimler'!$C$2:$C$110,'İndirimler'!$A$2:$A$110,B33,'İndirimler'!$B$2:$B$110,C33)),2),"")</x:f>
      </x:c>
      <x:c r="I33" s="49" t="str">
        <x:f>IF(SUMIFS('İndirimler'!$D$2:$D$110,'İndirimler'!$A$2:$A$110,B33,'İndirimler'!$B$2:$B$110,C33)&gt;0,ROUND(G33*(1-SUMIFS('İndirimler'!$D$2:$D$110,'İndirimler'!$A$2:$A$110,B33,'İndirimler'!$B$2:$B$110,C33)),2),"")</x:f>
      </x:c>
      <x:c r="J33" s="37" t="str">
        <x:v>https://app.karakok.net/spShowFlip/2167</x:v>
      </x:c>
    </x:row>
    <x:row r="34" ht="22" customHeight="1">
      <x:c r="A34" s="40" t="str">
        <x:v>9786257532914</x:v>
      </x:c>
      <x:c r="B34" s="37" t="str">
        <x:v>Hız ve Renk Yayınları</x:v>
      </x:c>
      <x:c r="C34" s="37" t="str">
        <x:v>10. Sınıf</x:v>
      </x:c>
      <x:c r="D34" s="37" t="str">
        <x:v>Türk Dili ve Edebiyatı</x:v>
      </x:c>
      <x:c r="E34" s="37" t="str">
        <x:v>HİT</x:v>
      </x:c>
      <x:c r="F34" s="37" t="str">
        <x:v>Soru Bankası</x:v>
      </x:c>
      <x:c r="G34" s="43" t="n">
        <x:v>405</x:v>
      </x:c>
      <x:c r="H34" s="46" t="str">
        <x:f>IF(SUMIFS('İndirimler'!$C$2:$C$110,'İndirimler'!$A$2:$A$110,B34,'İndirimler'!$B$2:$B$110,C34)&gt;0,ROUND(G34*(1-SUMIFS('İndirimler'!$C$2:$C$110,'İndirimler'!$A$2:$A$110,B34,'İndirimler'!$B$2:$B$110,C34)),2),"")</x:f>
      </x:c>
      <x:c r="I34" s="49" t="str">
        <x:f>IF(SUMIFS('İndirimler'!$D$2:$D$110,'İndirimler'!$A$2:$A$110,B34,'İndirimler'!$B$2:$B$110,C34)&gt;0,ROUND(G34*(1-SUMIFS('İndirimler'!$D$2:$D$110,'İndirimler'!$A$2:$A$110,B34,'İndirimler'!$B$2:$B$110,C34)),2),"")</x:f>
      </x:c>
      <x:c r="J34" s="37"/>
    </x:row>
    <x:row r="35" ht="22" customHeight="1">
      <x:c r="A35" s="40" t="str">
        <x:v>9786052757574</x:v>
      </x:c>
      <x:c r="B35" s="37" t="str">
        <x:v>Limit</x:v>
      </x:c>
      <x:c r="C35" s="37" t="str">
        <x:v>10. Sınıf</x:v>
      </x:c>
      <x:c r="D35" s="37" t="str">
        <x:v>Türk Dili ve Edebiyatı</x:v>
      </x:c>
      <x:c r="E35" s="37"/>
      <x:c r="F35" s="37" t="str">
        <x:v>Soru Bankası</x:v>
      </x:c>
      <x:c r="G35" s="43" t="n">
        <x:v>622</x:v>
      </x:c>
      <x:c r="H35" s="46" t="str">
        <x:f>IF(SUMIFS('İndirimler'!$C$2:$C$110,'İndirimler'!$A$2:$A$110,B35,'İndirimler'!$B$2:$B$110,C35)&gt;0,ROUND(G35*(1-SUMIFS('İndirimler'!$C$2:$C$110,'İndirimler'!$A$2:$A$110,B35,'İndirimler'!$B$2:$B$110,C35)),2),"")</x:f>
      </x:c>
      <x:c r="I35" s="49" t="str">
        <x:f>IF(SUMIFS('İndirimler'!$D$2:$D$110,'İndirimler'!$A$2:$A$110,B35,'İndirimler'!$B$2:$B$110,C35)&gt;0,ROUND(G35*(1-SUMIFS('İndirimler'!$D$2:$D$110,'İndirimler'!$A$2:$A$110,B35,'İndirimler'!$B$2:$B$110,C35)),2),"")</x:f>
      </x:c>
      <x:c r="J35" s="37"/>
    </x:row>
    <x:row r="36" ht="22" customHeight="1">
      <x:c r="A36" s="40" t="str">
        <x:v>9786256142190</x:v>
      </x:c>
      <x:c r="B36" s="37" t="str">
        <x:v>Miray</x:v>
      </x:c>
      <x:c r="C36" s="37" t="str">
        <x:v>10. Sınıf</x:v>
      </x:c>
      <x:c r="D36" s="37" t="str">
        <x:v>Türk Dili ve Edebiyatı</x:v>
      </x:c>
      <x:c r="E36" s="37" t="str">
        <x:v>Tematik</x:v>
      </x:c>
      <x:c r="F36" s="37" t="str">
        <x:v>Soru Bankası</x:v>
      </x:c>
      <x:c r="G36" s="43" t="n">
        <x:v>598</x:v>
      </x:c>
      <x:c r="H36" s="46" t="str">
        <x:f>IF(SUMIFS('İndirimler'!$C$2:$C$110,'İndirimler'!$A$2:$A$110,B36,'İndirimler'!$B$2:$B$110,C36)&gt;0,ROUND(G36*(1-SUMIFS('İndirimler'!$C$2:$C$110,'İndirimler'!$A$2:$A$110,B36,'İndirimler'!$B$2:$B$110,C36)),2),"")</x:f>
      </x:c>
      <x:c r="I36" s="49" t="str">
        <x:f>IF(SUMIFS('İndirimler'!$D$2:$D$110,'İndirimler'!$A$2:$A$110,B36,'İndirimler'!$B$2:$B$110,C36)&gt;0,ROUND(G36*(1-SUMIFS('İndirimler'!$D$2:$D$110,'İndirimler'!$A$2:$A$110,B36,'İndirimler'!$B$2:$B$110,C36)),2),"")</x:f>
      </x:c>
      <x:c r="J36" s="37"/>
    </x:row>
    <x:row r="37" ht="22" customHeight="1">
      <x:c r="A37" s="40" t="str">
        <x:v>9786259981291</x:v>
      </x:c>
      <x:c r="B37" s="37" t="str">
        <x:v>Süre Yayınları</x:v>
      </x:c>
      <x:c r="C37" s="37" t="str">
        <x:v>10. Sınıf</x:v>
      </x:c>
      <x:c r="D37" s="37" t="str">
        <x:v>Türk Dili ve Edebiyatı</x:v>
      </x:c>
      <x:c r="E37" s="37"/>
      <x:c r="F37" s="37" t="str">
        <x:v>Soru Bankası</x:v>
      </x:c>
      <x:c r="G37" s="43" t="n">
        <x:v>539</x:v>
      </x:c>
      <x:c r="H37" s="46" t="str">
        <x:f>IF(SUMIFS('İndirimler'!$C$2:$C$110,'İndirimler'!$A$2:$A$110,B37,'İndirimler'!$B$2:$B$110,C37)&gt;0,ROUND(G37*(1-SUMIFS('İndirimler'!$C$2:$C$110,'İndirimler'!$A$2:$A$110,B37,'İndirimler'!$B$2:$B$110,C37)),2),"")</x:f>
      </x:c>
      <x:c r="I37" s="49" t="str">
        <x:f>IF(SUMIFS('İndirimler'!$D$2:$D$110,'İndirimler'!$A$2:$A$110,B37,'İndirimler'!$B$2:$B$110,C37)&gt;0,ROUND(G37*(1-SUMIFS('İndirimler'!$D$2:$D$110,'İndirimler'!$A$2:$A$110,B37,'İndirimler'!$B$2:$B$110,C37)),2),"")</x:f>
      </x:c>
      <x:c r="J37" s="37"/>
    </x:row>
    <x:row r="38" ht="22" customHeight="1">
      <x:c r="A38" s="40" t="str">
        <x:v>9786255801043</x:v>
      </x:c>
      <x:c r="B38" s="37" t="str">
        <x:v>Çap Yayınları</x:v>
      </x:c>
      <x:c r="C38" s="37" t="str">
        <x:v>10. Sınıf</x:v>
      </x:c>
      <x:c r="D38" s="37" t="str">
        <x:v>Türk Dili ve Edebiyatı</x:v>
      </x:c>
      <x:c r="E38" s="37" t="str">
        <x:v>Tematik</x:v>
      </x:c>
      <x:c r="F38" s="37" t="str">
        <x:v>Soru Bankası</x:v>
      </x:c>
      <x:c r="G38" s="43" t="n">
        <x:v>505</x:v>
      </x:c>
      <x:c r="H38" s="46" t="str">
        <x:f>IF(SUMIFS('İndirimler'!$C$2:$C$110,'İndirimler'!$A$2:$A$110,B38,'İndirimler'!$B$2:$B$110,C38)&gt;0,ROUND(G38*(1-SUMIFS('İndirimler'!$C$2:$C$110,'İndirimler'!$A$2:$A$110,B38,'İndirimler'!$B$2:$B$110,C38)),2),"")</x:f>
      </x:c>
      <x:c r="I38" s="49" t="str">
        <x:f>IF(SUMIFS('İndirimler'!$D$2:$D$110,'İndirimler'!$A$2:$A$110,B38,'İndirimler'!$B$2:$B$110,C38)&gt;0,ROUND(G38*(1-SUMIFS('İndirimler'!$D$2:$D$110,'İndirimler'!$A$2:$A$110,B38,'İndirimler'!$B$2:$B$110,C38)),2),"")</x:f>
      </x:c>
      <x:c r="J38" s="37"/>
    </x:row>
    <x:row r="39" ht="22" customHeight="1">
      <x:c r="A39" s="40" t="str">
        <x:v>9786258160673</x:v>
      </x:c>
      <x:c r="B39" s="37" t="str">
        <x:v>ENS Yayınları</x:v>
      </x:c>
      <x:c r="C39" s="37" t="str">
        <x:v>10. Sınıf</x:v>
      </x:c>
      <x:c r="D39" s="37" t="str">
        <x:v>Türk Dili ve Edebiyatı</x:v>
      </x:c>
      <x:c r="E39" s="37"/>
      <x:c r="F39" s="37" t="str">
        <x:v>Etkinlik Kitabı</x:v>
      </x:c>
      <x:c r="G39" s="43" t="n">
        <x:v>409</x:v>
      </x:c>
      <x:c r="H39" s="46" t="str">
        <x:f>IF(SUMIFS('İndirimler'!$C$2:$C$110,'İndirimler'!$A$2:$A$110,B39,'İndirimler'!$B$2:$B$110,C39)&gt;0,ROUND(G39*(1-SUMIFS('İndirimler'!$C$2:$C$110,'İndirimler'!$A$2:$A$110,B39,'İndirimler'!$B$2:$B$110,C39)),2),"")</x:f>
      </x:c>
      <x:c r="I39" s="49" t="str">
        <x:f>IF(SUMIFS('İndirimler'!$D$2:$D$110,'İndirimler'!$A$2:$A$110,B39,'İndirimler'!$B$2:$B$110,C39)&gt;0,ROUND(G39*(1-SUMIFS('İndirimler'!$D$2:$D$110,'İndirimler'!$A$2:$A$110,B39,'İndirimler'!$B$2:$B$110,C39)),2),"")</x:f>
      </x:c>
      <x:c r="J39" s="37"/>
    </x:row>
    <x:row r="40" ht="22" customHeight="1">
      <x:c r="A40" s="40" t="str">
        <x:v>ORNEK00000059</x:v>
      </x:c>
      <x:c r="B40" s="37" t="str">
        <x:v>Çap Yayınları</x:v>
      </x:c>
      <x:c r="C40" s="37" t="str">
        <x:v>11. Sınıf</x:v>
      </x:c>
      <x:c r="D40" s="37" t="str">
        <x:v>Türk Dili ve Edebiyatı</x:v>
      </x:c>
      <x:c r="E40" s="37"/>
      <x:c r="F40" s="37" t="str">
        <x:v>Fasikül Set</x:v>
      </x:c>
      <x:c r="G40" s="43" t="n">
        <x:v>500</x:v>
      </x:c>
      <x:c r="H40" s="46" t="str">
        <x:f>IF(SUMIFS('İndirimler'!$C$2:$C$110,'İndirimler'!$A$2:$A$110,B40,'İndirimler'!$B$2:$B$110,C40)&gt;0,ROUND(G40*(1-SUMIFS('İndirimler'!$C$2:$C$110,'İndirimler'!$A$2:$A$110,B40,'İndirimler'!$B$2:$B$110,C40)),2),"")</x:f>
      </x:c>
      <x:c r="I40" s="49" t="str">
        <x:f>IF(SUMIFS('İndirimler'!$D$2:$D$110,'İndirimler'!$A$2:$A$110,B40,'İndirimler'!$B$2:$B$110,C40)&gt;0,ROUND(G40*(1-SUMIFS('İndirimler'!$D$2:$D$110,'İndirimler'!$A$2:$A$110,B40,'İndirimler'!$B$2:$B$110,C40)),2),"")</x:f>
      </x:c>
      <x:c r="J40" s="37"/>
    </x:row>
    <x:row r="41" ht="22" customHeight="1">
      <x:c r="A41" s="40" t="str">
        <x:v>ORNEK00000045</x:v>
      </x:c>
      <x:c r="B41" s="37" t="str">
        <x:v>Bilgi Sarmal Yayınları</x:v>
      </x:c>
      <x:c r="C41" s="37" t="str">
        <x:v>11. Sınıf</x:v>
      </x:c>
      <x:c r="D41" s="37" t="str">
        <x:v>Türk Dili ve Edebiyatı</x:v>
      </x:c>
      <x:c r="E41" s="37" t="str">
        <x:v>Tema</x:v>
      </x:c>
      <x:c r="F41" s="37" t="str">
        <x:v>Konu Anlatımlı</x:v>
      </x:c>
      <x:c r="G41" s="43" t="n">
        <x:v>500</x:v>
      </x:c>
      <x:c r="H41" s="46" t="str">
        <x:f>IF(SUMIFS('İndirimler'!$C$2:$C$110,'İndirimler'!$A$2:$A$110,B41,'İndirimler'!$B$2:$B$110,C41)&gt;0,ROUND(G41*(1-SUMIFS('İndirimler'!$C$2:$C$110,'İndirimler'!$A$2:$A$110,B41,'İndirimler'!$B$2:$B$110,C41)),2),"")</x:f>
      </x:c>
      <x:c r="I41" s="49" t="str">
        <x:f>IF(SUMIFS('İndirimler'!$D$2:$D$110,'İndirimler'!$A$2:$A$110,B41,'İndirimler'!$B$2:$B$110,C41)&gt;0,ROUND(G41*(1-SUMIFS('İndirimler'!$D$2:$D$110,'İndirimler'!$A$2:$A$110,B41,'İndirimler'!$B$2:$B$110,C41)),2),"")</x:f>
      </x:c>
      <x:c r="J41" s="37"/>
    </x:row>
    <x:row r="42" ht="22" customHeight="1">
      <x:c r="A42" s="40" t="str">
        <x:v>ORNEK00000072</x:v>
      </x:c>
      <x:c r="B42" s="37" t="str">
        <x:v>ENS Yayınları</x:v>
      </x:c>
      <x:c r="C42" s="37" t="str">
        <x:v>11. Sınıf</x:v>
      </x:c>
      <x:c r="D42" s="37" t="str">
        <x:v>Türk Dili ve Edebiyatı</x:v>
      </x:c>
      <x:c r="E42" s="37" t="str">
        <x:v>Defter</x:v>
      </x:c>
      <x:c r="F42" s="37" t="str">
        <x:v>Konu Anlatımlı</x:v>
      </x:c>
      <x:c r="G42" s="43" t="n">
        <x:v>500</x:v>
      </x:c>
      <x:c r="H42" s="46" t="str">
        <x:f>IF(SUMIFS('İndirimler'!$C$2:$C$110,'İndirimler'!$A$2:$A$110,B42,'İndirimler'!$B$2:$B$110,C42)&gt;0,ROUND(G42*(1-SUMIFS('İndirimler'!$C$2:$C$110,'İndirimler'!$A$2:$A$110,B42,'İndirimler'!$B$2:$B$110,C42)),2),"")</x:f>
      </x:c>
      <x:c r="I42" s="49" t="str">
        <x:f>IF(SUMIFS('İndirimler'!$D$2:$D$110,'İndirimler'!$A$2:$A$110,B42,'İndirimler'!$B$2:$B$110,C42)&gt;0,ROUND(G42*(1-SUMIFS('İndirimler'!$D$2:$D$110,'İndirimler'!$A$2:$A$110,B42,'İndirimler'!$B$2:$B$110,C42)),2),"")</x:f>
      </x:c>
      <x:c r="J42" s="37"/>
    </x:row>
    <x:row r="43" ht="22" customHeight="1">
      <x:c r="A43" s="40" t="str">
        <x:v>9786052754122</x:v>
      </x:c>
      <x:c r="B43" s="37" t="str">
        <x:v>Limit</x:v>
      </x:c>
      <x:c r="C43" s="37" t="str">
        <x:v>11. Sınıf</x:v>
      </x:c>
      <x:c r="D43" s="37" t="str">
        <x:v>Türk Dili ve Edebiyatı</x:v>
      </x:c>
      <x:c r="E43" s="37"/>
      <x:c r="F43" s="37" t="str">
        <x:v>Konu Anlatımlı</x:v>
      </x:c>
      <x:c r="G43" s="43" t="n">
        <x:v>546</x:v>
      </x:c>
      <x:c r="H43" s="46" t="str">
        <x:f>IF(SUMIFS('İndirimler'!$C$2:$C$110,'İndirimler'!$A$2:$A$110,B43,'İndirimler'!$B$2:$B$110,C43)&gt;0,ROUND(G43*(1-SUMIFS('İndirimler'!$C$2:$C$110,'İndirimler'!$A$2:$A$110,B43,'İndirimler'!$B$2:$B$110,C43)),2),"")</x:f>
      </x:c>
      <x:c r="I43" s="49" t="str">
        <x:f>IF(SUMIFS('İndirimler'!$D$2:$D$110,'İndirimler'!$A$2:$A$110,B43,'İndirimler'!$B$2:$B$110,C43)&gt;0,ROUND(G43*(1-SUMIFS('İndirimler'!$D$2:$D$110,'İndirimler'!$A$2:$A$110,B43,'İndirimler'!$B$2:$B$110,C43)),2),"")</x:f>
      </x:c>
      <x:c r="J43" s="37"/>
    </x:row>
    <x:row r="44" ht="22" customHeight="1">
      <x:c r="A44" s="40" t="str">
        <x:v>9786256142664</x:v>
      </x:c>
      <x:c r="B44" s="37" t="str">
        <x:v>Miray</x:v>
      </x:c>
      <x:c r="C44" s="37" t="str">
        <x:v>11. Sınıf</x:v>
      </x:c>
      <x:c r="D44" s="37" t="str">
        <x:v>Türk Dili ve Edebiyatı</x:v>
      </x:c>
      <x:c r="E44" s="37" t="str">
        <x:v>Ders Anlatım Fasikülleri</x:v>
      </x:c>
      <x:c r="F44" s="37" t="str">
        <x:v>Konu Anlatımlı</x:v>
      </x:c>
      <x:c r="G44" s="43" t="n">
        <x:v>840</x:v>
      </x:c>
      <x:c r="H44" s="46" t="str">
        <x:f>IF(SUMIFS('İndirimler'!$C$2:$C$110,'İndirimler'!$A$2:$A$110,B44,'İndirimler'!$B$2:$B$110,C44)&gt;0,ROUND(G44*(1-SUMIFS('İndirimler'!$C$2:$C$110,'İndirimler'!$A$2:$A$110,B44,'İndirimler'!$B$2:$B$110,C44)),2),"")</x:f>
      </x:c>
      <x:c r="I44" s="49" t="str">
        <x:f>IF(SUMIFS('İndirimler'!$D$2:$D$110,'İndirimler'!$A$2:$A$110,B44,'İndirimler'!$B$2:$B$110,C44)&gt;0,ROUND(G44*(1-SUMIFS('İndirimler'!$D$2:$D$110,'İndirimler'!$A$2:$A$110,B44,'İndirimler'!$B$2:$B$110,C44)),2),"")</x:f>
      </x:c>
      <x:c r="J44" s="37"/>
    </x:row>
    <x:row r="45" ht="22" customHeight="1">
      <x:c r="A45" s="40" t="str">
        <x:v>9786256921962</x:v>
      </x:c>
      <x:c r="B45" s="37" t="str">
        <x:v>4K</x:v>
      </x:c>
      <x:c r="C45" s="37" t="str">
        <x:v>11. Sınıf</x:v>
      </x:c>
      <x:c r="D45" s="37" t="str">
        <x:v>Türk Dili ve Edebiyatı</x:v>
      </x:c>
      <x:c r="E45" s="37"/>
      <x:c r="F45" s="37" t="str">
        <x:v>Soru Bankası</x:v>
      </x:c>
      <x:c r="G45" s="43" t="n">
        <x:v>402</x:v>
      </x:c>
      <x:c r="H45" s="46" t="str">
        <x:f>IF(SUMIFS('İndirimler'!$C$2:$C$110,'İndirimler'!$A$2:$A$110,B45,'İndirimler'!$B$2:$B$110,C45)&gt;0,ROUND(G45*(1-SUMIFS('İndirimler'!$C$2:$C$110,'İndirimler'!$A$2:$A$110,B45,'İndirimler'!$B$2:$B$110,C45)),2),"")</x:f>
      </x:c>
      <x:c r="I45" s="49" t="str">
        <x:f>IF(SUMIFS('İndirimler'!$D$2:$D$110,'İndirimler'!$A$2:$A$110,B45,'İndirimler'!$B$2:$B$110,C45)&gt;0,ROUND(G45*(1-SUMIFS('İndirimler'!$D$2:$D$110,'İndirimler'!$A$2:$A$110,B45,'İndirimler'!$B$2:$B$110,C45)),2),"")</x:f>
      </x:c>
      <x:c r="J45" s="37"/>
    </x:row>
    <x:row r="46" ht="22" customHeight="1">
      <x:c r="A46" s="40" t="str">
        <x:v>ORNEK00000024</x:v>
      </x:c>
      <x:c r="B46" s="37" t="str">
        <x:v>Bilgi Sarmal Yayınları</x:v>
      </x:c>
      <x:c r="C46" s="37" t="str">
        <x:v>11. Sınıf</x:v>
      </x:c>
      <x:c r="D46" s="37" t="str">
        <x:v>Türk Dili ve Edebiyatı</x:v>
      </x:c>
      <x:c r="E46" s="37"/>
      <x:c r="F46" s="37" t="str">
        <x:v>Soru Bankası</x:v>
      </x:c>
      <x:c r="G46" s="43" t="n">
        <x:v>500</x:v>
      </x:c>
      <x:c r="H46" s="46" t="str">
        <x:f>IF(SUMIFS('İndirimler'!$C$2:$C$110,'İndirimler'!$A$2:$A$110,B46,'İndirimler'!$B$2:$B$110,C46)&gt;0,ROUND(G46*(1-SUMIFS('İndirimler'!$C$2:$C$110,'İndirimler'!$A$2:$A$110,B46,'İndirimler'!$B$2:$B$110,C46)),2),"")</x:f>
      </x:c>
      <x:c r="I46" s="49" t="str">
        <x:f>IF(SUMIFS('İndirimler'!$D$2:$D$110,'İndirimler'!$A$2:$A$110,B46,'İndirimler'!$B$2:$B$110,C46)&gt;0,ROUND(G46*(1-SUMIFS('İndirimler'!$D$2:$D$110,'İndirimler'!$A$2:$A$110,B46,'İndirimler'!$B$2:$B$110,C46)),2),"")</x:f>
      </x:c>
      <x:c r="J46" s="37"/>
    </x:row>
    <x:row r="47" ht="22" customHeight="1">
      <x:c r="A47" s="40" t="str">
        <x:v>ORNEK00000095</x:v>
      </x:c>
      <x:c r="B47" s="37" t="str">
        <x:v>Hız ve Renk Yayınları</x:v>
      </x:c>
      <x:c r="C47" s="37" t="str">
        <x:v>11. Sınıf</x:v>
      </x:c>
      <x:c r="D47" s="37" t="str">
        <x:v>Türk Dili ve Edebiyatı</x:v>
      </x:c>
      <x:c r="E47" s="37" t="str">
        <x:v>HİT</x:v>
      </x:c>
      <x:c r="F47" s="37" t="str">
        <x:v>Soru Bankası</x:v>
      </x:c>
      <x:c r="G47" s="43" t="n">
        <x:v>500</x:v>
      </x:c>
      <x:c r="H47" s="46" t="str">
        <x:f>IF(SUMIFS('İndirimler'!$C$2:$C$110,'İndirimler'!$A$2:$A$110,B47,'İndirimler'!$B$2:$B$110,C47)&gt;0,ROUND(G47*(1-SUMIFS('İndirimler'!$C$2:$C$110,'İndirimler'!$A$2:$A$110,B47,'İndirimler'!$B$2:$B$110,C47)),2),"")</x:f>
      </x:c>
      <x:c r="I47" s="49" t="str">
        <x:f>IF(SUMIFS('İndirimler'!$D$2:$D$110,'İndirimler'!$A$2:$A$110,B47,'İndirimler'!$B$2:$B$110,C47)&gt;0,ROUND(G47*(1-SUMIFS('İndirimler'!$D$2:$D$110,'İndirimler'!$A$2:$A$110,B47,'İndirimler'!$B$2:$B$110,C47)),2),"")</x:f>
      </x:c>
      <x:c r="J47" s="37"/>
    </x:row>
    <x:row r="48" ht="22" customHeight="1">
      <x:c r="A48" s="40" t="str">
        <x:v>9786052753781</x:v>
      </x:c>
      <x:c r="B48" s="37" t="str">
        <x:v>Limit</x:v>
      </x:c>
      <x:c r="C48" s="37" t="str">
        <x:v>11. Sınıf</x:v>
      </x:c>
      <x:c r="D48" s="37" t="str">
        <x:v>Türk Dili ve Edebiyatı</x:v>
      </x:c>
      <x:c r="E48" s="37"/>
      <x:c r="F48" s="37" t="str">
        <x:v>Soru Bankası</x:v>
      </x:c>
      <x:c r="G48" s="43" t="n">
        <x:v>490</x:v>
      </x:c>
      <x:c r="H48" s="46" t="str">
        <x:f>IF(SUMIFS('İndirimler'!$C$2:$C$110,'İndirimler'!$A$2:$A$110,B48,'İndirimler'!$B$2:$B$110,C48)&gt;0,ROUND(G48*(1-SUMIFS('İndirimler'!$C$2:$C$110,'İndirimler'!$A$2:$A$110,B48,'İndirimler'!$B$2:$B$110,C48)),2),"")</x:f>
      </x:c>
      <x:c r="I48" s="49" t="str">
        <x:f>IF(SUMIFS('İndirimler'!$D$2:$D$110,'İndirimler'!$A$2:$A$110,B48,'İndirimler'!$B$2:$B$110,C48)&gt;0,ROUND(G48*(1-SUMIFS('İndirimler'!$D$2:$D$110,'İndirimler'!$A$2:$A$110,B48,'İndirimler'!$B$2:$B$110,C48)),2),"")</x:f>
      </x:c>
      <x:c r="J48" s="37"/>
    </x:row>
    <x:row r="49" ht="22" customHeight="1">
      <x:c r="A49" s="40" t="str">
        <x:v>9786256142671</x:v>
      </x:c>
      <x:c r="B49" s="37" t="str">
        <x:v>Miray</x:v>
      </x:c>
      <x:c r="C49" s="37" t="str">
        <x:v>11. Sınıf</x:v>
      </x:c>
      <x:c r="D49" s="37" t="str">
        <x:v>Türk Dili ve Edebiyatı</x:v>
      </x:c>
      <x:c r="E49" s="37" t="str">
        <x:v>Tematik</x:v>
      </x:c>
      <x:c r="F49" s="37" t="str">
        <x:v>Soru Bankası</x:v>
      </x:c>
      <x:c r="G49" s="43" t="n">
        <x:v>616</x:v>
      </x:c>
      <x:c r="H49" s="46" t="str">
        <x:f>IF(SUMIFS('İndirimler'!$C$2:$C$110,'İndirimler'!$A$2:$A$110,B49,'İndirimler'!$B$2:$B$110,C49)&gt;0,ROUND(G49*(1-SUMIFS('İndirimler'!$C$2:$C$110,'İndirimler'!$A$2:$A$110,B49,'İndirimler'!$B$2:$B$110,C49)),2),"")</x:f>
      </x:c>
      <x:c r="I49" s="49" t="str">
        <x:f>IF(SUMIFS('İndirimler'!$D$2:$D$110,'İndirimler'!$A$2:$A$110,B49,'İndirimler'!$B$2:$B$110,C49)&gt;0,ROUND(G49*(1-SUMIFS('İndirimler'!$D$2:$D$110,'İndirimler'!$A$2:$A$110,B49,'İndirimler'!$B$2:$B$110,C49)),2),"")</x:f>
      </x:c>
      <x:c r="J49" s="37"/>
    </x:row>
    <x:row r="50" ht="22" customHeight="1">
      <x:c r="A50" s="40" t="str">
        <x:v>ORNEK00000111</x:v>
      </x:c>
      <x:c r="B50" s="37" t="str">
        <x:v>Süre Yayınları</x:v>
      </x:c>
      <x:c r="C50" s="37" t="str">
        <x:v>11. Sınıf</x:v>
      </x:c>
      <x:c r="D50" s="37" t="str">
        <x:v>Türk Dili ve Edebiyatı</x:v>
      </x:c>
      <x:c r="E50" s="37"/>
      <x:c r="F50" s="37" t="str">
        <x:v>Soru Bankası</x:v>
      </x:c>
      <x:c r="G50" s="43" t="n">
        <x:v>500</x:v>
      </x:c>
      <x:c r="H50" s="46" t="str">
        <x:f>IF(SUMIFS('İndirimler'!$C$2:$C$110,'İndirimler'!$A$2:$A$110,B50,'İndirimler'!$B$2:$B$110,C50)&gt;0,ROUND(G50*(1-SUMIFS('İndirimler'!$C$2:$C$110,'İndirimler'!$A$2:$A$110,B50,'İndirimler'!$B$2:$B$110,C50)),2),"")</x:f>
      </x:c>
      <x:c r="I50" s="49" t="str">
        <x:f>IF(SUMIFS('İndirimler'!$D$2:$D$110,'İndirimler'!$A$2:$A$110,B50,'İndirimler'!$B$2:$B$110,C50)&gt;0,ROUND(G50*(1-SUMIFS('İndirimler'!$D$2:$D$110,'İndirimler'!$A$2:$A$110,B50,'İndirimler'!$B$2:$B$110,C50)),2),"")</x:f>
      </x:c>
      <x:c r="J50" s="37"/>
    </x:row>
    <x:row r="51" ht="22" customHeight="1">
      <x:c r="A51" s="40" t="str">
        <x:v>ORNEK00000063</x:v>
      </x:c>
      <x:c r="B51" s="37" t="str">
        <x:v>Çap Yayınları</x:v>
      </x:c>
      <x:c r="C51" s="37" t="str">
        <x:v>11. Sınıf</x:v>
      </x:c>
      <x:c r="D51" s="37" t="str">
        <x:v>Türk Dili ve Edebiyatı</x:v>
      </x:c>
      <x:c r="E51" s="37"/>
      <x:c r="F51" s="37" t="str">
        <x:v>Soru Bankası</x:v>
      </x:c>
      <x:c r="G51" s="43" t="n">
        <x:v>500</x:v>
      </x:c>
      <x:c r="H51" s="46" t="str">
        <x:f>IF(SUMIFS('İndirimler'!$C$2:$C$110,'İndirimler'!$A$2:$A$110,B51,'İndirimler'!$B$2:$B$110,C51)&gt;0,ROUND(G51*(1-SUMIFS('İndirimler'!$C$2:$C$110,'İndirimler'!$A$2:$A$110,B51,'İndirimler'!$B$2:$B$110,C51)),2),"")</x:f>
      </x:c>
      <x:c r="I51" s="49" t="str">
        <x:f>IF(SUMIFS('İndirimler'!$D$2:$D$110,'İndirimler'!$A$2:$A$110,B51,'İndirimler'!$B$2:$B$110,C51)&gt;0,ROUND(G51*(1-SUMIFS('İndirimler'!$D$2:$D$110,'İndirimler'!$A$2:$A$110,B51,'İndirimler'!$B$2:$B$110,C51)),2),"")</x:f>
      </x:c>
      <x:c r="J51" s="37"/>
    </x:row>
    <x:row r="52" ht="22" customHeight="1">
      <x:c r="A52" s="40" t="str">
        <x:v>ORNEK00000080</x:v>
      </x:c>
      <x:c r="B52" s="37" t="str">
        <x:v>ENS Yayınları</x:v>
      </x:c>
      <x:c r="C52" s="37" t="str">
        <x:v>11. Sınıf</x:v>
      </x:c>
      <x:c r="D52" s="37" t="str">
        <x:v>Türk Dili ve Edebiyatı</x:v>
      </x:c>
      <x:c r="E52" s="37"/>
      <x:c r="F52" s="37" t="str">
        <x:v>Etkinlik Kitabı</x:v>
      </x:c>
      <x:c r="G52" s="43" t="n">
        <x:v>500</x:v>
      </x:c>
      <x:c r="H52" s="46" t="str">
        <x:f>IF(SUMIFS('İndirimler'!$C$2:$C$110,'İndirimler'!$A$2:$A$110,B52,'İndirimler'!$B$2:$B$110,C52)&gt;0,ROUND(G52*(1-SUMIFS('İndirimler'!$C$2:$C$110,'İndirimler'!$A$2:$A$110,B52,'İndirimler'!$B$2:$B$110,C52)),2),"")</x:f>
      </x:c>
      <x:c r="I52" s="49" t="str">
        <x:f>IF(SUMIFS('İndirimler'!$D$2:$D$110,'İndirimler'!$A$2:$A$110,B52,'İndirimler'!$B$2:$B$110,C52)&gt;0,ROUND(G52*(1-SUMIFS('İndirimler'!$D$2:$D$110,'İndirimler'!$A$2:$A$110,B52,'İndirimler'!$B$2:$B$110,C52)),2),"")</x:f>
      </x:c>
      <x:c r="J52" s="37"/>
    </x:row>
    <x:row r="53" ht="22" customHeight="1">
      <x:c r="A53" s="40" t="str">
        <x:v>9786259012292</x:v>
      </x:c>
      <x:c r="B53" s="37" t="str">
        <x:v>Çap Yayınları</x:v>
      </x:c>
      <x:c r="C53" s="37" t="str">
        <x:v>Maarif TYT</x:v>
      </x:c>
      <x:c r="D53" s="37" t="str">
        <x:v>Türk Dili ve Edebiyatı</x:v>
      </x:c>
      <x:c r="E53" s="37" t="str">
        <x:v>Tematik</x:v>
      </x:c>
      <x:c r="F53" s="37" t="str">
        <x:v>Soru Bankası</x:v>
      </x:c>
      <x:c r="G53" s="43" t="n">
        <x:v>365</x:v>
      </x:c>
      <x:c r="H53" s="46" t="str">
        <x:f>IF(SUMIFS('İndirimler'!$C$2:$C$110,'İndirimler'!$A$2:$A$110,B53,'İndirimler'!$B$2:$B$110,C53)&gt;0,ROUND(G53*(1-SUMIFS('İndirimler'!$C$2:$C$110,'İndirimler'!$A$2:$A$110,B53,'İndirimler'!$B$2:$B$110,C53)),2),"")</x:f>
      </x:c>
      <x:c r="I53" s="49" t="str">
        <x:f>IF(SUMIFS('İndirimler'!$D$2:$D$110,'İndirimler'!$A$2:$A$110,B53,'İndirimler'!$B$2:$B$110,C53)&gt;0,ROUND(G53*(1-SUMIFS('İndirimler'!$D$2:$D$110,'İndirimler'!$A$2:$A$110,B53,'İndirimler'!$B$2:$B$110,C53)),2),"")</x:f>
      </x:c>
      <x:c r="J53" s="37"/>
    </x:row>
    <x:row r="54" ht="22" customHeight="1">
      <x:c r="A54" s="40" t="str">
        <x:v>9786257134484</x:v>
      </x:c>
      <x:c r="B54" s="37" t="str">
        <x:v>Acil Yayınları</x:v>
      </x:c>
      <x:c r="C54" s="37" t="str">
        <x:v>9. Sınıf</x:v>
      </x:c>
      <x:c r="D54" s="37" t="str">
        <x:v>Matematik</x:v>
      </x:c>
      <x:c r="E54" s="37" t="str">
        <x:v>Tema</x:v>
      </x:c>
      <x:c r="F54" s="37" t="str">
        <x:v>Fasikül Set</x:v>
      </x:c>
      <x:c r="G54" s="43" t="n">
        <x:v>659</x:v>
      </x:c>
      <x:c r="H54" s="46" t="str">
        <x:f>IF(SUMIFS('İndirimler'!$C$2:$C$110,'İndirimler'!$A$2:$A$110,B54,'İndirimler'!$B$2:$B$110,C54)&gt;0,ROUND(G54*(1-SUMIFS('İndirimler'!$C$2:$C$110,'İndirimler'!$A$2:$A$110,B54,'İndirimler'!$B$2:$B$110,C54)),2),"")</x:f>
      </x:c>
      <x:c r="I54" s="49" t="str">
        <x:f>IF(SUMIFS('İndirimler'!$D$2:$D$110,'İndirimler'!$A$2:$A$110,B54,'İndirimler'!$B$2:$B$110,C54)&gt;0,ROUND(G54*(1-SUMIFS('İndirimler'!$D$2:$D$110,'İndirimler'!$A$2:$A$110,B54,'İndirimler'!$B$2:$B$110,C54)),2),"")</x:f>
      </x:c>
      <x:c r="J54" s="37"/>
    </x:row>
    <x:row r="55" ht="22" customHeight="1">
      <x:c r="A55" s="40" t="str">
        <x:v>9786257134903</x:v>
      </x:c>
      <x:c r="B55" s="37" t="str">
        <x:v>Acil Yayınları</x:v>
      </x:c>
      <x:c r="C55" s="37" t="str">
        <x:v>9. Sınıf</x:v>
      </x:c>
      <x:c r="D55" s="37" t="str">
        <x:v>Matematik</x:v>
      </x:c>
      <x:c r="E55" s="37" t="str">
        <x:v>Tema</x:v>
      </x:c>
      <x:c r="F55" s="37" t="str">
        <x:v>Fasikül Set</x:v>
      </x:c>
      <x:c r="G55" s="43" t="n">
        <x:v>659</x:v>
      </x:c>
      <x:c r="H55" s="46" t="str">
        <x:f>IF(SUMIFS('İndirimler'!$C$2:$C$110,'İndirimler'!$A$2:$A$110,B55,'İndirimler'!$B$2:$B$110,C55)&gt;0,ROUND(G55*(1-SUMIFS('İndirimler'!$C$2:$C$110,'İndirimler'!$A$2:$A$110,B55,'İndirimler'!$B$2:$B$110,C55)),2),"")</x:f>
      </x:c>
      <x:c r="I55" s="49" t="str">
        <x:f>IF(SUMIFS('İndirimler'!$D$2:$D$110,'İndirimler'!$A$2:$A$110,B55,'İndirimler'!$B$2:$B$110,C55)&gt;0,ROUND(G55*(1-SUMIFS('İndirimler'!$D$2:$D$110,'İndirimler'!$A$2:$A$110,B55,'İndirimler'!$B$2:$B$110,C55)),2),"")</x:f>
      </x:c>
      <x:c r="J55" s="37"/>
    </x:row>
    <x:row r="56" ht="22" customHeight="1">
      <x:c r="A56" s="40" t="str">
        <x:v>ORNEK00000009</x:v>
      </x:c>
      <x:c r="B56" s="37" t="str">
        <x:v>Aktif Öğrenme Yayınları</x:v>
      </x:c>
      <x:c r="C56" s="37" t="str">
        <x:v>9. Sınıf</x:v>
      </x:c>
      <x:c r="D56" s="37" t="str">
        <x:v>Matematik</x:v>
      </x:c>
      <x:c r="E56" s="37" t="str">
        <x:v>Prime</x:v>
      </x:c>
      <x:c r="F56" s="37" t="str">
        <x:v>Fasikül Set</x:v>
      </x:c>
      <x:c r="G56" s="43" t="n">
        <x:v>500</x:v>
      </x:c>
      <x:c r="H56" s="46" t="str">
        <x:f>IF(SUMIFS('İndirimler'!$C$2:$C$110,'İndirimler'!$A$2:$A$110,B56,'İndirimler'!$B$2:$B$110,C56)&gt;0,ROUND(G56*(1-SUMIFS('İndirimler'!$C$2:$C$110,'İndirimler'!$A$2:$A$110,B56,'İndirimler'!$B$2:$B$110,C56)),2),"")</x:f>
      </x:c>
      <x:c r="I56" s="49" t="str">
        <x:f>IF(SUMIFS('İndirimler'!$D$2:$D$110,'İndirimler'!$A$2:$A$110,B56,'İndirimler'!$B$2:$B$110,C56)&gt;0,ROUND(G56*(1-SUMIFS('İndirimler'!$D$2:$D$110,'İndirimler'!$A$2:$A$110,B56,'İndirimler'!$B$2:$B$110,C56)),2),"")</x:f>
      </x:c>
      <x:c r="J56" s="37"/>
    </x:row>
    <x:row r="57" ht="22" customHeight="1">
      <x:c r="A57" s="40" t="str">
        <x:v>9786256531451</x:v>
      </x:c>
      <x:c r="B57" s="37" t="str">
        <x:v>Mikro Orijinal Yayınları</x:v>
      </x:c>
      <x:c r="C57" s="37" t="str">
        <x:v>9. Sınıf</x:v>
      </x:c>
      <x:c r="D57" s="37" t="str">
        <x:v>Matematik</x:v>
      </x:c>
      <x:c r="E57" s="37" t="str">
        <x:v>MÖF / Mikro</x:v>
      </x:c>
      <x:c r="F57" s="37" t="str">
        <x:v>Fasikül Set</x:v>
      </x:c>
      <x:c r="G57" s="43" t="n">
        <x:v>659</x:v>
      </x:c>
      <x:c r="H57" s="46" t="str">
        <x:f>IF(SUMIFS('İndirimler'!$C$2:$C$110,'İndirimler'!$A$2:$A$110,B57,'İndirimler'!$B$2:$B$110,C57)&gt;0,ROUND(G57*(1-SUMIFS('İndirimler'!$C$2:$C$110,'İndirimler'!$A$2:$A$110,B57,'İndirimler'!$B$2:$B$110,C57)),2),"")</x:f>
      </x:c>
      <x:c r="I57" s="49" t="str">
        <x:f>IF(SUMIFS('İndirimler'!$D$2:$D$110,'İndirimler'!$A$2:$A$110,B57,'İndirimler'!$B$2:$B$110,C57)&gt;0,ROUND(G57*(1-SUMIFS('İndirimler'!$D$2:$D$110,'İndirimler'!$A$2:$A$110,B57,'İndirimler'!$B$2:$B$110,C57)),2),"")</x:f>
      </x:c>
      <x:c r="J57" s="37"/>
    </x:row>
    <x:row r="58" ht="22" customHeight="1">
      <x:c r="A58" s="40" t="str">
        <x:v>9786255708076</x:v>
      </x:c>
      <x:c r="B58" s="37" t="str">
        <x:v>Orijinal Matematik Yayınları</x:v>
      </x:c>
      <x:c r="C58" s="37" t="str">
        <x:v>9. Sınıf</x:v>
      </x:c>
      <x:c r="D58" s="37" t="str">
        <x:v>Matematik</x:v>
      </x:c>
      <x:c r="E58" s="37" t="str">
        <x:v>ODF</x:v>
      </x:c>
      <x:c r="F58" s="37" t="str">
        <x:v>Fasikül Set</x:v>
      </x:c>
      <x:c r="G58" s="43" t="n">
        <x:v>659</x:v>
      </x:c>
      <x:c r="H58" s="46" t="str">
        <x:f>IF(SUMIFS('İndirimler'!$C$2:$C$110,'İndirimler'!$A$2:$A$110,B58,'İndirimler'!$B$2:$B$110,C58)&gt;0,ROUND(G58*(1-SUMIFS('İndirimler'!$C$2:$C$110,'İndirimler'!$A$2:$A$110,B58,'İndirimler'!$B$2:$B$110,C58)),2),"")</x:f>
      </x:c>
      <x:c r="I58" s="49" t="str">
        <x:f>IF(SUMIFS('İndirimler'!$D$2:$D$110,'İndirimler'!$A$2:$A$110,B58,'İndirimler'!$B$2:$B$110,C58)&gt;0,ROUND(G58*(1-SUMIFS('İndirimler'!$D$2:$D$110,'İndirimler'!$A$2:$A$110,B58,'İndirimler'!$B$2:$B$110,C58)),2),"")</x:f>
      </x:c>
      <x:c r="J58" s="37"/>
    </x:row>
    <x:row r="59" ht="22" customHeight="1">
      <x:c r="A59" s="40" t="str">
        <x:v>9786256531536</x:v>
      </x:c>
      <x:c r="B59" s="37" t="str">
        <x:v>Orijinal Matematik Yayınları</x:v>
      </x:c>
      <x:c r="C59" s="37" t="str">
        <x:v>9. Sınıf</x:v>
      </x:c>
      <x:c r="D59" s="37" t="str">
        <x:v>Matematik</x:v>
      </x:c>
      <x:c r="E59" s="37" t="str">
        <x:v>ODF-KDT</x:v>
      </x:c>
      <x:c r="F59" s="37" t="str">
        <x:v>Fasikül Set</x:v>
      </x:c>
      <x:c r="G59" s="43" t="n">
        <x:v>659</x:v>
      </x:c>
      <x:c r="H59" s="46" t="str">
        <x:f>IF(SUMIFS('İndirimler'!$C$2:$C$110,'İndirimler'!$A$2:$A$110,B59,'İndirimler'!$B$2:$B$110,C59)&gt;0,ROUND(G59*(1-SUMIFS('İndirimler'!$C$2:$C$110,'İndirimler'!$A$2:$A$110,B59,'İndirimler'!$B$2:$B$110,C59)),2),"")</x:f>
      </x:c>
      <x:c r="I59" s="49" t="str">
        <x:f>IF(SUMIFS('İndirimler'!$D$2:$D$110,'İndirimler'!$A$2:$A$110,B59,'İndirimler'!$B$2:$B$110,C59)&gt;0,ROUND(G59*(1-SUMIFS('İndirimler'!$D$2:$D$110,'İndirimler'!$A$2:$A$110,B59,'İndirimler'!$B$2:$B$110,C59)),2),"")</x:f>
      </x:c>
      <x:c r="J59" s="37"/>
    </x:row>
    <x:row r="60" ht="22" customHeight="1">
      <x:c r="A60" s="40" t="str">
        <x:v>9786259205762</x:v>
      </x:c>
      <x:c r="B60" s="37" t="str">
        <x:v>Ulti Yayınları</x:v>
      </x:c>
      <x:c r="C60" s="37" t="str">
        <x:v>9. Sınıf</x:v>
      </x:c>
      <x:c r="D60" s="37" t="str">
        <x:v>Matematik</x:v>
      </x:c>
      <x:c r="E60" s="37"/>
      <x:c r="F60" s="37" t="str">
        <x:v>Fasikül Set</x:v>
      </x:c>
      <x:c r="G60" s="43" t="n">
        <x:v>699</x:v>
      </x:c>
      <x:c r="H60" s="46" t="str">
        <x:f>IF(SUMIFS('İndirimler'!$C$2:$C$110,'İndirimler'!$A$2:$A$110,B60,'İndirimler'!$B$2:$B$110,C60)&gt;0,ROUND(G60*(1-SUMIFS('İndirimler'!$C$2:$C$110,'İndirimler'!$A$2:$A$110,B60,'İndirimler'!$B$2:$B$110,C60)),2),"")</x:f>
      </x:c>
      <x:c r="I60" s="49" t="str">
        <x:f>IF(SUMIFS('İndirimler'!$D$2:$D$110,'İndirimler'!$A$2:$A$110,B60,'İndirimler'!$B$2:$B$110,C60)&gt;0,ROUND(G60*(1-SUMIFS('İndirimler'!$D$2:$D$110,'İndirimler'!$A$2:$A$110,B60,'İndirimler'!$B$2:$B$110,C60)),2),"")</x:f>
      </x:c>
      <x:c r="J60" s="37"/>
    </x:row>
    <x:row r="61" ht="22" customHeight="1">
      <x:c r="A61" s="40" t="str">
        <x:v>9786057997326</x:v>
      </x:c>
      <x:c r="B61" s="37" t="str">
        <x:v>Yarıçap Yayınları</x:v>
      </x:c>
      <x:c r="C61" s="37" t="str">
        <x:v>9. Sınıf</x:v>
      </x:c>
      <x:c r="D61" s="37" t="str">
        <x:v>Matematik</x:v>
      </x:c>
      <x:c r="E61" s="37"/>
      <x:c r="F61" s="37" t="str">
        <x:v>Fasikül Set</x:v>
      </x:c>
      <x:c r="G61" s="43" t="n">
        <x:v>999</x:v>
      </x:c>
      <x:c r="H61" s="46" t="str">
        <x:f>IF(SUMIFS('İndirimler'!$C$2:$C$110,'İndirimler'!$A$2:$A$110,B61,'İndirimler'!$B$2:$B$110,C61)&gt;0,ROUND(G61*(1-SUMIFS('İndirimler'!$C$2:$C$110,'İndirimler'!$A$2:$A$110,B61,'İndirimler'!$B$2:$B$110,C61)),2),"")</x:f>
      </x:c>
      <x:c r="I61" s="49" t="str">
        <x:f>IF(SUMIFS('İndirimler'!$D$2:$D$110,'İndirimler'!$A$2:$A$110,B61,'İndirimler'!$B$2:$B$110,C61)&gt;0,ROUND(G61*(1-SUMIFS('İndirimler'!$D$2:$D$110,'İndirimler'!$A$2:$A$110,B61,'İndirimler'!$B$2:$B$110,C61)),2),"")</x:f>
      </x:c>
      <x:c r="J61" s="37"/>
    </x:row>
    <x:row r="62" ht="22" customHeight="1">
      <x:c r="A62" s="40" t="str">
        <x:v>9786256040328</x:v>
      </x:c>
      <x:c r="B62" s="37" t="str">
        <x:v>Çap Yayınları</x:v>
      </x:c>
      <x:c r="C62" s="37" t="str">
        <x:v>9. Sınıf</x:v>
      </x:c>
      <x:c r="D62" s="37" t="str">
        <x:v>Matematik</x:v>
      </x:c>
      <x:c r="E62" s="37"/>
      <x:c r="F62" s="37" t="str">
        <x:v>Fasikül Set</x:v>
      </x:c>
      <x:c r="G62" s="43" t="n">
        <x:v>899</x:v>
      </x:c>
      <x:c r="H62" s="46" t="str">
        <x:f>IF(SUMIFS('İndirimler'!$C$2:$C$110,'İndirimler'!$A$2:$A$110,B62,'İndirimler'!$B$2:$B$110,C62)&gt;0,ROUND(G62*(1-SUMIFS('İndirimler'!$C$2:$C$110,'İndirimler'!$A$2:$A$110,B62,'İndirimler'!$B$2:$B$110,C62)),2),"")</x:f>
      </x:c>
      <x:c r="I62" s="49" t="str">
        <x:f>IF(SUMIFS('İndirimler'!$D$2:$D$110,'İndirimler'!$A$2:$A$110,B62,'İndirimler'!$B$2:$B$110,C62)&gt;0,ROUND(G62*(1-SUMIFS('İndirimler'!$D$2:$D$110,'İndirimler'!$A$2:$A$110,B62,'İndirimler'!$B$2:$B$110,C62)),2),"")</x:f>
      </x:c>
      <x:c r="J62" s="37"/>
    </x:row>
    <x:row r="63" ht="22" customHeight="1">
      <x:c r="A63" s="40" t="str">
        <x:v>9786256142121</x:v>
      </x:c>
      <x:c r="B63" s="37" t="str">
        <x:v>Aydın</x:v>
      </x:c>
      <x:c r="C63" s="37" t="str">
        <x:v>9. Sınıf</x:v>
      </x:c>
      <x:c r="D63" s="37" t="str">
        <x:v>Matematik</x:v>
      </x:c>
      <x:c r="E63" s="37" t="str">
        <x:v>Tematik / Ders İşleyiş Modülleri</x:v>
      </x:c>
      <x:c r="F63" s="37" t="str">
        <x:v>Konu Anlatımlı</x:v>
      </x:c>
      <x:c r="G63" s="43" t="n">
        <x:v>644</x:v>
      </x:c>
      <x:c r="H63" s="46" t="str">
        <x:f>IF(SUMIFS('İndirimler'!$C$2:$C$110,'İndirimler'!$A$2:$A$110,B63,'İndirimler'!$B$2:$B$110,C63)&gt;0,ROUND(G63*(1-SUMIFS('İndirimler'!$C$2:$C$110,'İndirimler'!$A$2:$A$110,B63,'İndirimler'!$B$2:$B$110,C63)),2),"")</x:f>
      </x:c>
      <x:c r="I63" s="49" t="str">
        <x:f>IF(SUMIFS('İndirimler'!$D$2:$D$110,'İndirimler'!$A$2:$A$110,B63,'İndirimler'!$B$2:$B$110,C63)&gt;0,ROUND(G63*(1-SUMIFS('İndirimler'!$D$2:$D$110,'İndirimler'!$A$2:$A$110,B63,'İndirimler'!$B$2:$B$110,C63)),2),"")</x:f>
      </x:c>
      <x:c r="J63" s="37"/>
    </x:row>
    <x:row r="64" ht="22" customHeight="1">
      <x:c r="A64" s="40" t="str">
        <x:v>9786256630420</x:v>
      </x:c>
      <x:c r="B64" s="37" t="str">
        <x:v>Eğitim Vadisi</x:v>
      </x:c>
      <x:c r="C64" s="37" t="str">
        <x:v>9. Sınıf</x:v>
      </x:c>
      <x:c r="D64" s="37" t="str">
        <x:v>Matematik</x:v>
      </x:c>
      <x:c r="E64" s="37" t="str">
        <x:v>Tematik / TAK Tam Anlatım Kitabı</x:v>
      </x:c>
      <x:c r="F64" s="37" t="str">
        <x:v>Konu Anlatımlı</x:v>
      </x:c>
      <x:c r="G64" s="43" t="n">
        <x:v>428</x:v>
      </x:c>
      <x:c r="H64" s="46" t="str">
        <x:f>IF(SUMIFS('İndirimler'!$C$2:$C$110,'İndirimler'!$A$2:$A$110,B64,'İndirimler'!$B$2:$B$110,C64)&gt;0,ROUND(G64*(1-SUMIFS('İndirimler'!$C$2:$C$110,'İndirimler'!$A$2:$A$110,B64,'İndirimler'!$B$2:$B$110,C64)),2),"")</x:f>
      </x:c>
      <x:c r="I64" s="49" t="str">
        <x:f>IF(SUMIFS('İndirimler'!$D$2:$D$110,'İndirimler'!$A$2:$A$110,B64,'İndirimler'!$B$2:$B$110,C64)&gt;0,ROUND(G64*(1-SUMIFS('İndirimler'!$D$2:$D$110,'İndirimler'!$A$2:$A$110,B64,'İndirimler'!$B$2:$B$110,C64)),2),"")</x:f>
      </x:c>
      <x:c r="J64" s="37" t="str">
        <x:v>https://app.karakok.net/spShowFlip/1549</x:v>
      </x:c>
    </x:row>
    <x:row r="65" ht="22" customHeight="1">
      <x:c r="A65" s="40" t="str">
        <x:v>9786052756706</x:v>
      </x:c>
      <x:c r="B65" s="37" t="str">
        <x:v>Limit</x:v>
      </x:c>
      <x:c r="C65" s="37" t="str">
        <x:v>9. Sınıf</x:v>
      </x:c>
      <x:c r="D65" s="37" t="str">
        <x:v>Matematik</x:v>
      </x:c>
      <x:c r="E65" s="37" t="str">
        <x:v>Tematik</x:v>
      </x:c>
      <x:c r="F65" s="37" t="str">
        <x:v>Konu Anlatımlı</x:v>
      </x:c>
      <x:c r="G65" s="43" t="n">
        <x:v>576</x:v>
      </x:c>
      <x:c r="H65" s="46" t="str">
        <x:f>IF(SUMIFS('İndirimler'!$C$2:$C$110,'İndirimler'!$A$2:$A$110,B65,'İndirimler'!$B$2:$B$110,C65)&gt;0,ROUND(G65*(1-SUMIFS('İndirimler'!$C$2:$C$110,'İndirimler'!$A$2:$A$110,B65,'İndirimler'!$B$2:$B$110,C65)),2),"")</x:f>
      </x:c>
      <x:c r="I65" s="49" t="str">
        <x:f>IF(SUMIFS('İndirimler'!$D$2:$D$110,'İndirimler'!$A$2:$A$110,B65,'İndirimler'!$B$2:$B$110,C65)&gt;0,ROUND(G65*(1-SUMIFS('İndirimler'!$D$2:$D$110,'İndirimler'!$A$2:$A$110,B65,'İndirimler'!$B$2:$B$110,C65)),2),"")</x:f>
      </x:c>
      <x:c r="J65" s="37"/>
    </x:row>
    <x:row r="66" ht="22" customHeight="1">
      <x:c r="A66" s="40" t="str">
        <x:v>9786052757048</x:v>
      </x:c>
      <x:c r="B66" s="37" t="str">
        <x:v>Limit</x:v>
      </x:c>
      <x:c r="C66" s="37" t="str">
        <x:v>9. Sınıf</x:v>
      </x:c>
      <x:c r="D66" s="37" t="str">
        <x:v>Matematik</x:v>
      </x:c>
      <x:c r="E66" s="37" t="str">
        <x:v>Tematik</x:v>
      </x:c>
      <x:c r="F66" s="37" t="str">
        <x:v>Konu Anlatımlı</x:v>
      </x:c>
      <x:c r="G66" s="43" t="n">
        <x:v>576</x:v>
      </x:c>
      <x:c r="H66" s="46" t="str">
        <x:f>IF(SUMIFS('İndirimler'!$C$2:$C$110,'İndirimler'!$A$2:$A$110,B66,'İndirimler'!$B$2:$B$110,C66)&gt;0,ROUND(G66*(1-SUMIFS('İndirimler'!$C$2:$C$110,'İndirimler'!$A$2:$A$110,B66,'İndirimler'!$B$2:$B$110,C66)),2),"")</x:f>
      </x:c>
      <x:c r="I66" s="49" t="str">
        <x:f>IF(SUMIFS('İndirimler'!$D$2:$D$110,'İndirimler'!$A$2:$A$110,B66,'İndirimler'!$B$2:$B$110,C66)&gt;0,ROUND(G66*(1-SUMIFS('İndirimler'!$D$2:$D$110,'İndirimler'!$A$2:$A$110,B66,'İndirimler'!$B$2:$B$110,C66)),2),"")</x:f>
      </x:c>
      <x:c r="J66" s="37"/>
    </x:row>
    <x:row r="67" ht="22" customHeight="1">
      <x:c r="A67" s="40" t="str">
        <x:v>9786256412965</x:v>
      </x:c>
      <x:c r="B67" s="37" t="str">
        <x:v>Miray</x:v>
      </x:c>
      <x:c r="C67" s="37" t="str">
        <x:v>9. Sınıf</x:v>
      </x:c>
      <x:c r="D67" s="37" t="str">
        <x:v>Matematik</x:v>
      </x:c>
      <x:c r="E67" s="37" t="str">
        <x:v>Tematik / Ders Anlatım Fasikülleri</x:v>
      </x:c>
      <x:c r="F67" s="37" t="str">
        <x:v>Konu Anlatımlı</x:v>
      </x:c>
      <x:c r="G67" s="43" t="n">
        <x:v>840</x:v>
      </x:c>
      <x:c r="H67" s="46" t="str">
        <x:f>IF(SUMIFS('İndirimler'!$C$2:$C$110,'İndirimler'!$A$2:$A$110,B67,'İndirimler'!$B$2:$B$110,C67)&gt;0,ROUND(G67*(1-SUMIFS('İndirimler'!$C$2:$C$110,'İndirimler'!$A$2:$A$110,B67,'İndirimler'!$B$2:$B$110,C67)),2),"")</x:f>
      </x:c>
      <x:c r="I67" s="49" t="str">
        <x:f>IF(SUMIFS('İndirimler'!$D$2:$D$110,'İndirimler'!$A$2:$A$110,B67,'İndirimler'!$B$2:$B$110,C67)&gt;0,ROUND(G67*(1-SUMIFS('İndirimler'!$D$2:$D$110,'İndirimler'!$A$2:$A$110,B67,'İndirimler'!$B$2:$B$110,C67)),2),"")</x:f>
      </x:c>
      <x:c r="J67" s="37"/>
    </x:row>
    <x:row r="68" ht="22" customHeight="1">
      <x:c r="A68" s="40" t="str">
        <x:v>9786256921559</x:v>
      </x:c>
      <x:c r="B68" s="37" t="str">
        <x:v>4K</x:v>
      </x:c>
      <x:c r="C68" s="37" t="str">
        <x:v>9. Sınıf</x:v>
      </x:c>
      <x:c r="D68" s="37" t="str">
        <x:v>Matematik</x:v>
      </x:c>
      <x:c r="E68" s="37" t="str">
        <x:v>Tematik</x:v>
      </x:c>
      <x:c r="F68" s="37" t="str">
        <x:v>Soru Bankası</x:v>
      </x:c>
      <x:c r="G68" s="43" t="n">
        <x:v>498</x:v>
      </x:c>
      <x:c r="H68" s="46" t="str">
        <x:f>IF(SUMIFS('İndirimler'!$C$2:$C$110,'İndirimler'!$A$2:$A$110,B68,'İndirimler'!$B$2:$B$110,C68)&gt;0,ROUND(G68*(1-SUMIFS('İndirimler'!$C$2:$C$110,'İndirimler'!$A$2:$A$110,B68,'İndirimler'!$B$2:$B$110,C68)),2),"")</x:f>
      </x:c>
      <x:c r="I68" s="49" t="str">
        <x:f>IF(SUMIFS('İndirimler'!$D$2:$D$110,'İndirimler'!$A$2:$A$110,B68,'İndirimler'!$B$2:$B$110,C68)&gt;0,ROUND(G68*(1-SUMIFS('İndirimler'!$D$2:$D$110,'İndirimler'!$A$2:$A$110,B68,'İndirimler'!$B$2:$B$110,C68)),2),"")</x:f>
      </x:c>
      <x:c r="J68" s="37" t="str">
        <x:v>https://app.karakok.net/spShowFlip/2143</x:v>
      </x:c>
    </x:row>
    <x:row r="69" ht="22" customHeight="1">
      <x:c r="A69" s="40" t="str">
        <x:v>9786257134477</x:v>
      </x:c>
      <x:c r="B69" s="37" t="str">
        <x:v>Acil Yayınları</x:v>
      </x:c>
      <x:c r="C69" s="37" t="str">
        <x:v>9. Sınıf</x:v>
      </x:c>
      <x:c r="D69" s="37" t="str">
        <x:v>Matematik</x:v>
      </x:c>
      <x:c r="E69" s="37"/>
      <x:c r="F69" s="37" t="str">
        <x:v>Soru Bankası</x:v>
      </x:c>
      <x:c r="G69" s="43" t="n">
        <x:v>479</x:v>
      </x:c>
      <x:c r="H69" s="46" t="str">
        <x:f>IF(SUMIFS('İndirimler'!$C$2:$C$110,'İndirimler'!$A$2:$A$110,B69,'İndirimler'!$B$2:$B$110,C69)&gt;0,ROUND(G69*(1-SUMIFS('İndirimler'!$C$2:$C$110,'İndirimler'!$A$2:$A$110,B69,'İndirimler'!$B$2:$B$110,C69)),2),"")</x:f>
      </x:c>
      <x:c r="I69" s="49" t="str">
        <x:f>IF(SUMIFS('İndirimler'!$D$2:$D$110,'İndirimler'!$A$2:$A$110,B69,'İndirimler'!$B$2:$B$110,C69)&gt;0,ROUND(G69*(1-SUMIFS('İndirimler'!$D$2:$D$110,'İndirimler'!$A$2:$A$110,B69,'İndirimler'!$B$2:$B$110,C69)),2),"")</x:f>
      </x:c>
      <x:c r="J69" s="37"/>
    </x:row>
    <x:row r="70" ht="22" customHeight="1">
      <x:c r="A70" s="40" t="str">
        <x:v>9786255811134</x:v>
      </x:c>
      <x:c r="B70" s="37" t="str">
        <x:v>Acil Yayınları</x:v>
      </x:c>
      <x:c r="C70" s="37" t="str">
        <x:v>9. Sınıf</x:v>
      </x:c>
      <x:c r="D70" s="37" t="str">
        <x:v>Matematik</x:v>
      </x:c>
      <x:c r="E70" s="37" t="str">
        <x:v>Matematiğin İlacı</x:v>
      </x:c>
      <x:c r="F70" s="37" t="str">
        <x:v>Soru Bankası</x:v>
      </x:c>
      <x:c r="G70" s="43" t="n">
        <x:v>505</x:v>
      </x:c>
      <x:c r="H70" s="46" t="str">
        <x:f>IF(SUMIFS('İndirimler'!$C$2:$C$110,'İndirimler'!$A$2:$A$110,B70,'İndirimler'!$B$2:$B$110,C70)&gt;0,ROUND(G70*(1-SUMIFS('İndirimler'!$C$2:$C$110,'İndirimler'!$A$2:$A$110,B70,'İndirimler'!$B$2:$B$110,C70)),2),"")</x:f>
      </x:c>
      <x:c r="I70" s="49" t="str">
        <x:f>IF(SUMIFS('İndirimler'!$D$2:$D$110,'İndirimler'!$A$2:$A$110,B70,'İndirimler'!$B$2:$B$110,C70)&gt;0,ROUND(G70*(1-SUMIFS('İndirimler'!$D$2:$D$110,'İndirimler'!$A$2:$A$110,B70,'İndirimler'!$B$2:$B$110,C70)),2),"")</x:f>
      </x:c>
      <x:c r="J70" s="37"/>
    </x:row>
    <x:row r="71" ht="22" customHeight="1">
      <x:c r="A71" s="40" t="str">
        <x:v>9786256412804</x:v>
      </x:c>
      <x:c r="B71" s="37" t="str">
        <x:v>Aydın</x:v>
      </x:c>
      <x:c r="C71" s="37" t="str">
        <x:v>9. Sınıf</x:v>
      </x:c>
      <x:c r="D71" s="37" t="str">
        <x:v>Matematik</x:v>
      </x:c>
      <x:c r="E71" s="37" t="str">
        <x:v>Tematik</x:v>
      </x:c>
      <x:c r="F71" s="37" t="str">
        <x:v>Soru Bankası</x:v>
      </x:c>
      <x:c r="G71" s="43" t="n">
        <x:v>608</x:v>
      </x:c>
      <x:c r="H71" s="46" t="str">
        <x:f>IF(SUMIFS('İndirimler'!$C$2:$C$110,'İndirimler'!$A$2:$A$110,B71,'İndirimler'!$B$2:$B$110,C71)&gt;0,ROUND(G71*(1-SUMIFS('İndirimler'!$C$2:$C$110,'İndirimler'!$A$2:$A$110,B71,'İndirimler'!$B$2:$B$110,C71)),2),"")</x:f>
      </x:c>
      <x:c r="I71" s="49" t="str">
        <x:f>IF(SUMIFS('İndirimler'!$D$2:$D$110,'İndirimler'!$A$2:$A$110,B71,'İndirimler'!$B$2:$B$110,C71)&gt;0,ROUND(G71*(1-SUMIFS('İndirimler'!$D$2:$D$110,'İndirimler'!$A$2:$A$110,B71,'İndirimler'!$B$2:$B$110,C71)),2),"")</x:f>
      </x:c>
      <x:c r="J71" s="37"/>
    </x:row>
    <x:row r="72" ht="22" customHeight="1">
      <x:c r="A72" s="40" t="str">
        <x:v>9786259800943</x:v>
      </x:c>
      <x:c r="B72" s="37" t="str">
        <x:v>Bilgi Sarmal Yayınları</x:v>
      </x:c>
      <x:c r="C72" s="37" t="str">
        <x:v>9. Sınıf</x:v>
      </x:c>
      <x:c r="D72" s="37" t="str">
        <x:v>Matematik</x:v>
      </x:c>
      <x:c r="E72" s="37"/>
      <x:c r="F72" s="37" t="str">
        <x:v>Soru Bankası</x:v>
      </x:c>
      <x:c r="G72" s="43" t="n">
        <x:v>619</x:v>
      </x:c>
      <x:c r="H72" s="46" t="str">
        <x:f>IF(SUMIFS('İndirimler'!$C$2:$C$110,'İndirimler'!$A$2:$A$110,B72,'İndirimler'!$B$2:$B$110,C72)&gt;0,ROUND(G72*(1-SUMIFS('İndirimler'!$C$2:$C$110,'İndirimler'!$A$2:$A$110,B72,'İndirimler'!$B$2:$B$110,C72)),2),"")</x:f>
      </x:c>
      <x:c r="I72" s="49" t="str">
        <x:f>IF(SUMIFS('İndirimler'!$D$2:$D$110,'İndirimler'!$A$2:$A$110,B72,'İndirimler'!$B$2:$B$110,C72)&gt;0,ROUND(G72*(1-SUMIFS('İndirimler'!$D$2:$D$110,'İndirimler'!$A$2:$A$110,B72,'İndirimler'!$B$2:$B$110,C72)),2),"")</x:f>
      </x:c>
      <x:c r="J72" s="37"/>
    </x:row>
    <x:row r="73" ht="22" customHeight="1">
      <x:c r="A73" s="40" t="str">
        <x:v>9786256712447</x:v>
      </x:c>
      <x:c r="B73" s="37" t="str">
        <x:v>Bilgi Sarmal Yayınları</x:v>
      </x:c>
      <x:c r="C73" s="37" t="str">
        <x:v>9. Sınıf</x:v>
      </x:c>
      <x:c r="D73" s="37" t="str">
        <x:v>Matematik</x:v>
      </x:c>
      <x:c r="E73" s="37" t="str">
        <x:v>Tema</x:v>
      </x:c>
      <x:c r="F73" s="37" t="str">
        <x:v>Soru Bankası</x:v>
      </x:c>
      <x:c r="G73" s="43" t="n">
        <x:v>799</x:v>
      </x:c>
      <x:c r="H73" s="46" t="str">
        <x:f>IF(SUMIFS('İndirimler'!$C$2:$C$110,'İndirimler'!$A$2:$A$110,B73,'İndirimler'!$B$2:$B$110,C73)&gt;0,ROUND(G73*(1-SUMIFS('İndirimler'!$C$2:$C$110,'İndirimler'!$A$2:$A$110,B73,'İndirimler'!$B$2:$B$110,C73)),2),"")</x:f>
      </x:c>
      <x:c r="I73" s="49" t="str">
        <x:f>IF(SUMIFS('İndirimler'!$D$2:$D$110,'İndirimler'!$A$2:$A$110,B73,'İndirimler'!$B$2:$B$110,C73)&gt;0,ROUND(G73*(1-SUMIFS('İndirimler'!$D$2:$D$110,'İndirimler'!$A$2:$A$110,B73,'İndirimler'!$B$2:$B$110,C73)),2),"")</x:f>
      </x:c>
      <x:c r="J73" s="37"/>
    </x:row>
    <x:row r="74" ht="22" customHeight="1">
      <x:c r="A74" s="40" t="str">
        <x:v>9786256630482</x:v>
      </x:c>
      <x:c r="B74" s="37" t="str">
        <x:v>Eğitim Vadisi</x:v>
      </x:c>
      <x:c r="C74" s="37" t="str">
        <x:v>9. Sınıf</x:v>
      </x:c>
      <x:c r="D74" s="37" t="str">
        <x:v>Matematik</x:v>
      </x:c>
      <x:c r="E74" s="37" t="str">
        <x:v>Tematik / TİK Tam İzleme Kitabı</x:v>
      </x:c>
      <x:c r="F74" s="37" t="str">
        <x:v>Soru Bankası</x:v>
      </x:c>
      <x:c r="G74" s="43" t="n">
        <x:v>428</x:v>
      </x:c>
      <x:c r="H74" s="46" t="str">
        <x:f>IF(SUMIFS('İndirimler'!$C$2:$C$110,'İndirimler'!$A$2:$A$110,B74,'İndirimler'!$B$2:$B$110,C74)&gt;0,ROUND(G74*(1-SUMIFS('İndirimler'!$C$2:$C$110,'İndirimler'!$A$2:$A$110,B74,'İndirimler'!$B$2:$B$110,C74)),2),"")</x:f>
      </x:c>
      <x:c r="I74" s="49" t="str">
        <x:f>IF(SUMIFS('İndirimler'!$D$2:$D$110,'İndirimler'!$A$2:$A$110,B74,'İndirimler'!$B$2:$B$110,C74)&gt;0,ROUND(G74*(1-SUMIFS('İndirimler'!$D$2:$D$110,'İndirimler'!$A$2:$A$110,B74,'İndirimler'!$B$2:$B$110,C74)),2),"")</x:f>
      </x:c>
      <x:c r="J74" s="37" t="str">
        <x:v>https://app.karakok.net/spShowFlip/1556</x:v>
      </x:c>
    </x:row>
    <x:row r="75" ht="22" customHeight="1">
      <x:c r="A75" s="40" t="str">
        <x:v>9786259682297</x:v>
      </x:c>
      <x:c r="B75" s="37" t="str">
        <x:v>Full Matematik Yayınları</x:v>
      </x:c>
      <x:c r="C75" s="37" t="str">
        <x:v>9. Sınıf</x:v>
      </x:c>
      <x:c r="D75" s="37" t="str">
        <x:v>Matematik</x:v>
      </x:c>
      <x:c r="E75" s="37" t="str">
        <x:v>Tema</x:v>
      </x:c>
      <x:c r="F75" s="37" t="str">
        <x:v>Soru Bankası</x:v>
      </x:c>
      <x:c r="G75" s="43" t="n">
        <x:v>455</x:v>
      </x:c>
      <x:c r="H75" s="46" t="str">
        <x:f>IF(SUMIFS('İndirimler'!$C$2:$C$110,'İndirimler'!$A$2:$A$110,B75,'İndirimler'!$B$2:$B$110,C75)&gt;0,ROUND(G75*(1-SUMIFS('İndirimler'!$C$2:$C$110,'İndirimler'!$A$2:$A$110,B75,'İndirimler'!$B$2:$B$110,C75)),2),"")</x:f>
      </x:c>
      <x:c r="I75" s="49" t="str">
        <x:f>IF(SUMIFS('İndirimler'!$D$2:$D$110,'İndirimler'!$A$2:$A$110,B75,'İndirimler'!$B$2:$B$110,C75)&gt;0,ROUND(G75*(1-SUMIFS('İndirimler'!$D$2:$D$110,'İndirimler'!$A$2:$A$110,B75,'İndirimler'!$B$2:$B$110,C75)),2),"")</x:f>
      </x:c>
      <x:c r="J75" s="37"/>
    </x:row>
    <x:row r="76" ht="22" customHeight="1">
      <x:c r="A76" s="40" t="str">
        <x:v>9786257532860</x:v>
      </x:c>
      <x:c r="B76" s="37" t="str">
        <x:v>Hız ve Renk Yayınları</x:v>
      </x:c>
      <x:c r="C76" s="37" t="str">
        <x:v>9. Sınıf</x:v>
      </x:c>
      <x:c r="D76" s="37" t="str">
        <x:v>Matematik</x:v>
      </x:c>
      <x:c r="E76" s="37" t="str">
        <x:v>HİT</x:v>
      </x:c>
      <x:c r="F76" s="37" t="str">
        <x:v>Soru Bankası</x:v>
      </x:c>
      <x:c r="G76" s="43" t="n">
        <x:v>545</x:v>
      </x:c>
      <x:c r="H76" s="46" t="str">
        <x:f>IF(SUMIFS('İndirimler'!$C$2:$C$110,'İndirimler'!$A$2:$A$110,B76,'İndirimler'!$B$2:$B$110,C76)&gt;0,ROUND(G76*(1-SUMIFS('İndirimler'!$C$2:$C$110,'İndirimler'!$A$2:$A$110,B76,'İndirimler'!$B$2:$B$110,C76)),2),"")</x:f>
      </x:c>
      <x:c r="I76" s="49" t="str">
        <x:f>IF(SUMIFS('İndirimler'!$D$2:$D$110,'İndirimler'!$A$2:$A$110,B76,'İndirimler'!$B$2:$B$110,C76)&gt;0,ROUND(G76*(1-SUMIFS('İndirimler'!$D$2:$D$110,'İndirimler'!$A$2:$A$110,B76,'İndirimler'!$B$2:$B$110,C76)),2),"")</x:f>
      </x:c>
      <x:c r="J76" s="37"/>
    </x:row>
    <x:row r="77" ht="22" customHeight="1">
      <x:c r="A77" s="40" t="str">
        <x:v>9786052756775</x:v>
      </x:c>
      <x:c r="B77" s="37" t="str">
        <x:v>Limit</x:v>
      </x:c>
      <x:c r="C77" s="37" t="str">
        <x:v>9. Sınıf</x:v>
      </x:c>
      <x:c r="D77" s="37" t="str">
        <x:v>Matematik</x:v>
      </x:c>
      <x:c r="E77" s="37" t="str">
        <x:v>Tematik</x:v>
      </x:c>
      <x:c r="F77" s="37" t="str">
        <x:v>Soru Bankası</x:v>
      </x:c>
      <x:c r="G77" s="43" t="n">
        <x:v>676</x:v>
      </x:c>
      <x:c r="H77" s="46" t="str">
        <x:f>IF(SUMIFS('İndirimler'!$C$2:$C$110,'İndirimler'!$A$2:$A$110,B77,'İndirimler'!$B$2:$B$110,C77)&gt;0,ROUND(G77*(1-SUMIFS('İndirimler'!$C$2:$C$110,'İndirimler'!$A$2:$A$110,B77,'İndirimler'!$B$2:$B$110,C77)),2),"")</x:f>
      </x:c>
      <x:c r="I77" s="49" t="str">
        <x:f>IF(SUMIFS('İndirimler'!$D$2:$D$110,'İndirimler'!$A$2:$A$110,B77,'İndirimler'!$B$2:$B$110,C77)&gt;0,ROUND(G77*(1-SUMIFS('İndirimler'!$D$2:$D$110,'İndirimler'!$A$2:$A$110,B77,'İndirimler'!$B$2:$B$110,C77)),2),"")</x:f>
      </x:c>
      <x:c r="J77" s="37"/>
    </x:row>
    <x:row r="78" ht="22" customHeight="1">
      <x:c r="A78" s="40" t="str">
        <x:v>ORNEK00000254</x:v>
      </x:c>
      <x:c r="B78" s="37" t="str">
        <x:v>Mikro Orijinal Yayınları</x:v>
      </x:c>
      <x:c r="C78" s="37" t="str">
        <x:v>9. Sınıf</x:v>
      </x:c>
      <x:c r="D78" s="37" t="str">
        <x:v>Matematik</x:v>
      </x:c>
      <x:c r="E78" s="37" t="str">
        <x:v>Mikro</x:v>
      </x:c>
      <x:c r="F78" s="37" t="str">
        <x:v>Soru Bankası</x:v>
      </x:c>
      <x:c r="G78" s="43" t="n">
        <x:v>500</x:v>
      </x:c>
      <x:c r="H78" s="46" t="str">
        <x:f>IF(SUMIFS('İndirimler'!$C$2:$C$110,'İndirimler'!$A$2:$A$110,B78,'İndirimler'!$B$2:$B$110,C78)&gt;0,ROUND(G78*(1-SUMIFS('İndirimler'!$C$2:$C$110,'İndirimler'!$A$2:$A$110,B78,'İndirimler'!$B$2:$B$110,C78)),2),"")</x:f>
      </x:c>
      <x:c r="I78" s="49" t="str">
        <x:f>IF(SUMIFS('İndirimler'!$D$2:$D$110,'İndirimler'!$A$2:$A$110,B78,'İndirimler'!$B$2:$B$110,C78)&gt;0,ROUND(G78*(1-SUMIFS('İndirimler'!$D$2:$D$110,'İndirimler'!$A$2:$A$110,B78,'İndirimler'!$B$2:$B$110,C78)),2),"")</x:f>
      </x:c>
      <x:c r="J78" s="37"/>
    </x:row>
    <x:row r="79" ht="22" customHeight="1">
      <x:c r="A79" s="40" t="str">
        <x:v>9786256142008</x:v>
      </x:c>
      <x:c r="B79" s="37" t="str">
        <x:v>Miray</x:v>
      </x:c>
      <x:c r="C79" s="37" t="str">
        <x:v>9. Sınıf</x:v>
      </x:c>
      <x:c r="D79" s="37" t="str">
        <x:v>Matematik</x:v>
      </x:c>
      <x:c r="E79" s="37" t="str">
        <x:v>Tematik</x:v>
      </x:c>
      <x:c r="F79" s="37" t="str">
        <x:v>Soru Bankası</x:v>
      </x:c>
      <x:c r="G79" s="43" t="n">
        <x:v>686</x:v>
      </x:c>
      <x:c r="H79" s="46" t="str">
        <x:f>IF(SUMIFS('İndirimler'!$C$2:$C$110,'İndirimler'!$A$2:$A$110,B79,'İndirimler'!$B$2:$B$110,C79)&gt;0,ROUND(G79*(1-SUMIFS('İndirimler'!$C$2:$C$110,'İndirimler'!$A$2:$A$110,B79,'İndirimler'!$B$2:$B$110,C79)),2),"")</x:f>
      </x:c>
      <x:c r="I79" s="49" t="str">
        <x:f>IF(SUMIFS('İndirimler'!$D$2:$D$110,'İndirimler'!$A$2:$A$110,B79,'İndirimler'!$B$2:$B$110,C79)&gt;0,ROUND(G79*(1-SUMIFS('İndirimler'!$D$2:$D$110,'İndirimler'!$A$2:$A$110,B79,'İndirimler'!$B$2:$B$110,C79)),2),"")</x:f>
      </x:c>
      <x:c r="J79" s="37"/>
    </x:row>
    <x:row r="80" ht="22" customHeight="1">
      <x:c r="A80" s="40" t="str">
        <x:v>9786256531765</x:v>
      </x:c>
      <x:c r="B80" s="37" t="str">
        <x:v>Orijinal Matematik Yayınları</x:v>
      </x:c>
      <x:c r="C80" s="37" t="str">
        <x:v>9. Sınıf</x:v>
      </x:c>
      <x:c r="D80" s="37" t="str">
        <x:v>Matematik</x:v>
      </x:c>
      <x:c r="E80" s="37"/>
      <x:c r="F80" s="37" t="str">
        <x:v>Soru Bankası</x:v>
      </x:c>
      <x:c r="G80" s="43" t="n">
        <x:v>579</x:v>
      </x:c>
      <x:c r="H80" s="46" t="str">
        <x:f>IF(SUMIFS('İndirimler'!$C$2:$C$110,'İndirimler'!$A$2:$A$110,B80,'İndirimler'!$B$2:$B$110,C80)&gt;0,ROUND(G80*(1-SUMIFS('İndirimler'!$C$2:$C$110,'İndirimler'!$A$2:$A$110,B80,'İndirimler'!$B$2:$B$110,C80)),2),"")</x:f>
      </x:c>
      <x:c r="I80" s="49" t="str">
        <x:f>IF(SUMIFS('İndirimler'!$D$2:$D$110,'İndirimler'!$A$2:$A$110,B80,'İndirimler'!$B$2:$B$110,C80)&gt;0,ROUND(G80*(1-SUMIFS('İndirimler'!$D$2:$D$110,'İndirimler'!$A$2:$A$110,B80,'İndirimler'!$B$2:$B$110,C80)),2),"")</x:f>
      </x:c>
      <x:c r="J80" s="37"/>
    </x:row>
    <x:row r="81" ht="22" customHeight="1">
      <x:c r="A81" s="40" t="str">
        <x:v>9786057997319</x:v>
      </x:c>
      <x:c r="B81" s="37" t="str">
        <x:v>Yarıçap Yayınları</x:v>
      </x:c>
      <x:c r="C81" s="37" t="str">
        <x:v>9. Sınıf</x:v>
      </x:c>
      <x:c r="D81" s="37" t="str">
        <x:v>Matematik</x:v>
      </x:c>
      <x:c r="E81" s="37"/>
      <x:c r="F81" s="37" t="str">
        <x:v>Soru Bankası</x:v>
      </x:c>
      <x:c r="G81" s="43" t="n">
        <x:v>385</x:v>
      </x:c>
      <x:c r="H81" s="46" t="str">
        <x:f>IF(SUMIFS('İndirimler'!$C$2:$C$110,'İndirimler'!$A$2:$A$110,B81,'İndirimler'!$B$2:$B$110,C81)&gt;0,ROUND(G81*(1-SUMIFS('İndirimler'!$C$2:$C$110,'İndirimler'!$A$2:$A$110,B81,'İndirimler'!$B$2:$B$110,C81)),2),"")</x:f>
      </x:c>
      <x:c r="I81" s="49" t="str">
        <x:f>IF(SUMIFS('İndirimler'!$D$2:$D$110,'İndirimler'!$A$2:$A$110,B81,'İndirimler'!$B$2:$B$110,C81)&gt;0,ROUND(G81*(1-SUMIFS('İndirimler'!$D$2:$D$110,'İndirimler'!$A$2:$A$110,B81,'İndirimler'!$B$2:$B$110,C81)),2),"")</x:f>
      </x:c>
      <x:c r="J81" s="37"/>
    </x:row>
    <x:row r="82" ht="22" customHeight="1">
      <x:c r="A82" s="40" t="str">
        <x:v>9786256040489</x:v>
      </x:c>
      <x:c r="B82" s="37" t="str">
        <x:v>Çap Yayınları</x:v>
      </x:c>
      <x:c r="C82" s="37" t="str">
        <x:v>9. Sınıf</x:v>
      </x:c>
      <x:c r="D82" s="37" t="str">
        <x:v>Matematik</x:v>
      </x:c>
      <x:c r="E82" s="37" t="str">
        <x:v>Tematik</x:v>
      </x:c>
      <x:c r="F82" s="37" t="str">
        <x:v>Soru Bankası</x:v>
      </x:c>
      <x:c r="G82" s="43" t="n">
        <x:v>500</x:v>
      </x:c>
      <x:c r="H82" s="46" t="str">
        <x:f>IF(SUMIFS('İndirimler'!$C$2:$C$110,'İndirimler'!$A$2:$A$110,B82,'İndirimler'!$B$2:$B$110,C82)&gt;0,ROUND(G82*(1-SUMIFS('İndirimler'!$C$2:$C$110,'İndirimler'!$A$2:$A$110,B82,'İndirimler'!$B$2:$B$110,C82)),2),"")</x:f>
      </x:c>
      <x:c r="I82" s="49" t="str">
        <x:f>IF(SUMIFS('İndirimler'!$D$2:$D$110,'İndirimler'!$A$2:$A$110,B82,'İndirimler'!$B$2:$B$110,C82)&gt;0,ROUND(G82*(1-SUMIFS('İndirimler'!$D$2:$D$110,'İndirimler'!$A$2:$A$110,B82,'İndirimler'!$B$2:$B$110,C82)),2),"")</x:f>
      </x:c>
      <x:c r="J82" s="37"/>
    </x:row>
    <x:row r="83" ht="22" customHeight="1">
      <x:c r="A83" s="40" t="str">
        <x:v>9786258160871</x:v>
      </x:c>
      <x:c r="B83" s="37" t="str">
        <x:v>ENS Yayınları</x:v>
      </x:c>
      <x:c r="C83" s="37" t="str">
        <x:v>9. Sınıf</x:v>
      </x:c>
      <x:c r="D83" s="37" t="str">
        <x:v>Matematik</x:v>
      </x:c>
      <x:c r="E83" s="37"/>
      <x:c r="F83" s="37" t="str">
        <x:v>Etkinlik Kitabı</x:v>
      </x:c>
      <x:c r="G83" s="43" t="n">
        <x:v>455</x:v>
      </x:c>
      <x:c r="H83" s="46" t="str">
        <x:f>IF(SUMIFS('İndirimler'!$C$2:$C$110,'İndirimler'!$A$2:$A$110,B83,'İndirimler'!$B$2:$B$110,C83)&gt;0,ROUND(G83*(1-SUMIFS('İndirimler'!$C$2:$C$110,'İndirimler'!$A$2:$A$110,B83,'İndirimler'!$B$2:$B$110,C83)),2),"")</x:f>
      </x:c>
      <x:c r="I83" s="49" t="str">
        <x:f>IF(SUMIFS('İndirimler'!$D$2:$D$110,'İndirimler'!$A$2:$A$110,B83,'İndirimler'!$B$2:$B$110,C83)&gt;0,ROUND(G83*(1-SUMIFS('İndirimler'!$D$2:$D$110,'İndirimler'!$A$2:$A$110,B83,'İndirimler'!$B$2:$B$110,C83)),2),"")</x:f>
      </x:c>
      <x:c r="J83" s="37"/>
    </x:row>
    <x:row r="84" ht="22" customHeight="1">
      <x:c r="A84" s="40" t="str">
        <x:v>9786255811042</x:v>
      </x:c>
      <x:c r="B84" s="37" t="str">
        <x:v>Acil Yayınları</x:v>
      </x:c>
      <x:c r="C84" s="37" t="str">
        <x:v>10. Sınıf</x:v>
      </x:c>
      <x:c r="D84" s="37" t="str">
        <x:v>Matematik</x:v>
      </x:c>
      <x:c r="E84" s="37" t="str">
        <x:v>Tema</x:v>
      </x:c>
      <x:c r="F84" s="37" t="str">
        <x:v>Fasikül Set</x:v>
      </x:c>
      <x:c r="G84" s="43" t="n">
        <x:v>689</x:v>
      </x:c>
      <x:c r="H84" s="46" t="str">
        <x:f>IF(SUMIFS('İndirimler'!$C$2:$C$110,'İndirimler'!$A$2:$A$110,B84,'İndirimler'!$B$2:$B$110,C84)&gt;0,ROUND(G84*(1-SUMIFS('İndirimler'!$C$2:$C$110,'İndirimler'!$A$2:$A$110,B84,'İndirimler'!$B$2:$B$110,C84)),2),"")</x:f>
      </x:c>
      <x:c r="I84" s="49" t="str">
        <x:f>IF(SUMIFS('İndirimler'!$D$2:$D$110,'İndirimler'!$A$2:$A$110,B84,'İndirimler'!$B$2:$B$110,C84)&gt;0,ROUND(G84*(1-SUMIFS('İndirimler'!$D$2:$D$110,'İndirimler'!$A$2:$A$110,B84,'İndirimler'!$B$2:$B$110,C84)),2),"")</x:f>
      </x:c>
      <x:c r="J84" s="37"/>
    </x:row>
    <x:row r="85" ht="22" customHeight="1">
      <x:c r="A85" s="40" t="str">
        <x:v>ORNEK00000010</x:v>
      </x:c>
      <x:c r="B85" s="37" t="str">
        <x:v>Aktif Öğrenme Yayınları</x:v>
      </x:c>
      <x:c r="C85" s="37" t="str">
        <x:v>10. Sınıf</x:v>
      </x:c>
      <x:c r="D85" s="37" t="str">
        <x:v>Matematik</x:v>
      </x:c>
      <x:c r="E85" s="37" t="str">
        <x:v>Prime</x:v>
      </x:c>
      <x:c r="F85" s="37" t="str">
        <x:v>Fasikül Set</x:v>
      </x:c>
      <x:c r="G85" s="43" t="n">
        <x:v>500</x:v>
      </x:c>
      <x:c r="H85" s="46" t="str">
        <x:f>IF(SUMIFS('İndirimler'!$C$2:$C$110,'İndirimler'!$A$2:$A$110,B85,'İndirimler'!$B$2:$B$110,C85)&gt;0,ROUND(G85*(1-SUMIFS('İndirimler'!$C$2:$C$110,'İndirimler'!$A$2:$A$110,B85,'İndirimler'!$B$2:$B$110,C85)),2),"")</x:f>
      </x:c>
      <x:c r="I85" s="49" t="str">
        <x:f>IF(SUMIFS('İndirimler'!$D$2:$D$110,'İndirimler'!$A$2:$A$110,B85,'İndirimler'!$B$2:$B$110,C85)&gt;0,ROUND(G85*(1-SUMIFS('İndirimler'!$D$2:$D$110,'İndirimler'!$A$2:$A$110,B85,'İndirimler'!$B$2:$B$110,C85)),2),"")</x:f>
      </x:c>
      <x:c r="J85" s="37"/>
    </x:row>
    <x:row r="86" ht="22" customHeight="1">
      <x:c r="A86" s="40" t="str">
        <x:v>9786256531826</x:v>
      </x:c>
      <x:c r="B86" s="37" t="str">
        <x:v>Mikro Orijinal Yayınları</x:v>
      </x:c>
      <x:c r="C86" s="37" t="str">
        <x:v>10. Sınıf</x:v>
      </x:c>
      <x:c r="D86" s="37" t="str">
        <x:v>Matematik</x:v>
      </x:c>
      <x:c r="E86" s="37" t="str">
        <x:v>MÖF / Mikro</x:v>
      </x:c>
      <x:c r="F86" s="37" t="str">
        <x:v>Fasikül Set</x:v>
      </x:c>
      <x:c r="G86" s="43" t="n">
        <x:v>879</x:v>
      </x:c>
      <x:c r="H86" s="46" t="str">
        <x:f>IF(SUMIFS('İndirimler'!$C$2:$C$110,'İndirimler'!$A$2:$A$110,B86,'İndirimler'!$B$2:$B$110,C86)&gt;0,ROUND(G86*(1-SUMIFS('İndirimler'!$C$2:$C$110,'İndirimler'!$A$2:$A$110,B86,'İndirimler'!$B$2:$B$110,C86)),2),"")</x:f>
      </x:c>
      <x:c r="I86" s="49" t="str">
        <x:f>IF(SUMIFS('İndirimler'!$D$2:$D$110,'İndirimler'!$A$2:$A$110,B86,'İndirimler'!$B$2:$B$110,C86)&gt;0,ROUND(G86*(1-SUMIFS('İndirimler'!$D$2:$D$110,'İndirimler'!$A$2:$A$110,B86,'İndirimler'!$B$2:$B$110,C86)),2),"")</x:f>
      </x:c>
      <x:c r="J86" s="37"/>
    </x:row>
    <x:row r="87" ht="22" customHeight="1">
      <x:c r="A87" s="40" t="str">
        <x:v>9786255708083</x:v>
      </x:c>
      <x:c r="B87" s="37" t="str">
        <x:v>Orijinal Matematik Yayınları</x:v>
      </x:c>
      <x:c r="C87" s="37" t="str">
        <x:v>10. Sınıf</x:v>
      </x:c>
      <x:c r="D87" s="37" t="str">
        <x:v>Matematik</x:v>
      </x:c>
      <x:c r="E87" s="37" t="str">
        <x:v>ODF</x:v>
      </x:c>
      <x:c r="F87" s="37" t="str">
        <x:v>Fasikül Set</x:v>
      </x:c>
      <x:c r="G87" s="43" t="n">
        <x:v>849</x:v>
      </x:c>
      <x:c r="H87" s="46" t="str">
        <x:f>IF(SUMIFS('İndirimler'!$C$2:$C$110,'İndirimler'!$A$2:$A$110,B87,'İndirimler'!$B$2:$B$110,C87)&gt;0,ROUND(G87*(1-SUMIFS('İndirimler'!$C$2:$C$110,'İndirimler'!$A$2:$A$110,B87,'İndirimler'!$B$2:$B$110,C87)),2),"")</x:f>
      </x:c>
      <x:c r="I87" s="49" t="str">
        <x:f>IF(SUMIFS('İndirimler'!$D$2:$D$110,'İndirimler'!$A$2:$A$110,B87,'İndirimler'!$B$2:$B$110,C87)&gt;0,ROUND(G87*(1-SUMIFS('İndirimler'!$D$2:$D$110,'İndirimler'!$A$2:$A$110,B87,'İndirimler'!$B$2:$B$110,C87)),2),"")</x:f>
      </x:c>
      <x:c r="J87" s="37"/>
    </x:row>
    <x:row r="88" ht="22" customHeight="1">
      <x:c r="A88" s="40" t="str">
        <x:v>9786259052618</x:v>
      </x:c>
      <x:c r="B88" s="37" t="str">
        <x:v>Ulti Yayınları</x:v>
      </x:c>
      <x:c r="C88" s="37" t="str">
        <x:v>10. Sınıf</x:v>
      </x:c>
      <x:c r="D88" s="37" t="str">
        <x:v>Matematik</x:v>
      </x:c>
      <x:c r="E88" s="37"/>
      <x:c r="F88" s="37" t="str">
        <x:v>Fasikül Set</x:v>
      </x:c>
      <x:c r="G88" s="43" t="n">
        <x:v>739</x:v>
      </x:c>
      <x:c r="H88" s="46" t="str">
        <x:f>IF(SUMIFS('İndirimler'!$C$2:$C$110,'İndirimler'!$A$2:$A$110,B88,'İndirimler'!$B$2:$B$110,C88)&gt;0,ROUND(G88*(1-SUMIFS('İndirimler'!$C$2:$C$110,'İndirimler'!$A$2:$A$110,B88,'İndirimler'!$B$2:$B$110,C88)),2),"")</x:f>
      </x:c>
      <x:c r="I88" s="49" t="str">
        <x:f>IF(SUMIFS('İndirimler'!$D$2:$D$110,'İndirimler'!$A$2:$A$110,B88,'İndirimler'!$B$2:$B$110,C88)&gt;0,ROUND(G88*(1-SUMIFS('İndirimler'!$D$2:$D$110,'İndirimler'!$A$2:$A$110,B88,'İndirimler'!$B$2:$B$110,C88)),2),"")</x:f>
      </x:c>
      <x:c r="J88" s="37"/>
    </x:row>
    <x:row r="89" ht="22" customHeight="1">
      <x:c r="A89" s="40" t="str">
        <x:v>9786057997432</x:v>
      </x:c>
      <x:c r="B89" s="37" t="str">
        <x:v>Yarıçap Yayınları</x:v>
      </x:c>
      <x:c r="C89" s="37" t="str">
        <x:v>10. Sınıf</x:v>
      </x:c>
      <x:c r="D89" s="37" t="str">
        <x:v>Matematik</x:v>
      </x:c>
      <x:c r="E89" s="37"/>
      <x:c r="F89" s="37" t="str">
        <x:v>Fasikül Set</x:v>
      </x:c>
      <x:c r="G89" s="43" t="n">
        <x:v>755</x:v>
      </x:c>
      <x:c r="H89" s="46" t="str">
        <x:f>IF(SUMIFS('İndirimler'!$C$2:$C$110,'İndirimler'!$A$2:$A$110,B89,'İndirimler'!$B$2:$B$110,C89)&gt;0,ROUND(G89*(1-SUMIFS('İndirimler'!$C$2:$C$110,'İndirimler'!$A$2:$A$110,B89,'İndirimler'!$B$2:$B$110,C89)),2),"")</x:f>
      </x:c>
      <x:c r="I89" s="49" t="str">
        <x:f>IF(SUMIFS('İndirimler'!$D$2:$D$110,'İndirimler'!$A$2:$A$110,B89,'İndirimler'!$B$2:$B$110,C89)&gt;0,ROUND(G89*(1-SUMIFS('İndirimler'!$D$2:$D$110,'İndirimler'!$A$2:$A$110,B89,'İndirimler'!$B$2:$B$110,C89)),2),"")</x:f>
      </x:c>
      <x:c r="J89" s="37"/>
    </x:row>
    <x:row r="90" ht="22" customHeight="1">
      <x:c r="A90" s="40" t="str">
        <x:v>9786255801005</x:v>
      </x:c>
      <x:c r="B90" s="37" t="str">
        <x:v>Çap Yayınları</x:v>
      </x:c>
      <x:c r="C90" s="37" t="str">
        <x:v>10. Sınıf</x:v>
      </x:c>
      <x:c r="D90" s="37" t="str">
        <x:v>Matematik</x:v>
      </x:c>
      <x:c r="E90" s="37"/>
      <x:c r="F90" s="37" t="str">
        <x:v>Fasikül Set</x:v>
      </x:c>
      <x:c r="G90" s="43" t="n">
        <x:v>779</x:v>
      </x:c>
      <x:c r="H90" s="46" t="str">
        <x:f>IF(SUMIFS('İndirimler'!$C$2:$C$110,'İndirimler'!$A$2:$A$110,B90,'İndirimler'!$B$2:$B$110,C90)&gt;0,ROUND(G90*(1-SUMIFS('İndirimler'!$C$2:$C$110,'İndirimler'!$A$2:$A$110,B90,'İndirimler'!$B$2:$B$110,C90)),2),"")</x:f>
      </x:c>
      <x:c r="I90" s="49" t="str">
        <x:f>IF(SUMIFS('İndirimler'!$D$2:$D$110,'İndirimler'!$A$2:$A$110,B90,'İndirimler'!$B$2:$B$110,C90)&gt;0,ROUND(G90*(1-SUMIFS('İndirimler'!$D$2:$D$110,'İndirimler'!$A$2:$A$110,B90,'İndirimler'!$B$2:$B$110,C90)),2),"")</x:f>
      </x:c>
      <x:c r="J90" s="37"/>
    </x:row>
    <x:row r="91" ht="22" customHeight="1">
      <x:c r="A91" s="40" t="str">
        <x:v>9786256142138</x:v>
      </x:c>
      <x:c r="B91" s="37" t="str">
        <x:v>Aydın</x:v>
      </x:c>
      <x:c r="C91" s="37" t="str">
        <x:v>10. Sınıf</x:v>
      </x:c>
      <x:c r="D91" s="37" t="str">
        <x:v>Matematik</x:v>
      </x:c>
      <x:c r="E91" s="37" t="str">
        <x:v>Tematik / Ders İşleyiş Modülleri</x:v>
      </x:c>
      <x:c r="F91" s="37" t="str">
        <x:v>Konu Anlatımlı</x:v>
      </x:c>
      <x:c r="G91" s="43" t="n">
        <x:v>592</x:v>
      </x:c>
      <x:c r="H91" s="46" t="str">
        <x:f>IF(SUMIFS('İndirimler'!$C$2:$C$110,'İndirimler'!$A$2:$A$110,B91,'İndirimler'!$B$2:$B$110,C91)&gt;0,ROUND(G91*(1-SUMIFS('İndirimler'!$C$2:$C$110,'İndirimler'!$A$2:$A$110,B91,'İndirimler'!$B$2:$B$110,C91)),2),"")</x:f>
      </x:c>
      <x:c r="I91" s="49" t="str">
        <x:f>IF(SUMIFS('İndirimler'!$D$2:$D$110,'İndirimler'!$A$2:$A$110,B91,'İndirimler'!$B$2:$B$110,C91)&gt;0,ROUND(G91*(1-SUMIFS('İndirimler'!$D$2:$D$110,'İndirimler'!$A$2:$A$110,B91,'İndirimler'!$B$2:$B$110,C91)),2),"")</x:f>
      </x:c>
      <x:c r="J91" s="37"/>
    </x:row>
    <x:row r="92" ht="22" customHeight="1">
      <x:c r="A92" s="40" t="str">
        <x:v>9786256457225</x:v>
      </x:c>
      <x:c r="B92" s="37" t="str">
        <x:v>Eğitim Vadisi</x:v>
      </x:c>
      <x:c r="C92" s="37" t="str">
        <x:v>10. Sınıf</x:v>
      </x:c>
      <x:c r="D92" s="37" t="str">
        <x:v>Matematik</x:v>
      </x:c>
      <x:c r="E92" s="37" t="str">
        <x:v>Tematik / TAK Tam Anlatım Kitabı</x:v>
      </x:c>
      <x:c r="F92" s="37" t="str">
        <x:v>Konu Anlatımlı</x:v>
      </x:c>
      <x:c r="G92" s="43" t="n">
        <x:v>428</x:v>
      </x:c>
      <x:c r="H92" s="46" t="str">
        <x:f>IF(SUMIFS('İndirimler'!$C$2:$C$110,'İndirimler'!$A$2:$A$110,B92,'İndirimler'!$B$2:$B$110,C92)&gt;0,ROUND(G92*(1-SUMIFS('İndirimler'!$C$2:$C$110,'İndirimler'!$A$2:$A$110,B92,'İndirimler'!$B$2:$B$110,C92)),2),"")</x:f>
      </x:c>
      <x:c r="I92" s="49" t="str">
        <x:f>IF(SUMIFS('İndirimler'!$D$2:$D$110,'İndirimler'!$A$2:$A$110,B92,'İndirimler'!$B$2:$B$110,C92)&gt;0,ROUND(G92*(1-SUMIFS('İndirimler'!$D$2:$D$110,'İndirimler'!$A$2:$A$110,B92,'İndirimler'!$B$2:$B$110,C92)),2),"")</x:f>
      </x:c>
      <x:c r="J92" s="37" t="str">
        <x:v>https://app.karakok.net/spShowFlip/2173</x:v>
      </x:c>
    </x:row>
    <x:row r="93" ht="22" customHeight="1">
      <x:c r="A93" s="40" t="str">
        <x:v>9786052757581</x:v>
      </x:c>
      <x:c r="B93" s="37" t="str">
        <x:v>Limit</x:v>
      </x:c>
      <x:c r="C93" s="37" t="str">
        <x:v>10. Sınıf</x:v>
      </x:c>
      <x:c r="D93" s="37" t="str">
        <x:v>Matematik</x:v>
      </x:c>
      <x:c r="E93" s="37" t="str">
        <x:v>Tematik</x:v>
      </x:c>
      <x:c r="F93" s="37" t="str">
        <x:v>Konu Anlatımlı</x:v>
      </x:c>
      <x:c r="G93" s="43" t="n">
        <x:v>678</x:v>
      </x:c>
      <x:c r="H93" s="46" t="str">
        <x:f>IF(SUMIFS('İndirimler'!$C$2:$C$110,'İndirimler'!$A$2:$A$110,B93,'İndirimler'!$B$2:$B$110,C93)&gt;0,ROUND(G93*(1-SUMIFS('İndirimler'!$C$2:$C$110,'İndirimler'!$A$2:$A$110,B93,'İndirimler'!$B$2:$B$110,C93)),2),"")</x:f>
      </x:c>
      <x:c r="I93" s="49" t="str">
        <x:f>IF(SUMIFS('İndirimler'!$D$2:$D$110,'İndirimler'!$A$2:$A$110,B93,'İndirimler'!$B$2:$B$110,C93)&gt;0,ROUND(G93*(1-SUMIFS('İndirimler'!$D$2:$D$110,'İndirimler'!$A$2:$A$110,B93,'İndirimler'!$B$2:$B$110,C93)),2),"")</x:f>
      </x:c>
      <x:c r="J93" s="37"/>
    </x:row>
    <x:row r="94" ht="22" customHeight="1">
      <x:c r="A94" s="40" t="str">
        <x:v>9786256142152</x:v>
      </x:c>
      <x:c r="B94" s="37" t="str">
        <x:v>Miray</x:v>
      </x:c>
      <x:c r="C94" s="37" t="str">
        <x:v>10. Sınıf</x:v>
      </x:c>
      <x:c r="D94" s="37" t="str">
        <x:v>Matematik</x:v>
      </x:c>
      <x:c r="E94" s="37" t="str">
        <x:v>Tematik / Ders Anlatım Fasikülleri</x:v>
      </x:c>
      <x:c r="F94" s="37" t="str">
        <x:v>Konu Anlatımlı</x:v>
      </x:c>
      <x:c r="G94" s="43" t="n">
        <x:v>840</x:v>
      </x:c>
      <x:c r="H94" s="46" t="str">
        <x:f>IF(SUMIFS('İndirimler'!$C$2:$C$110,'İndirimler'!$A$2:$A$110,B94,'İndirimler'!$B$2:$B$110,C94)&gt;0,ROUND(G94*(1-SUMIFS('İndirimler'!$C$2:$C$110,'İndirimler'!$A$2:$A$110,B94,'İndirimler'!$B$2:$B$110,C94)),2),"")</x:f>
      </x:c>
      <x:c r="I94" s="49" t="str">
        <x:f>IF(SUMIFS('İndirimler'!$D$2:$D$110,'İndirimler'!$A$2:$A$110,B94,'İndirimler'!$B$2:$B$110,C94)&gt;0,ROUND(G94*(1-SUMIFS('İndirimler'!$D$2:$D$110,'İndirimler'!$A$2:$A$110,B94,'İndirimler'!$B$2:$B$110,C94)),2),"")</x:f>
      </x:c>
      <x:c r="J94" s="37"/>
    </x:row>
    <x:row r="95" ht="22" customHeight="1">
      <x:c r="A95" s="40" t="str">
        <x:v>9786256921757</x:v>
      </x:c>
      <x:c r="B95" s="37" t="str">
        <x:v>4K</x:v>
      </x:c>
      <x:c r="C95" s="37" t="str">
        <x:v>10. Sınıf</x:v>
      </x:c>
      <x:c r="D95" s="37" t="str">
        <x:v>Matematik</x:v>
      </x:c>
      <x:c r="E95" s="37" t="str">
        <x:v>Tematik</x:v>
      </x:c>
      <x:c r="F95" s="37" t="str">
        <x:v>Soru Bankası</x:v>
      </x:c>
      <x:c r="G95" s="43" t="n">
        <x:v>498</x:v>
      </x:c>
      <x:c r="H95" s="46" t="str">
        <x:f>IF(SUMIFS('İndirimler'!$C$2:$C$110,'İndirimler'!$A$2:$A$110,B95,'İndirimler'!$B$2:$B$110,C95)&gt;0,ROUND(G95*(1-SUMIFS('İndirimler'!$C$2:$C$110,'İndirimler'!$A$2:$A$110,B95,'İndirimler'!$B$2:$B$110,C95)),2),"")</x:f>
      </x:c>
      <x:c r="I95" s="49" t="str">
        <x:f>IF(SUMIFS('İndirimler'!$D$2:$D$110,'İndirimler'!$A$2:$A$110,B95,'İndirimler'!$B$2:$B$110,C95)&gt;0,ROUND(G95*(1-SUMIFS('İndirimler'!$D$2:$D$110,'İndirimler'!$A$2:$A$110,B95,'İndirimler'!$B$2:$B$110,C95)),2),"")</x:f>
      </x:c>
      <x:c r="J95" s="37" t="str">
        <x:v>https://app.karakok.net/spShowFlip/1921</x:v>
      </x:c>
    </x:row>
    <x:row r="96" ht="22" customHeight="1">
      <x:c r="A96" s="40" t="str">
        <x:v>9786255811059</x:v>
      </x:c>
      <x:c r="B96" s="37" t="str">
        <x:v>Acil Yayınları</x:v>
      </x:c>
      <x:c r="C96" s="37" t="str">
        <x:v>10. Sınıf</x:v>
      </x:c>
      <x:c r="D96" s="37" t="str">
        <x:v>Matematik</x:v>
      </x:c>
      <x:c r="E96" s="37"/>
      <x:c r="F96" s="37" t="str">
        <x:v>Soru Bankası</x:v>
      </x:c>
      <x:c r="G96" s="43" t="n">
        <x:v>465</x:v>
      </x:c>
      <x:c r="H96" s="46" t="str">
        <x:f>IF(SUMIFS('İndirimler'!$C$2:$C$110,'İndirimler'!$A$2:$A$110,B96,'İndirimler'!$B$2:$B$110,C96)&gt;0,ROUND(G96*(1-SUMIFS('İndirimler'!$C$2:$C$110,'İndirimler'!$A$2:$A$110,B96,'İndirimler'!$B$2:$B$110,C96)),2),"")</x:f>
      </x:c>
      <x:c r="I96" s="49" t="str">
        <x:f>IF(SUMIFS('İndirimler'!$D$2:$D$110,'İndirimler'!$A$2:$A$110,B96,'İndirimler'!$B$2:$B$110,C96)&gt;0,ROUND(G96*(1-SUMIFS('İndirimler'!$D$2:$D$110,'İndirimler'!$A$2:$A$110,B96,'İndirimler'!$B$2:$B$110,C96)),2),"")</x:f>
      </x:c>
      <x:c r="J96" s="37"/>
    </x:row>
    <x:row r="97" ht="22" customHeight="1">
      <x:c r="A97" s="40" t="str">
        <x:v>9786255811066</x:v>
      </x:c>
      <x:c r="B97" s="37" t="str">
        <x:v>Acil Yayınları</x:v>
      </x:c>
      <x:c r="C97" s="37" t="str">
        <x:v>10. Sınıf</x:v>
      </x:c>
      <x:c r="D97" s="37" t="str">
        <x:v>Matematik</x:v>
      </x:c>
      <x:c r="E97" s="37" t="str">
        <x:v>Matematiğin İlacı</x:v>
      </x:c>
      <x:c r="F97" s="37" t="str">
        <x:v>Soru Bankası</x:v>
      </x:c>
      <x:c r="G97" s="43" t="n">
        <x:v>465</x:v>
      </x:c>
      <x:c r="H97" s="46" t="str">
        <x:f>IF(SUMIFS('İndirimler'!$C$2:$C$110,'İndirimler'!$A$2:$A$110,B97,'İndirimler'!$B$2:$B$110,C97)&gt;0,ROUND(G97*(1-SUMIFS('İndirimler'!$C$2:$C$110,'İndirimler'!$A$2:$A$110,B97,'İndirimler'!$B$2:$B$110,C97)),2),"")</x:f>
      </x:c>
      <x:c r="I97" s="49" t="str">
        <x:f>IF(SUMIFS('İndirimler'!$D$2:$D$110,'İndirimler'!$A$2:$A$110,B97,'İndirimler'!$B$2:$B$110,C97)&gt;0,ROUND(G97*(1-SUMIFS('İndirimler'!$D$2:$D$110,'İndirimler'!$A$2:$A$110,B97,'İndirimler'!$B$2:$B$110,C97)),2),"")</x:f>
      </x:c>
      <x:c r="J97" s="37"/>
    </x:row>
    <x:row r="98" ht="22" customHeight="1">
      <x:c r="A98" s="40" t="str">
        <x:v>9786256142145</x:v>
      </x:c>
      <x:c r="B98" s="37" t="str">
        <x:v>Aydın</x:v>
      </x:c>
      <x:c r="C98" s="37" t="str">
        <x:v>10. Sınıf</x:v>
      </x:c>
      <x:c r="D98" s="37" t="str">
        <x:v>Matematik</x:v>
      </x:c>
      <x:c r="E98" s="37" t="str">
        <x:v>Tematik</x:v>
      </x:c>
      <x:c r="F98" s="37" t="str">
        <x:v>Soru Bankası</x:v>
      </x:c>
      <x:c r="G98" s="43" t="n">
        <x:v>512</x:v>
      </x:c>
      <x:c r="H98" s="46" t="str">
        <x:f>IF(SUMIFS('İndirimler'!$C$2:$C$110,'İndirimler'!$A$2:$A$110,B98,'İndirimler'!$B$2:$B$110,C98)&gt;0,ROUND(G98*(1-SUMIFS('İndirimler'!$C$2:$C$110,'İndirimler'!$A$2:$A$110,B98,'İndirimler'!$B$2:$B$110,C98)),2),"")</x:f>
      </x:c>
      <x:c r="I98" s="49" t="str">
        <x:f>IF(SUMIFS('İndirimler'!$D$2:$D$110,'İndirimler'!$A$2:$A$110,B98,'İndirimler'!$B$2:$B$110,C98)&gt;0,ROUND(G98*(1-SUMIFS('İndirimler'!$D$2:$D$110,'İndirimler'!$A$2:$A$110,B98,'İndirimler'!$B$2:$B$110,C98)),2),"")</x:f>
      </x:c>
      <x:c r="J98" s="37"/>
    </x:row>
    <x:row r="99" ht="22" customHeight="1">
      <x:c r="A99" s="40" t="str">
        <x:v>9786256712430</x:v>
      </x:c>
      <x:c r="B99" s="37" t="str">
        <x:v>Bilgi Sarmal Yayınları</x:v>
      </x:c>
      <x:c r="C99" s="37" t="str">
        <x:v>10. Sınıf</x:v>
      </x:c>
      <x:c r="D99" s="37" t="str">
        <x:v>Matematik</x:v>
      </x:c>
      <x:c r="E99" s="37"/>
      <x:c r="F99" s="37" t="str">
        <x:v>Soru Bankası</x:v>
      </x:c>
      <x:c r="G99" s="43" t="n">
        <x:v>685</x:v>
      </x:c>
      <x:c r="H99" s="46" t="str">
        <x:f>IF(SUMIFS('İndirimler'!$C$2:$C$110,'İndirimler'!$A$2:$A$110,B99,'İndirimler'!$B$2:$B$110,C99)&gt;0,ROUND(G99*(1-SUMIFS('İndirimler'!$C$2:$C$110,'İndirimler'!$A$2:$A$110,B99,'İndirimler'!$B$2:$B$110,C99)),2),"")</x:f>
      </x:c>
      <x:c r="I99" s="49" t="str">
        <x:f>IF(SUMIFS('İndirimler'!$D$2:$D$110,'İndirimler'!$A$2:$A$110,B99,'İndirimler'!$B$2:$B$110,C99)&gt;0,ROUND(G99*(1-SUMIFS('İndirimler'!$D$2:$D$110,'İndirimler'!$A$2:$A$110,B99,'İndirimler'!$B$2:$B$110,C99)),2),"")</x:f>
      </x:c>
      <x:c r="J99" s="37"/>
    </x:row>
    <x:row r="100" ht="22" customHeight="1">
      <x:c r="A100" s="40" t="str">
        <x:v>9786256712454</x:v>
      </x:c>
      <x:c r="B100" s="37" t="str">
        <x:v>Bilgi Sarmal Yayınları</x:v>
      </x:c>
      <x:c r="C100" s="37" t="str">
        <x:v>10. Sınıf</x:v>
      </x:c>
      <x:c r="D100" s="37" t="str">
        <x:v>Matematik</x:v>
      </x:c>
      <x:c r="E100" s="37" t="str">
        <x:v>Tema</x:v>
      </x:c>
      <x:c r="F100" s="37" t="str">
        <x:v>Soru Bankası</x:v>
      </x:c>
      <x:c r="G100" s="43" t="n">
        <x:v>819</x:v>
      </x:c>
      <x:c r="H100" s="46" t="str">
        <x:f>IF(SUMIFS('İndirimler'!$C$2:$C$110,'İndirimler'!$A$2:$A$110,B100,'İndirimler'!$B$2:$B$110,C100)&gt;0,ROUND(G100*(1-SUMIFS('İndirimler'!$C$2:$C$110,'İndirimler'!$A$2:$A$110,B100,'İndirimler'!$B$2:$B$110,C100)),2),"")</x:f>
      </x:c>
      <x:c r="I100" s="49" t="str">
        <x:f>IF(SUMIFS('İndirimler'!$D$2:$D$110,'İndirimler'!$A$2:$A$110,B100,'İndirimler'!$B$2:$B$110,C100)&gt;0,ROUND(G100*(1-SUMIFS('İndirimler'!$D$2:$D$110,'İndirimler'!$A$2:$A$110,B100,'İndirimler'!$B$2:$B$110,C100)),2),"")</x:f>
      </x:c>
      <x:c r="J100" s="37"/>
    </x:row>
    <x:row r="101" ht="22" customHeight="1">
      <x:c r="A101" s="40" t="str">
        <x:v>9786256911314</x:v>
      </x:c>
      <x:c r="B101" s="37" t="str">
        <x:v>Eğitim Vadisi</x:v>
      </x:c>
      <x:c r="C101" s="37" t="str">
        <x:v>10. Sınıf</x:v>
      </x:c>
      <x:c r="D101" s="37" t="str">
        <x:v>Matematik</x:v>
      </x:c>
      <x:c r="E101" s="37" t="str">
        <x:v>Tematik / TİK Tam İzleme Kitabı</x:v>
      </x:c>
      <x:c r="F101" s="37" t="str">
        <x:v>Soru Bankası</x:v>
      </x:c>
      <x:c r="G101" s="43" t="n">
        <x:v>428</x:v>
      </x:c>
      <x:c r="H101" s="46" t="str">
        <x:f>IF(SUMIFS('İndirimler'!$C$2:$C$110,'İndirimler'!$A$2:$A$110,B101,'İndirimler'!$B$2:$B$110,C101)&gt;0,ROUND(G101*(1-SUMIFS('İndirimler'!$C$2:$C$110,'İndirimler'!$A$2:$A$110,B101,'İndirimler'!$B$2:$B$110,C101)),2),"")</x:f>
      </x:c>
      <x:c r="I101" s="49" t="str">
        <x:f>IF(SUMIFS('İndirimler'!$D$2:$D$110,'İndirimler'!$A$2:$A$110,B101,'İndirimler'!$B$2:$B$110,C101)&gt;0,ROUND(G101*(1-SUMIFS('İndirimler'!$D$2:$D$110,'İndirimler'!$A$2:$A$110,B101,'İndirimler'!$B$2:$B$110,C101)),2),"")</x:f>
      </x:c>
      <x:c r="J101" s="37" t="str">
        <x:v>https://app.karakok.net/spShowFlip/2250</x:v>
      </x:c>
    </x:row>
    <x:row r="102" ht="22" customHeight="1">
      <x:c r="A102" s="40" t="str">
        <x:v>9786259399805</x:v>
      </x:c>
      <x:c r="B102" s="37" t="str">
        <x:v>Full Matematik Yayınları</x:v>
      </x:c>
      <x:c r="C102" s="37" t="str">
        <x:v>10. Sınıf</x:v>
      </x:c>
      <x:c r="D102" s="37" t="str">
        <x:v>Matematik</x:v>
      </x:c>
      <x:c r="E102" s="37"/>
      <x:c r="F102" s="37" t="str">
        <x:v>Soru Bankası</x:v>
      </x:c>
      <x:c r="G102" s="43" t="n">
        <x:v>499</x:v>
      </x:c>
      <x:c r="H102" s="46" t="str">
        <x:f>IF(SUMIFS('İndirimler'!$C$2:$C$110,'İndirimler'!$A$2:$A$110,B102,'İndirimler'!$B$2:$B$110,C102)&gt;0,ROUND(G102*(1-SUMIFS('İndirimler'!$C$2:$C$110,'İndirimler'!$A$2:$A$110,B102,'İndirimler'!$B$2:$B$110,C102)),2),"")</x:f>
      </x:c>
      <x:c r="I102" s="49" t="str">
        <x:f>IF(SUMIFS('İndirimler'!$D$2:$D$110,'İndirimler'!$A$2:$A$110,B102,'İndirimler'!$B$2:$B$110,C102)&gt;0,ROUND(G102*(1-SUMIFS('İndirimler'!$D$2:$D$110,'İndirimler'!$A$2:$A$110,B102,'İndirimler'!$B$2:$B$110,C102)),2),"")</x:f>
      </x:c>
      <x:c r="J102" s="37"/>
    </x:row>
    <x:row r="103" ht="22" customHeight="1">
      <x:c r="A103" s="40" t="str">
        <x:v>9786257532945</x:v>
      </x:c>
      <x:c r="B103" s="37" t="str">
        <x:v>Hız ve Renk Yayınları</x:v>
      </x:c>
      <x:c r="C103" s="37" t="str">
        <x:v>10. Sınıf</x:v>
      </x:c>
      <x:c r="D103" s="37" t="str">
        <x:v>Matematik</x:v>
      </x:c>
      <x:c r="E103" s="37" t="str">
        <x:v>HİT</x:v>
      </x:c>
      <x:c r="F103" s="37" t="str">
        <x:v>Soru Bankası</x:v>
      </x:c>
      <x:c r="G103" s="43" t="n">
        <x:v>569</x:v>
      </x:c>
      <x:c r="H103" s="46" t="str">
        <x:f>IF(SUMIFS('İndirimler'!$C$2:$C$110,'İndirimler'!$A$2:$A$110,B103,'İndirimler'!$B$2:$B$110,C103)&gt;0,ROUND(G103*(1-SUMIFS('İndirimler'!$C$2:$C$110,'İndirimler'!$A$2:$A$110,B103,'İndirimler'!$B$2:$B$110,C103)),2),"")</x:f>
      </x:c>
      <x:c r="I103" s="49" t="str">
        <x:f>IF(SUMIFS('İndirimler'!$D$2:$D$110,'İndirimler'!$A$2:$A$110,B103,'İndirimler'!$B$2:$B$110,C103)&gt;0,ROUND(G103*(1-SUMIFS('İndirimler'!$D$2:$D$110,'İndirimler'!$A$2:$A$110,B103,'İndirimler'!$B$2:$B$110,C103)),2),"")</x:f>
      </x:c>
      <x:c r="J103" s="37"/>
    </x:row>
    <x:row r="104" ht="22" customHeight="1">
      <x:c r="A104" s="40" t="str">
        <x:v>9786052757598</x:v>
      </x:c>
      <x:c r="B104" s="37" t="str">
        <x:v>Limit</x:v>
      </x:c>
      <x:c r="C104" s="37" t="str">
        <x:v>10. Sınıf</x:v>
      </x:c>
      <x:c r="D104" s="37" t="str">
        <x:v>Matematik</x:v>
      </x:c>
      <x:c r="E104" s="37" t="str">
        <x:v>Tematik</x:v>
      </x:c>
      <x:c r="F104" s="37" t="str">
        <x:v>Soru Bankası</x:v>
      </x:c>
      <x:c r="G104" s="43" t="n">
        <x:v>670</x:v>
      </x:c>
      <x:c r="H104" s="46" t="str">
        <x:f>IF(SUMIFS('İndirimler'!$C$2:$C$110,'İndirimler'!$A$2:$A$110,B104,'İndirimler'!$B$2:$B$110,C104)&gt;0,ROUND(G104*(1-SUMIFS('İndirimler'!$C$2:$C$110,'İndirimler'!$A$2:$A$110,B104,'İndirimler'!$B$2:$B$110,C104)),2),"")</x:f>
      </x:c>
      <x:c r="I104" s="49" t="str">
        <x:f>IF(SUMIFS('İndirimler'!$D$2:$D$110,'İndirimler'!$A$2:$A$110,B104,'İndirimler'!$B$2:$B$110,C104)&gt;0,ROUND(G104*(1-SUMIFS('İndirimler'!$D$2:$D$110,'İndirimler'!$A$2:$A$110,B104,'İndirimler'!$B$2:$B$110,C104)),2),"")</x:f>
      </x:c>
      <x:c r="J104" s="37"/>
    </x:row>
    <x:row r="105" ht="22" customHeight="1">
      <x:c r="A105" s="40" t="str">
        <x:v>ORNEK00000255</x:v>
      </x:c>
      <x:c r="B105" s="37" t="str">
        <x:v>Mikro Orijinal Yayınları</x:v>
      </x:c>
      <x:c r="C105" s="37" t="str">
        <x:v>10. Sınıf</x:v>
      </x:c>
      <x:c r="D105" s="37" t="str">
        <x:v>Matematik</x:v>
      </x:c>
      <x:c r="E105" s="37" t="str">
        <x:v>Mikro</x:v>
      </x:c>
      <x:c r="F105" s="37" t="str">
        <x:v>Soru Bankası</x:v>
      </x:c>
      <x:c r="G105" s="43" t="n">
        <x:v>500</x:v>
      </x:c>
      <x:c r="H105" s="46" t="str">
        <x:f>IF(SUMIFS('İndirimler'!$C$2:$C$110,'İndirimler'!$A$2:$A$110,B105,'İndirimler'!$B$2:$B$110,C105)&gt;0,ROUND(G105*(1-SUMIFS('İndirimler'!$C$2:$C$110,'İndirimler'!$A$2:$A$110,B105,'İndirimler'!$B$2:$B$110,C105)),2),"")</x:f>
      </x:c>
      <x:c r="I105" s="49" t="str">
        <x:f>IF(SUMIFS('İndirimler'!$D$2:$D$110,'İndirimler'!$A$2:$A$110,B105,'İndirimler'!$B$2:$B$110,C105)&gt;0,ROUND(G105*(1-SUMIFS('İndirimler'!$D$2:$D$110,'İndirimler'!$A$2:$A$110,B105,'İndirimler'!$B$2:$B$110,C105)),2),"")</x:f>
      </x:c>
      <x:c r="J105" s="37"/>
    </x:row>
    <x:row r="106" ht="22" customHeight="1">
      <x:c r="A106" s="40" t="str">
        <x:v>9786256142169</x:v>
      </x:c>
      <x:c r="B106" s="37" t="str">
        <x:v>Miray</x:v>
      </x:c>
      <x:c r="C106" s="37" t="str">
        <x:v>10. Sınıf</x:v>
      </x:c>
      <x:c r="D106" s="37" t="str">
        <x:v>Matematik</x:v>
      </x:c>
      <x:c r="E106" s="37" t="str">
        <x:v>Tematik</x:v>
      </x:c>
      <x:c r="F106" s="37" t="str">
        <x:v>Soru Bankası</x:v>
      </x:c>
      <x:c r="G106" s="43" t="n">
        <x:v>616</x:v>
      </x:c>
      <x:c r="H106" s="46" t="str">
        <x:f>IF(SUMIFS('İndirimler'!$C$2:$C$110,'İndirimler'!$A$2:$A$110,B106,'İndirimler'!$B$2:$B$110,C106)&gt;0,ROUND(G106*(1-SUMIFS('İndirimler'!$C$2:$C$110,'İndirimler'!$A$2:$A$110,B106,'İndirimler'!$B$2:$B$110,C106)),2),"")</x:f>
      </x:c>
      <x:c r="I106" s="49" t="str">
        <x:f>IF(SUMIFS('İndirimler'!$D$2:$D$110,'İndirimler'!$A$2:$A$110,B106,'İndirimler'!$B$2:$B$110,C106)&gt;0,ROUND(G106*(1-SUMIFS('İndirimler'!$D$2:$D$110,'İndirimler'!$A$2:$A$110,B106,'İndirimler'!$B$2:$B$110,C106)),2),"")</x:f>
      </x:c>
      <x:c r="J106" s="37"/>
    </x:row>
    <x:row r="107" ht="22" customHeight="1">
      <x:c r="A107" s="40" t="str">
        <x:v>9786256531772</x:v>
      </x:c>
      <x:c r="B107" s="37" t="str">
        <x:v>Orijinal Matematik Yayınları</x:v>
      </x:c>
      <x:c r="C107" s="37" t="str">
        <x:v>10. Sınıf</x:v>
      </x:c>
      <x:c r="D107" s="37" t="str">
        <x:v>Matematik</x:v>
      </x:c>
      <x:c r="E107" s="37"/>
      <x:c r="F107" s="37" t="str">
        <x:v>Soru Bankası</x:v>
      </x:c>
      <x:c r="G107" s="43" t="n">
        <x:v>669</x:v>
      </x:c>
      <x:c r="H107" s="46" t="str">
        <x:f>IF(SUMIFS('İndirimler'!$C$2:$C$110,'İndirimler'!$A$2:$A$110,B107,'İndirimler'!$B$2:$B$110,C107)&gt;0,ROUND(G107*(1-SUMIFS('İndirimler'!$C$2:$C$110,'İndirimler'!$A$2:$A$110,B107,'İndirimler'!$B$2:$B$110,C107)),2),"")</x:f>
      </x:c>
      <x:c r="I107" s="49" t="str">
        <x:f>IF(SUMIFS('İndirimler'!$D$2:$D$110,'İndirimler'!$A$2:$A$110,B107,'İndirimler'!$B$2:$B$110,C107)&gt;0,ROUND(G107*(1-SUMIFS('İndirimler'!$D$2:$D$110,'İndirimler'!$A$2:$A$110,B107,'İndirimler'!$B$2:$B$110,C107)),2),"")</x:f>
      </x:c>
      <x:c r="J107" s="37"/>
    </x:row>
    <x:row r="108" ht="22" customHeight="1">
      <x:c r="A108" s="40" t="str">
        <x:v>9786057997449</x:v>
      </x:c>
      <x:c r="B108" s="37" t="str">
        <x:v>Yarıçap Yayınları</x:v>
      </x:c>
      <x:c r="C108" s="37" t="str">
        <x:v>10. Sınıf</x:v>
      </x:c>
      <x:c r="D108" s="37" t="str">
        <x:v>Matematik</x:v>
      </x:c>
      <x:c r="E108" s="37"/>
      <x:c r="F108" s="37" t="str">
        <x:v>Soru Bankası</x:v>
      </x:c>
      <x:c r="G108" s="43" t="n">
        <x:v>385</x:v>
      </x:c>
      <x:c r="H108" s="46" t="str">
        <x:f>IF(SUMIFS('İndirimler'!$C$2:$C$110,'İndirimler'!$A$2:$A$110,B108,'İndirimler'!$B$2:$B$110,C108)&gt;0,ROUND(G108*(1-SUMIFS('İndirimler'!$C$2:$C$110,'İndirimler'!$A$2:$A$110,B108,'İndirimler'!$B$2:$B$110,C108)),2),"")</x:f>
      </x:c>
      <x:c r="I108" s="49" t="str">
        <x:f>IF(SUMIFS('İndirimler'!$D$2:$D$110,'İndirimler'!$A$2:$A$110,B108,'İndirimler'!$B$2:$B$110,C108)&gt;0,ROUND(G108*(1-SUMIFS('İndirimler'!$D$2:$D$110,'İndirimler'!$A$2:$A$110,B108,'İndirimler'!$B$2:$B$110,C108)),2),"")</x:f>
      </x:c>
      <x:c r="J108" s="37"/>
    </x:row>
    <x:row r="109" ht="22" customHeight="1">
      <x:c r="A109" s="40" t="str">
        <x:v>9786255801173</x:v>
      </x:c>
      <x:c r="B109" s="37" t="str">
        <x:v>Çap Yayınları</x:v>
      </x:c>
      <x:c r="C109" s="37" t="str">
        <x:v>10. Sınıf</x:v>
      </x:c>
      <x:c r="D109" s="37" t="str">
        <x:v>Matematik</x:v>
      </x:c>
      <x:c r="E109" s="37" t="str">
        <x:v>Tematik</x:v>
      </x:c>
      <x:c r="F109" s="37" t="str">
        <x:v>Soru Bankası</x:v>
      </x:c>
      <x:c r="G109" s="43" t="n">
        <x:v>519</x:v>
      </x:c>
      <x:c r="H109" s="46" t="str">
        <x:f>IF(SUMIFS('İndirimler'!$C$2:$C$110,'İndirimler'!$A$2:$A$110,B109,'İndirimler'!$B$2:$B$110,C109)&gt;0,ROUND(G109*(1-SUMIFS('İndirimler'!$C$2:$C$110,'İndirimler'!$A$2:$A$110,B109,'İndirimler'!$B$2:$B$110,C109)),2),"")</x:f>
      </x:c>
      <x:c r="I109" s="49" t="str">
        <x:f>IF(SUMIFS('İndirimler'!$D$2:$D$110,'İndirimler'!$A$2:$A$110,B109,'İndirimler'!$B$2:$B$110,C109)&gt;0,ROUND(G109*(1-SUMIFS('İndirimler'!$D$2:$D$110,'İndirimler'!$A$2:$A$110,B109,'İndirimler'!$B$2:$B$110,C109)),2),"")</x:f>
      </x:c>
      <x:c r="J109" s="37"/>
    </x:row>
    <x:row r="110" ht="22" customHeight="1">
      <x:c r="A110" s="40" t="str">
        <x:v>9786258160888</x:v>
      </x:c>
      <x:c r="B110" s="37" t="str">
        <x:v>ENS Yayınları</x:v>
      </x:c>
      <x:c r="C110" s="37" t="str">
        <x:v>10. Sınıf</x:v>
      </x:c>
      <x:c r="D110" s="37" t="str">
        <x:v>Matematik</x:v>
      </x:c>
      <x:c r="E110" s="37"/>
      <x:c r="F110" s="37" t="str">
        <x:v>Etkinlik Kitabı</x:v>
      </x:c>
      <x:c r="G110" s="43" t="n">
        <x:v>385</x:v>
      </x:c>
      <x:c r="H110" s="46" t="str">
        <x:f>IF(SUMIFS('İndirimler'!$C$2:$C$110,'İndirimler'!$A$2:$A$110,B110,'İndirimler'!$B$2:$B$110,C110)&gt;0,ROUND(G110*(1-SUMIFS('İndirimler'!$C$2:$C$110,'İndirimler'!$A$2:$A$110,B110,'İndirimler'!$B$2:$B$110,C110)),2),"")</x:f>
      </x:c>
      <x:c r="I110" s="49" t="str">
        <x:f>IF(SUMIFS('İndirimler'!$D$2:$D$110,'İndirimler'!$A$2:$A$110,B110,'İndirimler'!$B$2:$B$110,C110)&gt;0,ROUND(G110*(1-SUMIFS('İndirimler'!$D$2:$D$110,'İndirimler'!$A$2:$A$110,B110,'İndirimler'!$B$2:$B$110,C110)),2),"")</x:f>
      </x:c>
      <x:c r="J110" s="37"/>
    </x:row>
    <x:row r="111" ht="22" customHeight="1">
      <x:c r="A111" s="40" t="str">
        <x:v>ORNEK00000001</x:v>
      </x:c>
      <x:c r="B111" s="37" t="str">
        <x:v>Acil Yayınları</x:v>
      </x:c>
      <x:c r="C111" s="37" t="str">
        <x:v>11. Sınıf</x:v>
      </x:c>
      <x:c r="D111" s="37" t="str">
        <x:v>Matematik</x:v>
      </x:c>
      <x:c r="E111" s="37"/>
      <x:c r="F111" s="37" t="str">
        <x:v>Fasikül Set</x:v>
      </x:c>
      <x:c r="G111" s="43" t="n">
        <x:v>500</x:v>
      </x:c>
      <x:c r="H111" s="46" t="str">
        <x:f>IF(SUMIFS('İndirimler'!$C$2:$C$110,'İndirimler'!$A$2:$A$110,B111,'İndirimler'!$B$2:$B$110,C111)&gt;0,ROUND(G111*(1-SUMIFS('İndirimler'!$C$2:$C$110,'İndirimler'!$A$2:$A$110,B111,'İndirimler'!$B$2:$B$110,C111)),2),"")</x:f>
      </x:c>
      <x:c r="I111" s="49" t="str">
        <x:f>IF(SUMIFS('İndirimler'!$D$2:$D$110,'İndirimler'!$A$2:$A$110,B111,'İndirimler'!$B$2:$B$110,C111)&gt;0,ROUND(G111*(1-SUMIFS('İndirimler'!$D$2:$D$110,'İndirimler'!$A$2:$A$110,B111,'İndirimler'!$B$2:$B$110,C111)),2),"")</x:f>
      </x:c>
      <x:c r="J111" s="37"/>
    </x:row>
    <x:row r="112" ht="22" customHeight="1">
      <x:c r="A112" s="40" t="str">
        <x:v>ORNEK00000011</x:v>
      </x:c>
      <x:c r="B112" s="37" t="str">
        <x:v>Aktif Öğrenme Yayınları</x:v>
      </x:c>
      <x:c r="C112" s="37" t="str">
        <x:v>11. Sınıf</x:v>
      </x:c>
      <x:c r="D112" s="37" t="str">
        <x:v>Matematik</x:v>
      </x:c>
      <x:c r="E112" s="37" t="str">
        <x:v>Prime</x:v>
      </x:c>
      <x:c r="F112" s="37" t="str">
        <x:v>Fasikül Set</x:v>
      </x:c>
      <x:c r="G112" s="43" t="n">
        <x:v>500</x:v>
      </x:c>
      <x:c r="H112" s="46" t="str">
        <x:f>IF(SUMIFS('İndirimler'!$C$2:$C$110,'İndirimler'!$A$2:$A$110,B112,'İndirimler'!$B$2:$B$110,C112)&gt;0,ROUND(G112*(1-SUMIFS('İndirimler'!$C$2:$C$110,'İndirimler'!$A$2:$A$110,B112,'İndirimler'!$B$2:$B$110,C112)),2),"")</x:f>
      </x:c>
      <x:c r="I112" s="49" t="str">
        <x:f>IF(SUMIFS('İndirimler'!$D$2:$D$110,'İndirimler'!$A$2:$A$110,B112,'İndirimler'!$B$2:$B$110,C112)&gt;0,ROUND(G112*(1-SUMIFS('İndirimler'!$D$2:$D$110,'İndirimler'!$A$2:$A$110,B112,'İndirimler'!$B$2:$B$110,C112)),2),"")</x:f>
      </x:c>
      <x:c r="J112" s="37"/>
    </x:row>
    <x:row r="113" ht="22" customHeight="1">
      <x:c r="A113" s="40" t="str">
        <x:v>ORNEK00000107</x:v>
      </x:c>
      <x:c r="B113" s="37" t="str">
        <x:v>Mikro Orijinal Yayınları</x:v>
      </x:c>
      <x:c r="C113" s="37" t="str">
        <x:v>11. Sınıf</x:v>
      </x:c>
      <x:c r="D113" s="37" t="str">
        <x:v>Matematik</x:v>
      </x:c>
      <x:c r="E113" s="37" t="str">
        <x:v>MÖF / Mikro</x:v>
      </x:c>
      <x:c r="F113" s="37" t="str">
        <x:v>Fasikül Set</x:v>
      </x:c>
      <x:c r="G113" s="43" t="n">
        <x:v>600</x:v>
      </x:c>
      <x:c r="H113" s="46" t="str">
        <x:f>IF(SUMIFS('İndirimler'!$C$2:$C$110,'İndirimler'!$A$2:$A$110,B113,'İndirimler'!$B$2:$B$110,C113)&gt;0,ROUND(G113*(1-SUMIFS('İndirimler'!$C$2:$C$110,'İndirimler'!$A$2:$A$110,B113,'İndirimler'!$B$2:$B$110,C113)),2),"")</x:f>
      </x:c>
      <x:c r="I113" s="49" t="str">
        <x:f>IF(SUMIFS('İndirimler'!$D$2:$D$110,'İndirimler'!$A$2:$A$110,B113,'İndirimler'!$B$2:$B$110,C113)&gt;0,ROUND(G113*(1-SUMIFS('İndirimler'!$D$2:$D$110,'İndirimler'!$A$2:$A$110,B113,'İndirimler'!$B$2:$B$110,C113)),2),"")</x:f>
      </x:c>
      <x:c r="J113" s="37"/>
    </x:row>
    <x:row r="114" ht="22" customHeight="1">
      <x:c r="A114" s="40" t="str">
        <x:v>ORNEK00000108</x:v>
      </x:c>
      <x:c r="B114" s="37" t="str">
        <x:v>Orijinal Matematik Yayınları</x:v>
      </x:c>
      <x:c r="C114" s="37" t="str">
        <x:v>11. Sınıf</x:v>
      </x:c>
      <x:c r="D114" s="37" t="str">
        <x:v>Matematik</x:v>
      </x:c>
      <x:c r="E114" s="37" t="str">
        <x:v>ODF-KDT</x:v>
      </x:c>
      <x:c r="F114" s="37" t="str">
        <x:v>Fasikül Set</x:v>
      </x:c>
      <x:c r="G114" s="43" t="n">
        <x:v>600</x:v>
      </x:c>
      <x:c r="H114" s="46" t="str">
        <x:f>IF(SUMIFS('İndirimler'!$C$2:$C$110,'İndirimler'!$A$2:$A$110,B114,'İndirimler'!$B$2:$B$110,C114)&gt;0,ROUND(G114*(1-SUMIFS('İndirimler'!$C$2:$C$110,'İndirimler'!$A$2:$A$110,B114,'İndirimler'!$B$2:$B$110,C114)),2),"")</x:f>
      </x:c>
      <x:c r="I114" s="49" t="str">
        <x:f>IF(SUMIFS('İndirimler'!$D$2:$D$110,'İndirimler'!$A$2:$A$110,B114,'İndirimler'!$B$2:$B$110,C114)&gt;0,ROUND(G114*(1-SUMIFS('İndirimler'!$D$2:$D$110,'İndirimler'!$A$2:$A$110,B114,'İndirimler'!$B$2:$B$110,C114)),2),"")</x:f>
      </x:c>
      <x:c r="J114" s="37"/>
    </x:row>
    <x:row r="115" ht="22" customHeight="1">
      <x:c r="A115" s="40" t="str">
        <x:v>9786057997494</x:v>
      </x:c>
      <x:c r="B115" s="37" t="str">
        <x:v>Yarıçap Yayınları</x:v>
      </x:c>
      <x:c r="C115" s="37" t="str">
        <x:v>11. Sınıf</x:v>
      </x:c>
      <x:c r="D115" s="37" t="str">
        <x:v>Matematik</x:v>
      </x:c>
      <x:c r="E115" s="37"/>
      <x:c r="F115" s="37" t="str">
        <x:v>Fasikül Set</x:v>
      </x:c>
      <x:c r="G115" s="43" t="n">
        <x:v>659</x:v>
      </x:c>
      <x:c r="H115" s="46" t="str">
        <x:f>IF(SUMIFS('İndirimler'!$C$2:$C$110,'İndirimler'!$A$2:$A$110,B115,'İndirimler'!$B$2:$B$110,C115)&gt;0,ROUND(G115*(1-SUMIFS('İndirimler'!$C$2:$C$110,'İndirimler'!$A$2:$A$110,B115,'İndirimler'!$B$2:$B$110,C115)),2),"")</x:f>
      </x:c>
      <x:c r="I115" s="49" t="str">
        <x:f>IF(SUMIFS('İndirimler'!$D$2:$D$110,'İndirimler'!$A$2:$A$110,B115,'İndirimler'!$B$2:$B$110,C115)&gt;0,ROUND(G115*(1-SUMIFS('İndirimler'!$D$2:$D$110,'İndirimler'!$A$2:$A$110,B115,'İndirimler'!$B$2:$B$110,C115)),2),"")</x:f>
      </x:c>
      <x:c r="J115" s="37"/>
    </x:row>
    <x:row r="116" ht="22" customHeight="1">
      <x:c r="A116" s="40" t="str">
        <x:v>ORNEK00000058</x:v>
      </x:c>
      <x:c r="B116" s="37" t="str">
        <x:v>Çap Yayınları</x:v>
      </x:c>
      <x:c r="C116" s="37" t="str">
        <x:v>11. Sınıf</x:v>
      </x:c>
      <x:c r="D116" s="37" t="str">
        <x:v>Matematik</x:v>
      </x:c>
      <x:c r="E116" s="37"/>
      <x:c r="F116" s="37" t="str">
        <x:v>Fasikül Set</x:v>
      </x:c>
      <x:c r="G116" s="43" t="n">
        <x:v>600</x:v>
      </x:c>
      <x:c r="H116" s="46" t="str">
        <x:f>IF(SUMIFS('İndirimler'!$C$2:$C$110,'İndirimler'!$A$2:$A$110,B116,'İndirimler'!$B$2:$B$110,C116)&gt;0,ROUND(G116*(1-SUMIFS('İndirimler'!$C$2:$C$110,'İndirimler'!$A$2:$A$110,B116,'İndirimler'!$B$2:$B$110,C116)),2),"")</x:f>
      </x:c>
      <x:c r="I116" s="49" t="str">
        <x:f>IF(SUMIFS('İndirimler'!$D$2:$D$110,'İndirimler'!$A$2:$A$110,B116,'İndirimler'!$B$2:$B$110,C116)&gt;0,ROUND(G116*(1-SUMIFS('İndirimler'!$D$2:$D$110,'İndirimler'!$A$2:$A$110,B116,'İndirimler'!$B$2:$B$110,C116)),2),"")</x:f>
      </x:c>
      <x:c r="J116" s="37"/>
    </x:row>
    <x:row r="117" ht="22" customHeight="1">
      <x:c r="A117" s="40" t="str">
        <x:v>9786258139129</x:v>
      </x:c>
      <x:c r="B117" s="37" t="str">
        <x:v>Çap Yayınları</x:v>
      </x:c>
      <x:c r="C117" s="37" t="str">
        <x:v>11. Sınıf</x:v>
      </x:c>
      <x:c r="D117" s="37" t="str">
        <x:v>Matematik</x:v>
      </x:c>
      <x:c r="E117" s="37" t="str">
        <x:v>Anadolu</x:v>
      </x:c>
      <x:c r="F117" s="37" t="str">
        <x:v>Fasikül Set</x:v>
      </x:c>
      <x:c r="G117" s="43" t="n">
        <x:v>500</x:v>
      </x:c>
      <x:c r="H117" s="46" t="str">
        <x:f>IF(SUMIFS('İndirimler'!$C$2:$C$110,'İndirimler'!$A$2:$A$110,B117,'İndirimler'!$B$2:$B$110,C117)&gt;0,ROUND(G117*(1-SUMIFS('İndirimler'!$C$2:$C$110,'İndirimler'!$A$2:$A$110,B117,'İndirimler'!$B$2:$B$110,C117)),2),"")</x:f>
      </x:c>
      <x:c r="I117" s="49" t="str">
        <x:f>IF(SUMIFS('İndirimler'!$D$2:$D$110,'İndirimler'!$A$2:$A$110,B117,'İndirimler'!$B$2:$B$110,C117)&gt;0,ROUND(G117*(1-SUMIFS('İndirimler'!$D$2:$D$110,'İndirimler'!$A$2:$A$110,B117,'İndirimler'!$B$2:$B$110,C117)),2),"")</x:f>
      </x:c>
      <x:c r="J117" s="37"/>
    </x:row>
    <x:row r="118" ht="22" customHeight="1">
      <x:c r="A118" s="40" t="str">
        <x:v>9786258139433</x:v>
      </x:c>
      <x:c r="B118" s="37" t="str">
        <x:v>Çap Yayınları</x:v>
      </x:c>
      <x:c r="C118" s="37" t="str">
        <x:v>11. Sınıf</x:v>
      </x:c>
      <x:c r="D118" s="37" t="str">
        <x:v>Matematik</x:v>
      </x:c>
      <x:c r="E118" s="37" t="str">
        <x:v>Fen Lisesi</x:v>
      </x:c>
      <x:c r="F118" s="37" t="str">
        <x:v>Fasikül Set</x:v>
      </x:c>
      <x:c r="G118" s="43" t="n">
        <x:v>645</x:v>
      </x:c>
      <x:c r="H118" s="46" t="str">
        <x:f>IF(SUMIFS('İndirimler'!$C$2:$C$110,'İndirimler'!$A$2:$A$110,B118,'İndirimler'!$B$2:$B$110,C118)&gt;0,ROUND(G118*(1-SUMIFS('İndirimler'!$C$2:$C$110,'İndirimler'!$A$2:$A$110,B118,'İndirimler'!$B$2:$B$110,C118)),2),"")</x:f>
      </x:c>
      <x:c r="I118" s="49" t="str">
        <x:f>IF(SUMIFS('İndirimler'!$D$2:$D$110,'İndirimler'!$A$2:$A$110,B118,'İndirimler'!$B$2:$B$110,C118)&gt;0,ROUND(G118*(1-SUMIFS('İndirimler'!$D$2:$D$110,'İndirimler'!$A$2:$A$110,B118,'İndirimler'!$B$2:$B$110,C118)),2),"")</x:f>
      </x:c>
      <x:c r="J118" s="37"/>
    </x:row>
    <x:row r="119" ht="22" customHeight="1">
      <x:c r="A119" s="40" t="str">
        <x:v>9786057710055</x:v>
      </x:c>
      <x:c r="B119" s="37" t="str">
        <x:v>Aydın</x:v>
      </x:c>
      <x:c r="C119" s="37" t="str">
        <x:v>11. Sınıf</x:v>
      </x:c>
      <x:c r="D119" s="37" t="str">
        <x:v>Matematik</x:v>
      </x:c>
      <x:c r="E119" s="37" t="str">
        <x:v>Tematik / Ders İşleyiş Modülleri</x:v>
      </x:c>
      <x:c r="F119" s="37" t="str">
        <x:v>Konu Anlatımlı</x:v>
      </x:c>
      <x:c r="G119" s="43" t="n">
        <x:v>644</x:v>
      </x:c>
      <x:c r="H119" s="46" t="str">
        <x:f>IF(SUMIFS('İndirimler'!$C$2:$C$110,'İndirimler'!$A$2:$A$110,B119,'İndirimler'!$B$2:$B$110,C119)&gt;0,ROUND(G119*(1-SUMIFS('İndirimler'!$C$2:$C$110,'İndirimler'!$A$2:$A$110,B119,'İndirimler'!$B$2:$B$110,C119)),2),"")</x:f>
      </x:c>
      <x:c r="I119" s="49" t="str">
        <x:f>IF(SUMIFS('İndirimler'!$D$2:$D$110,'İndirimler'!$A$2:$A$110,B119,'İndirimler'!$B$2:$B$110,C119)&gt;0,ROUND(G119*(1-SUMIFS('İndirimler'!$D$2:$D$110,'İndirimler'!$A$2:$A$110,B119,'İndirimler'!$B$2:$B$110,C119)),2),"")</x:f>
      </x:c>
      <x:c r="J119" s="37"/>
    </x:row>
    <x:row r="120" ht="22" customHeight="1">
      <x:c r="A120" s="40" t="str">
        <x:v>ORNEK00000041</x:v>
      </x:c>
      <x:c r="B120" s="37" t="str">
        <x:v>Bilgi Sarmal Yayınları</x:v>
      </x:c>
      <x:c r="C120" s="37" t="str">
        <x:v>11. Sınıf</x:v>
      </x:c>
      <x:c r="D120" s="37" t="str">
        <x:v>Matematik</x:v>
      </x:c>
      <x:c r="E120" s="37" t="str">
        <x:v>Tema</x:v>
      </x:c>
      <x:c r="F120" s="37" t="str">
        <x:v>Konu Anlatımlı</x:v>
      </x:c>
      <x:c r="G120" s="43" t="n">
        <x:v>500</x:v>
      </x:c>
      <x:c r="H120" s="46" t="str">
        <x:f>IF(SUMIFS('İndirimler'!$C$2:$C$110,'İndirimler'!$A$2:$A$110,B120,'İndirimler'!$B$2:$B$110,C120)&gt;0,ROUND(G120*(1-SUMIFS('İndirimler'!$C$2:$C$110,'İndirimler'!$A$2:$A$110,B120,'İndirimler'!$B$2:$B$110,C120)),2),"")</x:f>
      </x:c>
      <x:c r="I120" s="49" t="str">
        <x:f>IF(SUMIFS('İndirimler'!$D$2:$D$110,'İndirimler'!$A$2:$A$110,B120,'İndirimler'!$B$2:$B$110,C120)&gt;0,ROUND(G120*(1-SUMIFS('İndirimler'!$D$2:$D$110,'İndirimler'!$A$2:$A$110,B120,'İndirimler'!$B$2:$B$110,C120)),2),"")</x:f>
      </x:c>
      <x:c r="J120" s="37"/>
    </x:row>
    <x:row r="121" ht="22" customHeight="1">
      <x:c r="A121" s="40" t="str">
        <x:v>ORNEK00000076</x:v>
      </x:c>
      <x:c r="B121" s="37" t="str">
        <x:v>ENS Yayınları</x:v>
      </x:c>
      <x:c r="C121" s="37" t="str">
        <x:v>11. Sınıf</x:v>
      </x:c>
      <x:c r="D121" s="37" t="str">
        <x:v>Matematik</x:v>
      </x:c>
      <x:c r="E121" s="37" t="str">
        <x:v>Defter</x:v>
      </x:c>
      <x:c r="F121" s="37" t="str">
        <x:v>Konu Anlatımlı</x:v>
      </x:c>
      <x:c r="G121" s="43" t="n">
        <x:v>500</x:v>
      </x:c>
      <x:c r="H121" s="46" t="str">
        <x:f>IF(SUMIFS('İndirimler'!$C$2:$C$110,'İndirimler'!$A$2:$A$110,B121,'İndirimler'!$B$2:$B$110,C121)&gt;0,ROUND(G121*(1-SUMIFS('İndirimler'!$C$2:$C$110,'İndirimler'!$A$2:$A$110,B121,'İndirimler'!$B$2:$B$110,C121)),2),"")</x:f>
      </x:c>
      <x:c r="I121" s="49" t="str">
        <x:f>IF(SUMIFS('İndirimler'!$D$2:$D$110,'İndirimler'!$A$2:$A$110,B121,'İndirimler'!$B$2:$B$110,C121)&gt;0,ROUND(G121*(1-SUMIFS('İndirimler'!$D$2:$D$110,'İndirimler'!$A$2:$A$110,B121,'İndirimler'!$B$2:$B$110,C121)),2),"")</x:f>
      </x:c>
      <x:c r="J121" s="37"/>
    </x:row>
    <x:row r="122" ht="22" customHeight="1">
      <x:c r="A122" s="40" t="str">
        <x:v>9786256349063</x:v>
      </x:c>
      <x:c r="B122" s="37" t="str">
        <x:v>Etkili Matematik Yayınları</x:v>
      </x:c>
      <x:c r="C122" s="37" t="str">
        <x:v>11. Sınıf</x:v>
      </x:c>
      <x:c r="D122" s="37" t="str">
        <x:v>Matematik</x:v>
      </x:c>
      <x:c r="E122" s="37"/>
      <x:c r="F122" s="37" t="str">
        <x:v>Konu Anlatımlı</x:v>
      </x:c>
      <x:c r="G122" s="43" t="n">
        <x:v>615</x:v>
      </x:c>
      <x:c r="H122" s="46" t="str">
        <x:f>IF(SUMIFS('İndirimler'!$C$2:$C$110,'İndirimler'!$A$2:$A$110,B122,'İndirimler'!$B$2:$B$110,C122)&gt;0,ROUND(G122*(1-SUMIFS('İndirimler'!$C$2:$C$110,'İndirimler'!$A$2:$A$110,B122,'İndirimler'!$B$2:$B$110,C122)),2),"")</x:f>
      </x:c>
      <x:c r="I122" s="49" t="str">
        <x:f>IF(SUMIFS('İndirimler'!$D$2:$D$110,'İndirimler'!$A$2:$A$110,B122,'İndirimler'!$B$2:$B$110,C122)&gt;0,ROUND(G122*(1-SUMIFS('İndirimler'!$D$2:$D$110,'İndirimler'!$A$2:$A$110,B122,'İndirimler'!$B$2:$B$110,C122)),2),"")</x:f>
      </x:c>
      <x:c r="J122" s="37"/>
    </x:row>
    <x:row r="123" ht="22" customHeight="1">
      <x:c r="A123" s="40" t="str">
        <x:v>9786052754146</x:v>
      </x:c>
      <x:c r="B123" s="37" t="str">
        <x:v>Limit</x:v>
      </x:c>
      <x:c r="C123" s="37" t="str">
        <x:v>11. Sınıf</x:v>
      </x:c>
      <x:c r="D123" s="37" t="str">
        <x:v>Matematik</x:v>
      </x:c>
      <x:c r="E123" s="37" t="str">
        <x:v>Tematik</x:v>
      </x:c>
      <x:c r="F123" s="37" t="str">
        <x:v>Konu Anlatımlı</x:v>
      </x:c>
      <x:c r="G123" s="43" t="n">
        <x:v>546</x:v>
      </x:c>
      <x:c r="H123" s="46" t="str">
        <x:f>IF(SUMIFS('İndirimler'!$C$2:$C$110,'İndirimler'!$A$2:$A$110,B123,'İndirimler'!$B$2:$B$110,C123)&gt;0,ROUND(G123*(1-SUMIFS('İndirimler'!$C$2:$C$110,'İndirimler'!$A$2:$A$110,B123,'İndirimler'!$B$2:$B$110,C123)),2),"")</x:f>
      </x:c>
      <x:c r="I123" s="49" t="str">
        <x:f>IF(SUMIFS('İndirimler'!$D$2:$D$110,'İndirimler'!$A$2:$A$110,B123,'İndirimler'!$B$2:$B$110,C123)&gt;0,ROUND(G123*(1-SUMIFS('İndirimler'!$D$2:$D$110,'İndirimler'!$A$2:$A$110,B123,'İndirimler'!$B$2:$B$110,C123)),2),"")</x:f>
      </x:c>
      <x:c r="J123" s="37"/>
    </x:row>
    <x:row r="124" ht="22" customHeight="1">
      <x:c r="A124" s="40" t="str">
        <x:v>9786256142640</x:v>
      </x:c>
      <x:c r="B124" s="37" t="str">
        <x:v>Miray</x:v>
      </x:c>
      <x:c r="C124" s="37" t="str">
        <x:v>11. Sınıf</x:v>
      </x:c>
      <x:c r="D124" s="37" t="str">
        <x:v>Matematik</x:v>
      </x:c>
      <x:c r="E124" s="37" t="str">
        <x:v>Tematik / Ders Anlatım Fasikülleri</x:v>
      </x:c>
      <x:c r="F124" s="37" t="str">
        <x:v>Konu Anlatımlı</x:v>
      </x:c>
      <x:c r="G124" s="43" t="n">
        <x:v>700</x:v>
      </x:c>
      <x:c r="H124" s="46" t="str">
        <x:f>IF(SUMIFS('İndirimler'!$C$2:$C$110,'İndirimler'!$A$2:$A$110,B124,'İndirimler'!$B$2:$B$110,C124)&gt;0,ROUND(G124*(1-SUMIFS('İndirimler'!$C$2:$C$110,'İndirimler'!$A$2:$A$110,B124,'İndirimler'!$B$2:$B$110,C124)),2),"")</x:f>
      </x:c>
      <x:c r="I124" s="49" t="str">
        <x:f>IF(SUMIFS('İndirimler'!$D$2:$D$110,'İndirimler'!$A$2:$A$110,B124,'İndirimler'!$B$2:$B$110,C124)&gt;0,ROUND(G124*(1-SUMIFS('İndirimler'!$D$2:$D$110,'İndirimler'!$A$2:$A$110,B124,'İndirimler'!$B$2:$B$110,C124)),2),"")</x:f>
      </x:c>
      <x:c r="J124" s="37"/>
    </x:row>
    <x:row r="125" ht="22" customHeight="1">
      <x:c r="A125" s="40" t="str">
        <x:v>9786256921924</x:v>
      </x:c>
      <x:c r="B125" s="37" t="str">
        <x:v>4K</x:v>
      </x:c>
      <x:c r="C125" s="37" t="str">
        <x:v>11. Sınıf</x:v>
      </x:c>
      <x:c r="D125" s="37" t="str">
        <x:v>Matematik</x:v>
      </x:c>
      <x:c r="E125" s="37" t="str">
        <x:v>Tematik</x:v>
      </x:c>
      <x:c r="F125" s="37" t="str">
        <x:v>Soru Bankası</x:v>
      </x:c>
      <x:c r="G125" s="43" t="n">
        <x:v>478</x:v>
      </x:c>
      <x:c r="H125" s="46" t="str">
        <x:f>IF(SUMIFS('İndirimler'!$C$2:$C$110,'İndirimler'!$A$2:$A$110,B125,'İndirimler'!$B$2:$B$110,C125)&gt;0,ROUND(G125*(1-SUMIFS('İndirimler'!$C$2:$C$110,'İndirimler'!$A$2:$A$110,B125,'İndirimler'!$B$2:$B$110,C125)),2),"")</x:f>
      </x:c>
      <x:c r="I125" s="49" t="str">
        <x:f>IF(SUMIFS('İndirimler'!$D$2:$D$110,'İndirimler'!$A$2:$A$110,B125,'İndirimler'!$B$2:$B$110,C125)&gt;0,ROUND(G125*(1-SUMIFS('İndirimler'!$D$2:$D$110,'İndirimler'!$A$2:$A$110,B125,'İndirimler'!$B$2:$B$110,C125)),2),"")</x:f>
      </x:c>
      <x:c r="J125" s="37"/>
    </x:row>
    <x:row r="126" ht="22" customHeight="1">
      <x:c r="A126" s="40" t="str">
        <x:v>ORNEK00000002</x:v>
      </x:c>
      <x:c r="B126" s="37" t="str">
        <x:v>Acil Yayınları</x:v>
      </x:c>
      <x:c r="C126" s="37" t="str">
        <x:v>11. Sınıf</x:v>
      </x:c>
      <x:c r="D126" s="37" t="str">
        <x:v>Matematik</x:v>
      </x:c>
      <x:c r="E126" s="37"/>
      <x:c r="F126" s="37" t="str">
        <x:v>Soru Bankası</x:v>
      </x:c>
      <x:c r="G126" s="43" t="n">
        <x:v>500</x:v>
      </x:c>
      <x:c r="H126" s="46" t="str">
        <x:f>IF(SUMIFS('İndirimler'!$C$2:$C$110,'İndirimler'!$A$2:$A$110,B126,'İndirimler'!$B$2:$B$110,C126)&gt;0,ROUND(G126*(1-SUMIFS('İndirimler'!$C$2:$C$110,'İndirimler'!$A$2:$A$110,B126,'İndirimler'!$B$2:$B$110,C126)),2),"")</x:f>
      </x:c>
      <x:c r="I126" s="49" t="str">
        <x:f>IF(SUMIFS('İndirimler'!$D$2:$D$110,'İndirimler'!$A$2:$A$110,B126,'İndirimler'!$B$2:$B$110,C126)&gt;0,ROUND(G126*(1-SUMIFS('İndirimler'!$D$2:$D$110,'İndirimler'!$A$2:$A$110,B126,'İndirimler'!$B$2:$B$110,C126)),2),"")</x:f>
      </x:c>
      <x:c r="J126" s="37"/>
    </x:row>
    <x:row r="127" ht="22" customHeight="1">
      <x:c r="A127" s="40" t="str">
        <x:v>ORNEK00000003</x:v>
      </x:c>
      <x:c r="B127" s="37" t="str">
        <x:v>Acil Yayınları</x:v>
      </x:c>
      <x:c r="C127" s="37" t="str">
        <x:v>11. Sınıf</x:v>
      </x:c>
      <x:c r="D127" s="37" t="str">
        <x:v>Matematik</x:v>
      </x:c>
      <x:c r="E127" s="37" t="str">
        <x:v>Matematiğin İlacı</x:v>
      </x:c>
      <x:c r="F127" s="37" t="str">
        <x:v>Soru Bankası</x:v>
      </x:c>
      <x:c r="G127" s="43" t="n">
        <x:v>500</x:v>
      </x:c>
      <x:c r="H127" s="46" t="str">
        <x:f>IF(SUMIFS('İndirimler'!$C$2:$C$110,'İndirimler'!$A$2:$A$110,B127,'İndirimler'!$B$2:$B$110,C127)&gt;0,ROUND(G127*(1-SUMIFS('İndirimler'!$C$2:$C$110,'İndirimler'!$A$2:$A$110,B127,'İndirimler'!$B$2:$B$110,C127)),2),"")</x:f>
      </x:c>
      <x:c r="I127" s="49" t="str">
        <x:f>IF(SUMIFS('İndirimler'!$D$2:$D$110,'İndirimler'!$A$2:$A$110,B127,'İndirimler'!$B$2:$B$110,C127)&gt;0,ROUND(G127*(1-SUMIFS('İndirimler'!$D$2:$D$110,'İndirimler'!$A$2:$A$110,B127,'İndirimler'!$B$2:$B$110,C127)),2),"")</x:f>
      </x:c>
      <x:c r="J127" s="37"/>
    </x:row>
    <x:row r="128" ht="22" customHeight="1">
      <x:c r="A128" s="40" t="str">
        <x:v>9786057710116</x:v>
      </x:c>
      <x:c r="B128" s="37" t="str">
        <x:v>Aydın</x:v>
      </x:c>
      <x:c r="C128" s="37" t="str">
        <x:v>11. Sınıf</x:v>
      </x:c>
      <x:c r="D128" s="37" t="str">
        <x:v>Matematik</x:v>
      </x:c>
      <x:c r="E128" s="37" t="str">
        <x:v>Tematik</x:v>
      </x:c>
      <x:c r="F128" s="37" t="str">
        <x:v>Soru Bankası</x:v>
      </x:c>
      <x:c r="G128" s="43" t="n">
        <x:v>480</x:v>
      </x:c>
      <x:c r="H128" s="46" t="str">
        <x:f>IF(SUMIFS('İndirimler'!$C$2:$C$110,'İndirimler'!$A$2:$A$110,B128,'İndirimler'!$B$2:$B$110,C128)&gt;0,ROUND(G128*(1-SUMIFS('İndirimler'!$C$2:$C$110,'İndirimler'!$A$2:$A$110,B128,'İndirimler'!$B$2:$B$110,C128)),2),"")</x:f>
      </x:c>
      <x:c r="I128" s="49" t="str">
        <x:f>IF(SUMIFS('İndirimler'!$D$2:$D$110,'İndirimler'!$A$2:$A$110,B128,'İndirimler'!$B$2:$B$110,C128)&gt;0,ROUND(G128*(1-SUMIFS('İndirimler'!$D$2:$D$110,'İndirimler'!$A$2:$A$110,B128,'İndirimler'!$B$2:$B$110,C128)),2),"")</x:f>
      </x:c>
      <x:c r="J128" s="37"/>
    </x:row>
    <x:row r="129" ht="22" customHeight="1">
      <x:c r="A129" s="40" t="str">
        <x:v>ORNEK00000022</x:v>
      </x:c>
      <x:c r="B129" s="37" t="str">
        <x:v>Bilgi Sarmal Yayınları</x:v>
      </x:c>
      <x:c r="C129" s="37" t="str">
        <x:v>11. Sınıf</x:v>
      </x:c>
      <x:c r="D129" s="37" t="str">
        <x:v>Matematik</x:v>
      </x:c>
      <x:c r="E129" s="37"/>
      <x:c r="F129" s="37" t="str">
        <x:v>Soru Bankası</x:v>
      </x:c>
      <x:c r="G129" s="43" t="n">
        <x:v>500</x:v>
      </x:c>
      <x:c r="H129" s="46" t="str">
        <x:f>IF(SUMIFS('İndirimler'!$C$2:$C$110,'İndirimler'!$A$2:$A$110,B129,'İndirimler'!$B$2:$B$110,C129)&gt;0,ROUND(G129*(1-SUMIFS('İndirimler'!$C$2:$C$110,'İndirimler'!$A$2:$A$110,B129,'İndirimler'!$B$2:$B$110,C129)),2),"")</x:f>
      </x:c>
      <x:c r="I129" s="49" t="str">
        <x:f>IF(SUMIFS('İndirimler'!$D$2:$D$110,'İndirimler'!$A$2:$A$110,B129,'İndirimler'!$B$2:$B$110,C129)&gt;0,ROUND(G129*(1-SUMIFS('İndirimler'!$D$2:$D$110,'İndirimler'!$A$2:$A$110,B129,'İndirimler'!$B$2:$B$110,C129)),2),"")</x:f>
      </x:c>
      <x:c r="J129" s="37"/>
    </x:row>
    <x:row r="130" ht="22" customHeight="1">
      <x:c r="A130" s="40" t="str">
        <x:v>9786057328762</x:v>
      </x:c>
      <x:c r="B130" s="37" t="str">
        <x:v>Full Matematik Yayınları</x:v>
      </x:c>
      <x:c r="C130" s="37" t="str">
        <x:v>11. Sınıf</x:v>
      </x:c>
      <x:c r="D130" s="37" t="str">
        <x:v>Matematik</x:v>
      </x:c>
      <x:c r="E130" s="37"/>
      <x:c r="F130" s="37" t="str">
        <x:v>Soru Bankası</x:v>
      </x:c>
      <x:c r="G130" s="43" t="n">
        <x:v>500</x:v>
      </x:c>
      <x:c r="H130" s="46" t="str">
        <x:f>IF(SUMIFS('İndirimler'!$C$2:$C$110,'İndirimler'!$A$2:$A$110,B130,'İndirimler'!$B$2:$B$110,C130)&gt;0,ROUND(G130*(1-SUMIFS('İndirimler'!$C$2:$C$110,'İndirimler'!$A$2:$A$110,B130,'İndirimler'!$B$2:$B$110,C130)),2),"")</x:f>
      </x:c>
      <x:c r="I130" s="49" t="str">
        <x:f>IF(SUMIFS('İndirimler'!$D$2:$D$110,'İndirimler'!$A$2:$A$110,B130,'İndirimler'!$B$2:$B$110,C130)&gt;0,ROUND(G130*(1-SUMIFS('İndirimler'!$D$2:$D$110,'İndirimler'!$A$2:$A$110,B130,'İndirimler'!$B$2:$B$110,C130)),2),"")</x:f>
      </x:c>
      <x:c r="J130" s="37"/>
    </x:row>
    <x:row r="131" ht="22" customHeight="1">
      <x:c r="A131" s="40" t="str">
        <x:v>ORNEK00000088</x:v>
      </x:c>
      <x:c r="B131" s="37" t="str">
        <x:v>Full Matematik Yayınları</x:v>
      </x:c>
      <x:c r="C131" s="37" t="str">
        <x:v>11. Sınıf</x:v>
      </x:c>
      <x:c r="D131" s="37" t="str">
        <x:v>Matematik</x:v>
      </x:c>
      <x:c r="E131" s="37"/>
      <x:c r="F131" s="37" t="str">
        <x:v>Soru Bankası</x:v>
      </x:c>
      <x:c r="G131" s="43" t="n">
        <x:v>500</x:v>
      </x:c>
      <x:c r="H131" s="46" t="str">
        <x:f>IF(SUMIFS('İndirimler'!$C$2:$C$110,'İndirimler'!$A$2:$A$110,B131,'İndirimler'!$B$2:$B$110,C131)&gt;0,ROUND(G131*(1-SUMIFS('İndirimler'!$C$2:$C$110,'İndirimler'!$A$2:$A$110,B131,'İndirimler'!$B$2:$B$110,C131)),2),"")</x:f>
      </x:c>
      <x:c r="I131" s="49" t="str">
        <x:f>IF(SUMIFS('İndirimler'!$D$2:$D$110,'İndirimler'!$A$2:$A$110,B131,'İndirimler'!$B$2:$B$110,C131)&gt;0,ROUND(G131*(1-SUMIFS('İndirimler'!$D$2:$D$110,'İndirimler'!$A$2:$A$110,B131,'İndirimler'!$B$2:$B$110,C131)),2),"")</x:f>
      </x:c>
      <x:c r="J131" s="37"/>
    </x:row>
    <x:row r="132" ht="22" customHeight="1">
      <x:c r="A132" s="40" t="str">
        <x:v>ORNEK00000098</x:v>
      </x:c>
      <x:c r="B132" s="37" t="str">
        <x:v>Hız ve Renk Yayınları</x:v>
      </x:c>
      <x:c r="C132" s="37" t="str">
        <x:v>11. Sınıf</x:v>
      </x:c>
      <x:c r="D132" s="37" t="str">
        <x:v>Matematik</x:v>
      </x:c>
      <x:c r="E132" s="37" t="str">
        <x:v>HİT</x:v>
      </x:c>
      <x:c r="F132" s="37" t="str">
        <x:v>Soru Bankası</x:v>
      </x:c>
      <x:c r="G132" s="43" t="n">
        <x:v>500</x:v>
      </x:c>
      <x:c r="H132" s="46" t="str">
        <x:f>IF(SUMIFS('İndirimler'!$C$2:$C$110,'İndirimler'!$A$2:$A$110,B132,'İndirimler'!$B$2:$B$110,C132)&gt;0,ROUND(G132*(1-SUMIFS('İndirimler'!$C$2:$C$110,'İndirimler'!$A$2:$A$110,B132,'İndirimler'!$B$2:$B$110,C132)),2),"")</x:f>
      </x:c>
      <x:c r="I132" s="49" t="str">
        <x:f>IF(SUMIFS('İndirimler'!$D$2:$D$110,'İndirimler'!$A$2:$A$110,B132,'İndirimler'!$B$2:$B$110,C132)&gt;0,ROUND(G132*(1-SUMIFS('İndirimler'!$D$2:$D$110,'İndirimler'!$A$2:$A$110,B132,'İndirimler'!$B$2:$B$110,C132)),2),"")</x:f>
      </x:c>
      <x:c r="J132" s="37"/>
    </x:row>
    <x:row r="133" ht="22" customHeight="1">
      <x:c r="A133" s="40" t="str">
        <x:v>9786052753972</x:v>
      </x:c>
      <x:c r="B133" s="37" t="str">
        <x:v>Limit</x:v>
      </x:c>
      <x:c r="C133" s="37" t="str">
        <x:v>11. Sınıf</x:v>
      </x:c>
      <x:c r="D133" s="37" t="str">
        <x:v>Matematik</x:v>
      </x:c>
      <x:c r="E133" s="37" t="str">
        <x:v>Tematik</x:v>
      </x:c>
      <x:c r="F133" s="37" t="str">
        <x:v>Soru Bankası</x:v>
      </x:c>
      <x:c r="G133" s="43" t="n">
        <x:v>498</x:v>
      </x:c>
      <x:c r="H133" s="46" t="str">
        <x:f>IF(SUMIFS('İndirimler'!$C$2:$C$110,'İndirimler'!$A$2:$A$110,B133,'İndirimler'!$B$2:$B$110,C133)&gt;0,ROUND(G133*(1-SUMIFS('İndirimler'!$C$2:$C$110,'İndirimler'!$A$2:$A$110,B133,'İndirimler'!$B$2:$B$110,C133)),2),"")</x:f>
      </x:c>
      <x:c r="I133" s="49" t="str">
        <x:f>IF(SUMIFS('İndirimler'!$D$2:$D$110,'İndirimler'!$A$2:$A$110,B133,'İndirimler'!$B$2:$B$110,C133)&gt;0,ROUND(G133*(1-SUMIFS('İndirimler'!$D$2:$D$110,'İndirimler'!$A$2:$A$110,B133,'İndirimler'!$B$2:$B$110,C133)),2),"")</x:f>
      </x:c>
      <x:c r="J133" s="37"/>
    </x:row>
    <x:row r="134" ht="22" customHeight="1">
      <x:c r="A134" s="40" t="str">
        <x:v>ORNEK00000256</x:v>
      </x:c>
      <x:c r="B134" s="37" t="str">
        <x:v>Mikro Orijinal Yayınları</x:v>
      </x:c>
      <x:c r="C134" s="37" t="str">
        <x:v>11. Sınıf</x:v>
      </x:c>
      <x:c r="D134" s="37" t="str">
        <x:v>Matematik</x:v>
      </x:c>
      <x:c r="E134" s="37" t="str">
        <x:v>Mikro</x:v>
      </x:c>
      <x:c r="F134" s="37" t="str">
        <x:v>Soru Bankası</x:v>
      </x:c>
      <x:c r="G134" s="43" t="n">
        <x:v>500</x:v>
      </x:c>
      <x:c r="H134" s="46" t="str">
        <x:f>IF(SUMIFS('İndirimler'!$C$2:$C$110,'İndirimler'!$A$2:$A$110,B134,'İndirimler'!$B$2:$B$110,C134)&gt;0,ROUND(G134*(1-SUMIFS('İndirimler'!$C$2:$C$110,'İndirimler'!$A$2:$A$110,B134,'İndirimler'!$B$2:$B$110,C134)),2),"")</x:f>
      </x:c>
      <x:c r="I134" s="49" t="str">
        <x:f>IF(SUMIFS('İndirimler'!$D$2:$D$110,'İndirimler'!$A$2:$A$110,B134,'İndirimler'!$B$2:$B$110,C134)&gt;0,ROUND(G134*(1-SUMIFS('İndirimler'!$D$2:$D$110,'İndirimler'!$A$2:$A$110,B134,'İndirimler'!$B$2:$B$110,C134)),2),"")</x:f>
      </x:c>
      <x:c r="J134" s="37"/>
    </x:row>
    <x:row r="135" ht="22" customHeight="1">
      <x:c r="A135" s="40" t="str">
        <x:v>9786256142657</x:v>
      </x:c>
      <x:c r="B135" s="37" t="str">
        <x:v>Miray</x:v>
      </x:c>
      <x:c r="C135" s="37" t="str">
        <x:v>11. Sınıf</x:v>
      </x:c>
      <x:c r="D135" s="37" t="str">
        <x:v>Matematik</x:v>
      </x:c>
      <x:c r="E135" s="37" t="str">
        <x:v>Tematik</x:v>
      </x:c>
      <x:c r="F135" s="37" t="str">
        <x:v>Soru Bankası</x:v>
      </x:c>
      <x:c r="G135" s="43" t="n">
        <x:v>493</x:v>
      </x:c>
      <x:c r="H135" s="46" t="str">
        <x:f>IF(SUMIFS('İndirimler'!$C$2:$C$110,'İndirimler'!$A$2:$A$110,B135,'İndirimler'!$B$2:$B$110,C135)&gt;0,ROUND(G135*(1-SUMIFS('İndirimler'!$C$2:$C$110,'İndirimler'!$A$2:$A$110,B135,'İndirimler'!$B$2:$B$110,C135)),2),"")</x:f>
      </x:c>
      <x:c r="I135" s="49" t="str">
        <x:f>IF(SUMIFS('İndirimler'!$D$2:$D$110,'İndirimler'!$A$2:$A$110,B135,'İndirimler'!$B$2:$B$110,C135)&gt;0,ROUND(G135*(1-SUMIFS('İndirimler'!$D$2:$D$110,'İndirimler'!$A$2:$A$110,B135,'İndirimler'!$B$2:$B$110,C135)),2),"")</x:f>
      </x:c>
      <x:c r="J135" s="37"/>
    </x:row>
    <x:row r="136" ht="22" customHeight="1">
      <x:c r="A136" s="40" t="str">
        <x:v>ORNEK00000109</x:v>
      </x:c>
      <x:c r="B136" s="37" t="str">
        <x:v>Orijinal Matematik Yayınları</x:v>
      </x:c>
      <x:c r="C136" s="37" t="str">
        <x:v>11. Sınıf</x:v>
      </x:c>
      <x:c r="D136" s="37" t="str">
        <x:v>Matematik</x:v>
      </x:c>
      <x:c r="E136" s="37"/>
      <x:c r="F136" s="37" t="str">
        <x:v>Soru Bankası</x:v>
      </x:c>
      <x:c r="G136" s="43" t="n">
        <x:v>500</x:v>
      </x:c>
      <x:c r="H136" s="46" t="str">
        <x:f>IF(SUMIFS('İndirimler'!$C$2:$C$110,'İndirimler'!$A$2:$A$110,B136,'İndirimler'!$B$2:$B$110,C136)&gt;0,ROUND(G136*(1-SUMIFS('İndirimler'!$C$2:$C$110,'İndirimler'!$A$2:$A$110,B136,'İndirimler'!$B$2:$B$110,C136)),2),"")</x:f>
      </x:c>
      <x:c r="I136" s="49" t="str">
        <x:f>IF(SUMIFS('İndirimler'!$D$2:$D$110,'İndirimler'!$A$2:$A$110,B136,'İndirimler'!$B$2:$B$110,C136)&gt;0,ROUND(G136*(1-SUMIFS('İndirimler'!$D$2:$D$110,'İndirimler'!$A$2:$A$110,B136,'İndirimler'!$B$2:$B$110,C136)),2),"")</x:f>
      </x:c>
      <x:c r="J136" s="37"/>
    </x:row>
    <x:row r="137" ht="22" customHeight="1">
      <x:c r="A137" s="40" t="str">
        <x:v>ORNEK00000113</x:v>
      </x:c>
      <x:c r="B137" s="37" t="str">
        <x:v>Yarıçap Yayınları</x:v>
      </x:c>
      <x:c r="C137" s="37" t="str">
        <x:v>11. Sınıf</x:v>
      </x:c>
      <x:c r="D137" s="37" t="str">
        <x:v>Matematik</x:v>
      </x:c>
      <x:c r="E137" s="37"/>
      <x:c r="F137" s="37" t="str">
        <x:v>Soru Bankası</x:v>
      </x:c>
      <x:c r="G137" s="43" t="n">
        <x:v>500</x:v>
      </x:c>
      <x:c r="H137" s="46" t="str">
        <x:f>IF(SUMIFS('İndirimler'!$C$2:$C$110,'İndirimler'!$A$2:$A$110,B137,'İndirimler'!$B$2:$B$110,C137)&gt;0,ROUND(G137*(1-SUMIFS('İndirimler'!$C$2:$C$110,'İndirimler'!$A$2:$A$110,B137,'İndirimler'!$B$2:$B$110,C137)),2),"")</x:f>
      </x:c>
      <x:c r="I137" s="49" t="str">
        <x:f>IF(SUMIFS('İndirimler'!$D$2:$D$110,'İndirimler'!$A$2:$A$110,B137,'İndirimler'!$B$2:$B$110,C137)&gt;0,ROUND(G137*(1-SUMIFS('İndirimler'!$D$2:$D$110,'İndirimler'!$A$2:$A$110,B137,'İndirimler'!$B$2:$B$110,C137)),2),"")</x:f>
      </x:c>
      <x:c r="J137" s="37"/>
    </x:row>
    <x:row r="138" ht="22" customHeight="1">
      <x:c r="A138" s="40" t="str">
        <x:v>ORNEK00000067</x:v>
      </x:c>
      <x:c r="B138" s="37" t="str">
        <x:v>Çap Yayınları</x:v>
      </x:c>
      <x:c r="C138" s="37" t="str">
        <x:v>11. Sınıf</x:v>
      </x:c>
      <x:c r="D138" s="37" t="str">
        <x:v>Matematik</x:v>
      </x:c>
      <x:c r="E138" s="37"/>
      <x:c r="F138" s="37" t="str">
        <x:v>Soru Bankası</x:v>
      </x:c>
      <x:c r="G138" s="43" t="n">
        <x:v>500</x:v>
      </x:c>
      <x:c r="H138" s="46" t="str">
        <x:f>IF(SUMIFS('İndirimler'!$C$2:$C$110,'İndirimler'!$A$2:$A$110,B138,'İndirimler'!$B$2:$B$110,C138)&gt;0,ROUND(G138*(1-SUMIFS('İndirimler'!$C$2:$C$110,'İndirimler'!$A$2:$A$110,B138,'İndirimler'!$B$2:$B$110,C138)),2),"")</x:f>
      </x:c>
      <x:c r="I138" s="49" t="str">
        <x:f>IF(SUMIFS('İndirimler'!$D$2:$D$110,'İndirimler'!$A$2:$A$110,B138,'İndirimler'!$B$2:$B$110,C138)&gt;0,ROUND(G138*(1-SUMIFS('İndirimler'!$D$2:$D$110,'İndirimler'!$A$2:$A$110,B138,'İndirimler'!$B$2:$B$110,C138)),2),"")</x:f>
      </x:c>
      <x:c r="J138" s="37"/>
    </x:row>
    <x:row r="139" ht="22" customHeight="1">
      <x:c r="A139" s="40" t="str">
        <x:v>ORNEK00000084</x:v>
      </x:c>
      <x:c r="B139" s="37" t="str">
        <x:v>ENS Yayınları</x:v>
      </x:c>
      <x:c r="C139" s="37" t="str">
        <x:v>11. Sınıf</x:v>
      </x:c>
      <x:c r="D139" s="37" t="str">
        <x:v>Matematik</x:v>
      </x:c>
      <x:c r="E139" s="37"/>
      <x:c r="F139" s="37" t="str">
        <x:v>Etkinlik Kitabı</x:v>
      </x:c>
      <x:c r="G139" s="43" t="n">
        <x:v>500</x:v>
      </x:c>
      <x:c r="H139" s="46" t="str">
        <x:f>IF(SUMIFS('İndirimler'!$C$2:$C$110,'İndirimler'!$A$2:$A$110,B139,'İndirimler'!$B$2:$B$110,C139)&gt;0,ROUND(G139*(1-SUMIFS('İndirimler'!$C$2:$C$110,'İndirimler'!$A$2:$A$110,B139,'İndirimler'!$B$2:$B$110,C139)),2),"")</x:f>
      </x:c>
      <x:c r="I139" s="49" t="str">
        <x:f>IF(SUMIFS('İndirimler'!$D$2:$D$110,'İndirimler'!$A$2:$A$110,B139,'İndirimler'!$B$2:$B$110,C139)&gt;0,ROUND(G139*(1-SUMIFS('İndirimler'!$D$2:$D$110,'İndirimler'!$A$2:$A$110,B139,'İndirimler'!$B$2:$B$110,C139)),2),"")</x:f>
      </x:c>
      <x:c r="J139" s="37"/>
    </x:row>
    <x:row r="140" ht="22" customHeight="1">
      <x:c r="A140" s="40" t="str">
        <x:v>9786257134668</x:v>
      </x:c>
      <x:c r="B140" s="37" t="str">
        <x:v>Acil Yayınları</x:v>
      </x:c>
      <x:c r="C140" s="37" t="str">
        <x:v>12. Sınıf</x:v>
      </x:c>
      <x:c r="D140" s="37" t="str">
        <x:v>Matematik</x:v>
      </x:c>
      <x:c r="E140" s="37"/>
      <x:c r="F140" s="37" t="str">
        <x:v>Fasikül Set</x:v>
      </x:c>
      <x:c r="G140" s="43" t="n">
        <x:v>625</x:v>
      </x:c>
      <x:c r="H140" s="46" t="str">
        <x:f>IF(SUMIFS('İndirimler'!$C$2:$C$110,'İndirimler'!$A$2:$A$110,B140,'İndirimler'!$B$2:$B$110,C140)&gt;0,ROUND(G140*(1-SUMIFS('İndirimler'!$C$2:$C$110,'İndirimler'!$A$2:$A$110,B140,'İndirimler'!$B$2:$B$110,C140)),2),"")</x:f>
      </x:c>
      <x:c r="I140" s="49" t="str">
        <x:f>IF(SUMIFS('İndirimler'!$D$2:$D$110,'İndirimler'!$A$2:$A$110,B140,'İndirimler'!$B$2:$B$110,C140)&gt;0,ROUND(G140*(1-SUMIFS('İndirimler'!$D$2:$D$110,'İndirimler'!$A$2:$A$110,B140,'İndirimler'!$B$2:$B$110,C140)),2),"")</x:f>
      </x:c>
      <x:c r="J140" s="37"/>
    </x:row>
    <x:row r="141" ht="22" customHeight="1">
      <x:c r="A141" s="40" t="str">
        <x:v>9786256531642</x:v>
      </x:c>
      <x:c r="B141" s="37" t="str">
        <x:v>Mikro Orijinal Yayınları</x:v>
      </x:c>
      <x:c r="C141" s="37" t="str">
        <x:v>12. Sınıf</x:v>
      </x:c>
      <x:c r="D141" s="37" t="str">
        <x:v>Matematik</x:v>
      </x:c>
      <x:c r="E141" s="37" t="str">
        <x:v>MÖF / Mikro</x:v>
      </x:c>
      <x:c r="F141" s="37" t="str">
        <x:v>Fasikül Set</x:v>
      </x:c>
      <x:c r="G141" s="43" t="n">
        <x:v>719</x:v>
      </x:c>
      <x:c r="H141" s="46" t="str">
        <x:f>IF(SUMIFS('İndirimler'!$C$2:$C$110,'İndirimler'!$A$2:$A$110,B141,'İndirimler'!$B$2:$B$110,C141)&gt;0,ROUND(G141*(1-SUMIFS('İndirimler'!$C$2:$C$110,'İndirimler'!$A$2:$A$110,B141,'İndirimler'!$B$2:$B$110,C141)),2),"")</x:f>
      </x:c>
      <x:c r="I141" s="49" t="str">
        <x:f>IF(SUMIFS('İndirimler'!$D$2:$D$110,'İndirimler'!$A$2:$A$110,B141,'İndirimler'!$B$2:$B$110,C141)&gt;0,ROUND(G141*(1-SUMIFS('İndirimler'!$D$2:$D$110,'İndirimler'!$A$2:$A$110,B141,'İndirimler'!$B$2:$B$110,C141)),2),"")</x:f>
      </x:c>
      <x:c r="J141" s="37"/>
    </x:row>
    <x:row r="142" ht="22" customHeight="1">
      <x:c r="A142" s="40" t="str">
        <x:v>9786256531062</x:v>
      </x:c>
      <x:c r="B142" s="37" t="str">
        <x:v>Orijinal Matematik Yayınları</x:v>
      </x:c>
      <x:c r="C142" s="37" t="str">
        <x:v>12. Sınıf</x:v>
      </x:c>
      <x:c r="D142" s="37" t="str">
        <x:v>Matematik</x:v>
      </x:c>
      <x:c r="E142" s="37" t="str">
        <x:v>ODF-KDT</x:v>
      </x:c>
      <x:c r="F142" s="37" t="str">
        <x:v>Fasikül Set</x:v>
      </x:c>
      <x:c r="G142" s="43" t="n">
        <x:v>779</x:v>
      </x:c>
      <x:c r="H142" s="46" t="str">
        <x:f>IF(SUMIFS('İndirimler'!$C$2:$C$110,'İndirimler'!$A$2:$A$110,B142,'İndirimler'!$B$2:$B$110,C142)&gt;0,ROUND(G142*(1-SUMIFS('İndirimler'!$C$2:$C$110,'İndirimler'!$A$2:$A$110,B142,'İndirimler'!$B$2:$B$110,C142)),2),"")</x:f>
      </x:c>
      <x:c r="I142" s="49" t="str">
        <x:f>IF(SUMIFS('İndirimler'!$D$2:$D$110,'İndirimler'!$A$2:$A$110,B142,'İndirimler'!$B$2:$B$110,C142)&gt;0,ROUND(G142*(1-SUMIFS('İndirimler'!$D$2:$D$110,'İndirimler'!$A$2:$A$110,B142,'İndirimler'!$B$2:$B$110,C142)),2),"")</x:f>
      </x:c>
      <x:c r="J142" s="37"/>
    </x:row>
    <x:row r="143" ht="22" customHeight="1">
      <x:c r="A143" s="40" t="str">
        <x:v>9786057997296</x:v>
      </x:c>
      <x:c r="B143" s="37" t="str">
        <x:v>Yarıçap Yayınları</x:v>
      </x:c>
      <x:c r="C143" s="37" t="str">
        <x:v>12. Sınıf</x:v>
      </x:c>
      <x:c r="D143" s="37" t="str">
        <x:v>Matematik</x:v>
      </x:c>
      <x:c r="E143" s="37"/>
      <x:c r="F143" s="37" t="str">
        <x:v>Fasikül Set</x:v>
      </x:c>
      <x:c r="G143" s="43" t="n">
        <x:v>539</x:v>
      </x:c>
      <x:c r="H143" s="46" t="str">
        <x:f>IF(SUMIFS('İndirimler'!$C$2:$C$110,'İndirimler'!$A$2:$A$110,B143,'İndirimler'!$B$2:$B$110,C143)&gt;0,ROUND(G143*(1-SUMIFS('İndirimler'!$C$2:$C$110,'İndirimler'!$A$2:$A$110,B143,'İndirimler'!$B$2:$B$110,C143)),2),"")</x:f>
      </x:c>
      <x:c r="I143" s="49" t="str">
        <x:f>IF(SUMIFS('İndirimler'!$D$2:$D$110,'İndirimler'!$A$2:$A$110,B143,'İndirimler'!$B$2:$B$110,C143)&gt;0,ROUND(G143*(1-SUMIFS('İndirimler'!$D$2:$D$110,'İndirimler'!$A$2:$A$110,B143,'İndirimler'!$B$2:$B$110,C143)),2),"")</x:f>
      </x:c>
      <x:c r="J143" s="37"/>
    </x:row>
    <x:row r="144" ht="22" customHeight="1">
      <x:c r="A144" s="40" t="str">
        <x:v>9786258139136</x:v>
      </x:c>
      <x:c r="B144" s="37" t="str">
        <x:v>Çap Yayınları</x:v>
      </x:c>
      <x:c r="C144" s="37" t="str">
        <x:v>12. Sınıf</x:v>
      </x:c>
      <x:c r="D144" s="37" t="str">
        <x:v>Matematik</x:v>
      </x:c>
      <x:c r="E144" s="37" t="str">
        <x:v>Anadolu</x:v>
      </x:c>
      <x:c r="F144" s="37" t="str">
        <x:v>Fasikül Set</x:v>
      </x:c>
      <x:c r="G144" s="43" t="n">
        <x:v>779</x:v>
      </x:c>
      <x:c r="H144" s="46" t="str">
        <x:f>IF(SUMIFS('İndirimler'!$C$2:$C$110,'İndirimler'!$A$2:$A$110,B144,'İndirimler'!$B$2:$B$110,C144)&gt;0,ROUND(G144*(1-SUMIFS('İndirimler'!$C$2:$C$110,'İndirimler'!$A$2:$A$110,B144,'İndirimler'!$B$2:$B$110,C144)),2),"")</x:f>
      </x:c>
      <x:c r="I144" s="49" t="str">
        <x:f>IF(SUMIFS('İndirimler'!$D$2:$D$110,'İndirimler'!$A$2:$A$110,B144,'İndirimler'!$B$2:$B$110,C144)&gt;0,ROUND(G144*(1-SUMIFS('İndirimler'!$D$2:$D$110,'İndirimler'!$A$2:$A$110,B144,'İndirimler'!$B$2:$B$110,C144)),2),"")</x:f>
      </x:c>
      <x:c r="J144" s="37"/>
    </x:row>
    <x:row r="145" ht="22" customHeight="1">
      <x:c r="A145" s="40" t="str">
        <x:v>9786258139440</x:v>
      </x:c>
      <x:c r="B145" s="37" t="str">
        <x:v>Çap Yayınları</x:v>
      </x:c>
      <x:c r="C145" s="37" t="str">
        <x:v>12. Sınıf</x:v>
      </x:c>
      <x:c r="D145" s="37" t="str">
        <x:v>Matematik</x:v>
      </x:c>
      <x:c r="E145" s="37" t="str">
        <x:v>Fen Lisesi</x:v>
      </x:c>
      <x:c r="F145" s="37" t="str">
        <x:v>Fasikül Set</x:v>
      </x:c>
      <x:c r="G145" s="43" t="n">
        <x:v>899</x:v>
      </x:c>
      <x:c r="H145" s="46" t="str">
        <x:f>IF(SUMIFS('İndirimler'!$C$2:$C$110,'İndirimler'!$A$2:$A$110,B145,'İndirimler'!$B$2:$B$110,C145)&gt;0,ROUND(G145*(1-SUMIFS('İndirimler'!$C$2:$C$110,'İndirimler'!$A$2:$A$110,B145,'İndirimler'!$B$2:$B$110,C145)),2),"")</x:f>
      </x:c>
      <x:c r="I145" s="49" t="str">
        <x:f>IF(SUMIFS('İndirimler'!$D$2:$D$110,'İndirimler'!$A$2:$A$110,B145,'İndirimler'!$B$2:$B$110,C145)&gt;0,ROUND(G145*(1-SUMIFS('İndirimler'!$D$2:$D$110,'İndirimler'!$A$2:$A$110,B145,'İndirimler'!$B$2:$B$110,C145)),2),"")</x:f>
      </x:c>
      <x:c r="J145" s="37"/>
    </x:row>
    <x:row r="146" ht="22" customHeight="1">
      <x:c r="A146" s="40" t="str">
        <x:v>9786258104318</x:v>
      </x:c>
      <x:c r="B146" s="37" t="str">
        <x:v>Aydın</x:v>
      </x:c>
      <x:c r="C146" s="37" t="str">
        <x:v>12. Sınıf</x:v>
      </x:c>
      <x:c r="D146" s="37" t="str">
        <x:v>Matematik</x:v>
      </x:c>
      <x:c r="E146" s="37" t="str">
        <x:v>Tematik / Ders İşleyiş Modülleri</x:v>
      </x:c>
      <x:c r="F146" s="37" t="str">
        <x:v>Konu Anlatımlı</x:v>
      </x:c>
      <x:c r="G146" s="43" t="n">
        <x:v>550</x:v>
      </x:c>
      <x:c r="H146" s="46" t="str">
        <x:f>IF(SUMIFS('İndirimler'!$C$2:$C$110,'İndirimler'!$A$2:$A$110,B146,'İndirimler'!$B$2:$B$110,C146)&gt;0,ROUND(G146*(1-SUMIFS('İndirimler'!$C$2:$C$110,'İndirimler'!$A$2:$A$110,B146,'İndirimler'!$B$2:$B$110,C146)),2),"")</x:f>
      </x:c>
      <x:c r="I146" s="49" t="str">
        <x:f>IF(SUMIFS('İndirimler'!$D$2:$D$110,'İndirimler'!$A$2:$A$110,B146,'İndirimler'!$B$2:$B$110,C146)&gt;0,ROUND(G146*(1-SUMIFS('İndirimler'!$D$2:$D$110,'İndirimler'!$A$2:$A$110,B146,'İndirimler'!$B$2:$B$110,C146)),2),"")</x:f>
      </x:c>
      <x:c r="J146" s="37"/>
    </x:row>
    <x:row r="147" ht="22" customHeight="1">
      <x:c r="A147" s="40" t="str">
        <x:v>9786256412460</x:v>
      </x:c>
      <x:c r="B147" s="37" t="str">
        <x:v>Miray</x:v>
      </x:c>
      <x:c r="C147" s="37" t="str">
        <x:v>12. Sınıf</x:v>
      </x:c>
      <x:c r="D147" s="37" t="str">
        <x:v>Matematik</x:v>
      </x:c>
      <x:c r="E147" s="37" t="str">
        <x:v>Tematik / Ders Anlatım Fasikülleri</x:v>
      </x:c>
      <x:c r="F147" s="37" t="str">
        <x:v>Konu Anlatımlı</x:v>
      </x:c>
      <x:c r="G147" s="43" t="n">
        <x:v>681</x:v>
      </x:c>
      <x:c r="H147" s="46" t="str">
        <x:f>IF(SUMIFS('İndirimler'!$C$2:$C$110,'İndirimler'!$A$2:$A$110,B147,'İndirimler'!$B$2:$B$110,C147)&gt;0,ROUND(G147*(1-SUMIFS('İndirimler'!$C$2:$C$110,'İndirimler'!$A$2:$A$110,B147,'İndirimler'!$B$2:$B$110,C147)),2),"")</x:f>
      </x:c>
      <x:c r="I147" s="49" t="str">
        <x:f>IF(SUMIFS('İndirimler'!$D$2:$D$110,'İndirimler'!$A$2:$A$110,B147,'İndirimler'!$B$2:$B$110,C147)&gt;0,ROUND(G147*(1-SUMIFS('İndirimler'!$D$2:$D$110,'İndirimler'!$A$2:$A$110,B147,'İndirimler'!$B$2:$B$110,C147)),2),"")</x:f>
      </x:c>
      <x:c r="J147" s="37"/>
    </x:row>
    <x:row r="148" ht="22" customHeight="1">
      <x:c r="A148" s="40" t="str">
        <x:v>9786255708373</x:v>
      </x:c>
      <x:c r="B148" s="37" t="str">
        <x:v>Mikro Orijinal Yayınları</x:v>
      </x:c>
      <x:c r="C148" s="37" t="str">
        <x:v>Maarif TYT</x:v>
      </x:c>
      <x:c r="D148" s="37" t="str">
        <x:v>Matematik</x:v>
      </x:c>
      <x:c r="E148" s="37" t="str">
        <x:v>MÖF / Mikro</x:v>
      </x:c>
      <x:c r="F148" s="37" t="str">
        <x:v>Fasikül Set</x:v>
      </x:c>
      <x:c r="G148" s="43" t="n">
        <x:v>999</x:v>
      </x:c>
      <x:c r="H148" s="46" t="str">
        <x:f>IF(SUMIFS('İndirimler'!$C$2:$C$110,'İndirimler'!$A$2:$A$110,B148,'İndirimler'!$B$2:$B$110,C148)&gt;0,ROUND(G148*(1-SUMIFS('İndirimler'!$C$2:$C$110,'İndirimler'!$A$2:$A$110,B148,'İndirimler'!$B$2:$B$110,C148)),2),"")</x:f>
      </x:c>
      <x:c r="I148" s="49" t="str">
        <x:f>IF(SUMIFS('İndirimler'!$D$2:$D$110,'İndirimler'!$A$2:$A$110,B148,'İndirimler'!$B$2:$B$110,C148)&gt;0,ROUND(G148*(1-SUMIFS('İndirimler'!$D$2:$D$110,'İndirimler'!$A$2:$A$110,B148,'İndirimler'!$B$2:$B$110,C148)),2),"")</x:f>
      </x:c>
      <x:c r="J148" s="37"/>
    </x:row>
    <x:row r="149" ht="22" customHeight="1">
      <x:c r="A149" s="40" t="str">
        <x:v>ORNEK00000004</x:v>
      </x:c>
      <x:c r="B149" s="37" t="str">
        <x:v>Acil Yayınları</x:v>
      </x:c>
      <x:c r="C149" s="37" t="str">
        <x:v>Maarif TYT</x:v>
      </x:c>
      <x:c r="D149" s="37" t="str">
        <x:v>Matematik</x:v>
      </x:c>
      <x:c r="E149" s="37" t="str">
        <x:v>Matematiğin İlacı</x:v>
      </x:c>
      <x:c r="F149" s="37" t="str">
        <x:v>Soru Bankası</x:v>
      </x:c>
      <x:c r="G149" s="43" t="n">
        <x:v>500</x:v>
      </x:c>
      <x:c r="H149" s="46" t="str">
        <x:f>IF(SUMIFS('İndirimler'!$C$2:$C$110,'İndirimler'!$A$2:$A$110,B149,'İndirimler'!$B$2:$B$110,C149)&gt;0,ROUND(G149*(1-SUMIFS('İndirimler'!$C$2:$C$110,'İndirimler'!$A$2:$A$110,B149,'İndirimler'!$B$2:$B$110,C149)),2),"")</x:f>
      </x:c>
      <x:c r="I149" s="49" t="str">
        <x:f>IF(SUMIFS('İndirimler'!$D$2:$D$110,'İndirimler'!$A$2:$A$110,B149,'İndirimler'!$B$2:$B$110,C149)&gt;0,ROUND(G149*(1-SUMIFS('İndirimler'!$D$2:$D$110,'İndirimler'!$A$2:$A$110,B149,'İndirimler'!$B$2:$B$110,C149)),2),"")</x:f>
      </x:c>
      <x:c r="J149" s="37"/>
    </x:row>
    <x:row r="150" ht="22" customHeight="1">
      <x:c r="A150" s="40" t="str">
        <x:v>9786255811110</x:v>
      </x:c>
      <x:c r="B150" s="37" t="str">
        <x:v>Acil Yayınları</x:v>
      </x:c>
      <x:c r="C150" s="37" t="str">
        <x:v>Maarif TYT</x:v>
      </x:c>
      <x:c r="D150" s="37" t="str">
        <x:v>Matematik</x:v>
      </x:c>
      <x:c r="E150" s="37" t="str">
        <x:v>Sistematik</x:v>
      </x:c>
      <x:c r="F150" s="37" t="str">
        <x:v>Soru Bankası</x:v>
      </x:c>
      <x:c r="G150" s="43" t="n">
        <x:v>619</x:v>
      </x:c>
      <x:c r="H150" s="46" t="str">
        <x:f>IF(SUMIFS('İndirimler'!$C$2:$C$110,'İndirimler'!$A$2:$A$110,B150,'İndirimler'!$B$2:$B$110,C150)&gt;0,ROUND(G150*(1-SUMIFS('İndirimler'!$C$2:$C$110,'İndirimler'!$A$2:$A$110,B150,'İndirimler'!$B$2:$B$110,C150)),2),"")</x:f>
      </x:c>
      <x:c r="I150" s="49" t="str">
        <x:f>IF(SUMIFS('İndirimler'!$D$2:$D$110,'İndirimler'!$A$2:$A$110,B150,'İndirimler'!$B$2:$B$110,C150)&gt;0,ROUND(G150*(1-SUMIFS('İndirimler'!$D$2:$D$110,'İndirimler'!$A$2:$A$110,B150,'İndirimler'!$B$2:$B$110,C150)),2),"")</x:f>
      </x:c>
      <x:c r="J150" s="37"/>
    </x:row>
    <x:row r="151" ht="22" customHeight="1">
      <x:c r="A151" s="40" t="str">
        <x:v>ORNEK00000008</x:v>
      </x:c>
      <x:c r="B151" s="37" t="str">
        <x:v>Aktif Öğrenme Yayınları</x:v>
      </x:c>
      <x:c r="C151" s="37" t="str">
        <x:v>Maarif TYT</x:v>
      </x:c>
      <x:c r="D151" s="37" t="str">
        <x:v>Matematik</x:v>
      </x:c>
      <x:c r="E151" s="37" t="str">
        <x:v>0 Dan Başlayanlara</x:v>
      </x:c>
      <x:c r="F151" s="37" t="str">
        <x:v>Soru Bankası</x:v>
      </x:c>
      <x:c r="G151" s="43" t="n">
        <x:v>500</x:v>
      </x:c>
      <x:c r="H151" s="46" t="str">
        <x:f>IF(SUMIFS('İndirimler'!$C$2:$C$110,'İndirimler'!$A$2:$A$110,B151,'İndirimler'!$B$2:$B$110,C151)&gt;0,ROUND(G151*(1-SUMIFS('İndirimler'!$C$2:$C$110,'İndirimler'!$A$2:$A$110,B151,'İndirimler'!$B$2:$B$110,C151)),2),"")</x:f>
      </x:c>
      <x:c r="I151" s="49" t="str">
        <x:f>IF(SUMIFS('İndirimler'!$D$2:$D$110,'İndirimler'!$A$2:$A$110,B151,'İndirimler'!$B$2:$B$110,C151)&gt;0,ROUND(G151*(1-SUMIFS('İndirimler'!$D$2:$D$110,'İndirimler'!$A$2:$A$110,B151,'İndirimler'!$B$2:$B$110,C151)),2),"")</x:f>
      </x:c>
      <x:c r="J151" s="37"/>
    </x:row>
    <x:row r="152" ht="22" customHeight="1">
      <x:c r="A152" s="40" t="str">
        <x:v>9786258188141</x:v>
      </x:c>
      <x:c r="B152" s="37" t="str">
        <x:v>Aktif Öğrenme Yayınları</x:v>
      </x:c>
      <x:c r="C152" s="37" t="str">
        <x:v>Maarif TYT</x:v>
      </x:c>
      <x:c r="D152" s="37" t="str">
        <x:v>Matematik</x:v>
      </x:c>
      <x:c r="E152" s="37" t="str">
        <x:v>Prime</x:v>
      </x:c>
      <x:c r="F152" s="37" t="str">
        <x:v>Soru Bankası</x:v>
      </x:c>
      <x:c r="G152" s="43" t="n">
        <x:v>469</x:v>
      </x:c>
      <x:c r="H152" s="46" t="str">
        <x:f>IF(SUMIFS('İndirimler'!$C$2:$C$110,'İndirimler'!$A$2:$A$110,B152,'İndirimler'!$B$2:$B$110,C152)&gt;0,ROUND(G152*(1-SUMIFS('İndirimler'!$C$2:$C$110,'İndirimler'!$A$2:$A$110,B152,'İndirimler'!$B$2:$B$110,C152)),2),"")</x:f>
      </x:c>
      <x:c r="I152" s="49" t="str">
        <x:f>IF(SUMIFS('İndirimler'!$D$2:$D$110,'İndirimler'!$A$2:$A$110,B152,'İndirimler'!$B$2:$B$110,C152)&gt;0,ROUND(G152*(1-SUMIFS('İndirimler'!$D$2:$D$110,'İndirimler'!$A$2:$A$110,B152,'İndirimler'!$B$2:$B$110,C152)),2),"")</x:f>
      </x:c>
      <x:c r="J152" s="37"/>
    </x:row>
    <x:row r="153" ht="22" customHeight="1">
      <x:c r="A153" s="40" t="str">
        <x:v>9786256142435</x:v>
      </x:c>
      <x:c r="B153" s="37" t="str">
        <x:v>Aydın</x:v>
      </x:c>
      <x:c r="C153" s="37" t="str">
        <x:v>Maarif TYT</x:v>
      </x:c>
      <x:c r="D153" s="37" t="str">
        <x:v>Matematik</x:v>
      </x:c>
      <x:c r="E153" s="37" t="str">
        <x:v>Tematik</x:v>
      </x:c>
      <x:c r="F153" s="37" t="str">
        <x:v>Soru Bankası</x:v>
      </x:c>
      <x:c r="G153" s="43" t="n">
        <x:v>638</x:v>
      </x:c>
      <x:c r="H153" s="46" t="str">
        <x:f>IF(SUMIFS('İndirimler'!$C$2:$C$110,'İndirimler'!$A$2:$A$110,B153,'İndirimler'!$B$2:$B$110,C153)&gt;0,ROUND(G153*(1-SUMIFS('İndirimler'!$C$2:$C$110,'İndirimler'!$A$2:$A$110,B153,'İndirimler'!$B$2:$B$110,C153)),2),"")</x:f>
      </x:c>
      <x:c r="I153" s="49" t="str">
        <x:f>IF(SUMIFS('İndirimler'!$D$2:$D$110,'İndirimler'!$A$2:$A$110,B153,'İndirimler'!$B$2:$B$110,C153)&gt;0,ROUND(G153*(1-SUMIFS('İndirimler'!$D$2:$D$110,'İndirimler'!$A$2:$A$110,B153,'İndirimler'!$B$2:$B$110,C153)),2),"")</x:f>
      </x:c>
      <x:c r="J153" s="37"/>
    </x:row>
    <x:row r="154" ht="22" customHeight="1">
      <x:c r="A154" s="40" t="str">
        <x:v>9786256712591</x:v>
      </x:c>
      <x:c r="B154" s="37" t="str">
        <x:v>Bilgi Sarmal Yayınları</x:v>
      </x:c>
      <x:c r="C154" s="37" t="str">
        <x:v>Maarif TYT</x:v>
      </x:c>
      <x:c r="D154" s="37" t="str">
        <x:v>Matematik</x:v>
      </x:c>
      <x:c r="E154" s="37"/>
      <x:c r="F154" s="37" t="str">
        <x:v>Soru Bankası</x:v>
      </x:c>
      <x:c r="G154" s="43" t="n">
        <x:v>549</x:v>
      </x:c>
      <x:c r="H154" s="46" t="str">
        <x:f>IF(SUMIFS('İndirimler'!$C$2:$C$110,'İndirimler'!$A$2:$A$110,B154,'İndirimler'!$B$2:$B$110,C154)&gt;0,ROUND(G154*(1-SUMIFS('İndirimler'!$C$2:$C$110,'İndirimler'!$A$2:$A$110,B154,'İndirimler'!$B$2:$B$110,C154)),2),"")</x:f>
      </x:c>
      <x:c r="I154" s="49" t="str">
        <x:f>IF(SUMIFS('İndirimler'!$D$2:$D$110,'İndirimler'!$A$2:$A$110,B154,'İndirimler'!$B$2:$B$110,C154)&gt;0,ROUND(G154*(1-SUMIFS('İndirimler'!$D$2:$D$110,'İndirimler'!$A$2:$A$110,B154,'İndirimler'!$B$2:$B$110,C154)),2),"")</x:f>
      </x:c>
      <x:c r="J154" s="37"/>
    </x:row>
    <x:row r="155" ht="22" customHeight="1">
      <x:c r="A155" s="40" t="str">
        <x:v>ORNEK00000089</x:v>
      </x:c>
      <x:c r="B155" s="37" t="str">
        <x:v>Full Matematik Yayınları</x:v>
      </x:c>
      <x:c r="C155" s="37" t="str">
        <x:v>Maarif TYT</x:v>
      </x:c>
      <x:c r="D155" s="37" t="str">
        <x:v>Matematik</x:v>
      </x:c>
      <x:c r="E155" s="37" t="str">
        <x:v>Nicelik Değişimler</x:v>
      </x:c>
      <x:c r="F155" s="37" t="str">
        <x:v>Soru Bankası</x:v>
      </x:c>
      <x:c r="G155" s="43" t="n">
        <x:v>319</x:v>
      </x:c>
      <x:c r="H155" s="46" t="str">
        <x:f>IF(SUMIFS('İndirimler'!$C$2:$C$110,'İndirimler'!$A$2:$A$110,B155,'İndirimler'!$B$2:$B$110,C155)&gt;0,ROUND(G155*(1-SUMIFS('İndirimler'!$C$2:$C$110,'İndirimler'!$A$2:$A$110,B155,'İndirimler'!$B$2:$B$110,C155)),2),"")</x:f>
      </x:c>
      <x:c r="I155" s="49" t="str">
        <x:f>IF(SUMIFS('İndirimler'!$D$2:$D$110,'İndirimler'!$A$2:$A$110,B155,'İndirimler'!$B$2:$B$110,C155)&gt;0,ROUND(G155*(1-SUMIFS('İndirimler'!$D$2:$D$110,'İndirimler'!$A$2:$A$110,B155,'İndirimler'!$B$2:$B$110,C155)),2),"")</x:f>
      </x:c>
      <x:c r="J155" s="37"/>
    </x:row>
    <x:row r="156" ht="22" customHeight="1">
      <x:c r="A156" s="40" t="str">
        <x:v>ORNEK00000091</x:v>
      </x:c>
      <x:c r="B156" s="37" t="str">
        <x:v>Full Matematik Yayınları</x:v>
      </x:c>
      <x:c r="C156" s="37" t="str">
        <x:v>Maarif TYT</x:v>
      </x:c>
      <x:c r="D156" s="37" t="str">
        <x:v>Matematik</x:v>
      </x:c>
      <x:c r="E156" s="37" t="str">
        <x:v>Sayılar</x:v>
      </x:c>
      <x:c r="F156" s="37" t="str">
        <x:v>Soru Bankası</x:v>
      </x:c>
      <x:c r="G156" s="43" t="n">
        <x:v>295</x:v>
      </x:c>
      <x:c r="H156" s="46" t="str">
        <x:f>IF(SUMIFS('İndirimler'!$C$2:$C$110,'İndirimler'!$A$2:$A$110,B156,'İndirimler'!$B$2:$B$110,C156)&gt;0,ROUND(G156*(1-SUMIFS('İndirimler'!$C$2:$C$110,'İndirimler'!$A$2:$A$110,B156,'İndirimler'!$B$2:$B$110,C156)),2),"")</x:f>
      </x:c>
      <x:c r="I156" s="49" t="str">
        <x:f>IF(SUMIFS('İndirimler'!$D$2:$D$110,'İndirimler'!$A$2:$A$110,B156,'İndirimler'!$B$2:$B$110,C156)&gt;0,ROUND(G156*(1-SUMIFS('İndirimler'!$D$2:$D$110,'İndirimler'!$A$2:$A$110,B156,'İndirimler'!$B$2:$B$110,C156)),2),"")</x:f>
      </x:c>
      <x:c r="J156" s="37"/>
    </x:row>
    <x:row r="157" ht="22" customHeight="1">
      <x:c r="A157" s="40" t="str">
        <x:v>9786052758892</x:v>
      </x:c>
      <x:c r="B157" s="37" t="str">
        <x:v>Limit</x:v>
      </x:c>
      <x:c r="C157" s="37" t="str">
        <x:v>Maarif TYT</x:v>
      </x:c>
      <x:c r="D157" s="37" t="str">
        <x:v>Matematik</x:v>
      </x:c>
      <x:c r="E157" s="37" t="str">
        <x:v>Tematik</x:v>
      </x:c>
      <x:c r="F157" s="37" t="str">
        <x:v>Soru Bankası</x:v>
      </x:c>
      <x:c r="G157" s="43" t="n">
        <x:v>495</x:v>
      </x:c>
      <x:c r="H157" s="46" t="str">
        <x:f>IF(SUMIFS('İndirimler'!$C$2:$C$110,'İndirimler'!$A$2:$A$110,B157,'İndirimler'!$B$2:$B$110,C157)&gt;0,ROUND(G157*(1-SUMIFS('İndirimler'!$C$2:$C$110,'İndirimler'!$A$2:$A$110,B157,'İndirimler'!$B$2:$B$110,C157)),2),"")</x:f>
      </x:c>
      <x:c r="I157" s="49" t="str">
        <x:f>IF(SUMIFS('İndirimler'!$D$2:$D$110,'İndirimler'!$A$2:$A$110,B157,'İndirimler'!$B$2:$B$110,C157)&gt;0,ROUND(G157*(1-SUMIFS('İndirimler'!$D$2:$D$110,'İndirimler'!$A$2:$A$110,B157,'İndirimler'!$B$2:$B$110,C157)),2),"")</x:f>
      </x:c>
      <x:c r="J157" s="37"/>
    </x:row>
    <x:row r="158" ht="22" customHeight="1">
      <x:c r="A158" s="40" t="str">
        <x:v>ORNEK00000261</x:v>
      </x:c>
      <x:c r="B158" s="37" t="str">
        <x:v>Mikro Orijinal Yayınları</x:v>
      </x:c>
      <x:c r="C158" s="37" t="str">
        <x:v>Maarif TYT</x:v>
      </x:c>
      <x:c r="D158" s="37" t="str">
        <x:v>Matematik</x:v>
      </x:c>
      <x:c r="E158" s="37"/>
      <x:c r="F158" s="37" t="str">
        <x:v>Soru Bankası</x:v>
      </x:c>
      <x:c r="G158" s="43" t="n">
        <x:v>500</x:v>
      </x:c>
      <x:c r="H158" s="46" t="str">
        <x:f>IF(SUMIFS('İndirimler'!$C$2:$C$110,'İndirimler'!$A$2:$A$110,B158,'İndirimler'!$B$2:$B$110,C158)&gt;0,ROUND(G158*(1-SUMIFS('İndirimler'!$C$2:$C$110,'İndirimler'!$A$2:$A$110,B158,'İndirimler'!$B$2:$B$110,C158)),2),"")</x:f>
      </x:c>
      <x:c r="I158" s="49" t="str">
        <x:f>IF(SUMIFS('İndirimler'!$D$2:$D$110,'İndirimler'!$A$2:$A$110,B158,'İndirimler'!$B$2:$B$110,C158)&gt;0,ROUND(G158*(1-SUMIFS('İndirimler'!$D$2:$D$110,'İndirimler'!$A$2:$A$110,B158,'İndirimler'!$B$2:$B$110,C158)),2),"")</x:f>
      </x:c>
      <x:c r="J158" s="37"/>
    </x:row>
    <x:row r="159" ht="22" customHeight="1">
      <x:c r="A159" s="40" t="str">
        <x:v>9786255708281</x:v>
      </x:c>
      <x:c r="B159" s="37" t="str">
        <x:v>Mikro Orijinal Yayınları</x:v>
      </x:c>
      <x:c r="C159" s="37" t="str">
        <x:v>Maarif TYT</x:v>
      </x:c>
      <x:c r="D159" s="37" t="str">
        <x:v>Matematik</x:v>
      </x:c>
      <x:c r="E159" s="37" t="str">
        <x:v>Mikro</x:v>
      </x:c>
      <x:c r="F159" s="37" t="str">
        <x:v>Soru Bankası</x:v>
      </x:c>
      <x:c r="G159" s="43" t="n">
        <x:v>599</x:v>
      </x:c>
      <x:c r="H159" s="46" t="str">
        <x:f>IF(SUMIFS('İndirimler'!$C$2:$C$110,'İndirimler'!$A$2:$A$110,B159,'İndirimler'!$B$2:$B$110,C159)&gt;0,ROUND(G159*(1-SUMIFS('İndirimler'!$C$2:$C$110,'İndirimler'!$A$2:$A$110,B159,'İndirimler'!$B$2:$B$110,C159)),2),"")</x:f>
      </x:c>
      <x:c r="I159" s="49" t="str">
        <x:f>IF(SUMIFS('İndirimler'!$D$2:$D$110,'İndirimler'!$A$2:$A$110,B159,'İndirimler'!$B$2:$B$110,C159)&gt;0,ROUND(G159*(1-SUMIFS('İndirimler'!$D$2:$D$110,'İndirimler'!$A$2:$A$110,B159,'İndirimler'!$B$2:$B$110,C159)),2),"")</x:f>
      </x:c>
      <x:c r="J159" s="37"/>
    </x:row>
    <x:row r="160" ht="22" customHeight="1">
      <x:c r="A160" s="40" t="str">
        <x:v>ORNEK00000268</x:v>
      </x:c>
      <x:c r="B160" s="37" t="str">
        <x:v>Mikro Orijinal Yayınları</x:v>
      </x:c>
      <x:c r="C160" s="37" t="str">
        <x:v>Maarif TYT</x:v>
      </x:c>
      <x:c r="D160" s="37" t="str">
        <x:v>Matematik</x:v>
      </x:c>
      <x:c r="E160" s="37" t="str">
        <x:v>Mikro / Sıfır</x:v>
      </x:c>
      <x:c r="F160" s="37" t="str">
        <x:v>Soru Bankası</x:v>
      </x:c>
      <x:c r="G160" s="43" t="n">
        <x:v>500</x:v>
      </x:c>
      <x:c r="H160" s="46" t="str">
        <x:f>IF(SUMIFS('İndirimler'!$C$2:$C$110,'İndirimler'!$A$2:$A$110,B160,'İndirimler'!$B$2:$B$110,C160)&gt;0,ROUND(G160*(1-SUMIFS('İndirimler'!$C$2:$C$110,'İndirimler'!$A$2:$A$110,B160,'İndirimler'!$B$2:$B$110,C160)),2),"")</x:f>
      </x:c>
      <x:c r="I160" s="49" t="str">
        <x:f>IF(SUMIFS('İndirimler'!$D$2:$D$110,'İndirimler'!$A$2:$A$110,B160,'İndirimler'!$B$2:$B$110,C160)&gt;0,ROUND(G160*(1-SUMIFS('İndirimler'!$D$2:$D$110,'İndirimler'!$A$2:$A$110,B160,'İndirimler'!$B$2:$B$110,C160)),2),"")</x:f>
      </x:c>
      <x:c r="J160" s="37"/>
    </x:row>
    <x:row r="161" ht="22" customHeight="1">
      <x:c r="A161" s="40" t="str">
        <x:v>9786256142398</x:v>
      </x:c>
      <x:c r="B161" s="37" t="str">
        <x:v>Miray</x:v>
      </x:c>
      <x:c r="C161" s="37" t="str">
        <x:v>Maarif TYT</x:v>
      </x:c>
      <x:c r="D161" s="37" t="str">
        <x:v>Matematik</x:v>
      </x:c>
      <x:c r="E161" s="37" t="str">
        <x:v>Tematik</x:v>
      </x:c>
      <x:c r="F161" s="37" t="str">
        <x:v>Soru Bankası</x:v>
      </x:c>
      <x:c r="G161" s="43" t="n">
        <x:v>622</x:v>
      </x:c>
      <x:c r="H161" s="46" t="str">
        <x:f>IF(SUMIFS('İndirimler'!$C$2:$C$110,'İndirimler'!$A$2:$A$110,B161,'İndirimler'!$B$2:$B$110,C161)&gt;0,ROUND(G161*(1-SUMIFS('İndirimler'!$C$2:$C$110,'İndirimler'!$A$2:$A$110,B161,'İndirimler'!$B$2:$B$110,C161)),2),"")</x:f>
      </x:c>
      <x:c r="I161" s="49" t="str">
        <x:f>IF(SUMIFS('İndirimler'!$D$2:$D$110,'İndirimler'!$A$2:$A$110,B161,'İndirimler'!$B$2:$B$110,C161)&gt;0,ROUND(G161*(1-SUMIFS('İndirimler'!$D$2:$D$110,'İndirimler'!$A$2:$A$110,B161,'İndirimler'!$B$2:$B$110,C161)),2),"")</x:f>
      </x:c>
      <x:c r="J161" s="37"/>
    </x:row>
    <x:row r="162" ht="22" customHeight="1">
      <x:c r="A162" s="40" t="str">
        <x:v>9786255708304</x:v>
      </x:c>
      <x:c r="B162" s="37" t="str">
        <x:v>Orijinal Matematik Yayınları</x:v>
      </x:c>
      <x:c r="C162" s="37" t="str">
        <x:v>Maarif TYT</x:v>
      </x:c>
      <x:c r="D162" s="37" t="str">
        <x:v>Matematik</x:v>
      </x:c>
      <x:c r="E162" s="37"/>
      <x:c r="F162" s="37" t="str">
        <x:v>Soru Bankası</x:v>
      </x:c>
      <x:c r="G162" s="43" t="n">
        <x:v>599</x:v>
      </x:c>
      <x:c r="H162" s="46" t="str">
        <x:f>IF(SUMIFS('İndirimler'!$C$2:$C$110,'İndirimler'!$A$2:$A$110,B162,'İndirimler'!$B$2:$B$110,C162)&gt;0,ROUND(G162*(1-SUMIFS('İndirimler'!$C$2:$C$110,'İndirimler'!$A$2:$A$110,B162,'İndirimler'!$B$2:$B$110,C162)),2),"")</x:f>
      </x:c>
      <x:c r="I162" s="49" t="str">
        <x:f>IF(SUMIFS('İndirimler'!$D$2:$D$110,'İndirimler'!$A$2:$A$110,B162,'İndirimler'!$B$2:$B$110,C162)&gt;0,ROUND(G162*(1-SUMIFS('İndirimler'!$D$2:$D$110,'İndirimler'!$A$2:$A$110,B162,'İndirimler'!$B$2:$B$110,C162)),2),"")</x:f>
      </x:c>
      <x:c r="J162" s="37"/>
    </x:row>
    <x:row r="163" ht="22" customHeight="1">
      <x:c r="A163" s="40" t="str">
        <x:v>ORNEK00000267</x:v>
      </x:c>
      <x:c r="B163" s="37" t="str">
        <x:v>Orijinal Matematik Yayınları</x:v>
      </x:c>
      <x:c r="C163" s="37" t="str">
        <x:v>Maarif TYT</x:v>
      </x:c>
      <x:c r="D163" s="37" t="str">
        <x:v>Matematik</x:v>
      </x:c>
      <x:c r="E163" s="37"/>
      <x:c r="F163" s="37" t="str">
        <x:v>Soru Bankası</x:v>
      </x:c>
      <x:c r="G163" s="43" t="n">
        <x:v>500</x:v>
      </x:c>
      <x:c r="H163" s="46" t="str">
        <x:f>IF(SUMIFS('İndirimler'!$C$2:$C$110,'İndirimler'!$A$2:$A$110,B163,'İndirimler'!$B$2:$B$110,C163)&gt;0,ROUND(G163*(1-SUMIFS('İndirimler'!$C$2:$C$110,'İndirimler'!$A$2:$A$110,B163,'İndirimler'!$B$2:$B$110,C163)),2),"")</x:f>
      </x:c>
      <x:c r="I163" s="49" t="str">
        <x:f>IF(SUMIFS('İndirimler'!$D$2:$D$110,'İndirimler'!$A$2:$A$110,B163,'İndirimler'!$B$2:$B$110,C163)&gt;0,ROUND(G163*(1-SUMIFS('İndirimler'!$D$2:$D$110,'İndirimler'!$A$2:$A$110,B163,'İndirimler'!$B$2:$B$110,C163)),2),"")</x:f>
      </x:c>
      <x:c r="J163" s="37"/>
    </x:row>
    <x:row r="164" ht="22" customHeight="1">
      <x:c r="A164" s="40" t="str">
        <x:v>9786259266527</x:v>
      </x:c>
      <x:c r="B164" s="37" t="str">
        <x:v>Viral Yayınları</x:v>
      </x:c>
      <x:c r="C164" s="37" t="str">
        <x:v>Maarif TYT</x:v>
      </x:c>
      <x:c r="D164" s="37" t="str">
        <x:v>Matematik</x:v>
      </x:c>
      <x:c r="E164" s="37"/>
      <x:c r="F164" s="37" t="str">
        <x:v>Soru Bankası</x:v>
      </x:c>
      <x:c r="G164" s="43" t="n">
        <x:v>499</x:v>
      </x:c>
      <x:c r="H164" s="46" t="str">
        <x:f>IF(SUMIFS('İndirimler'!$C$2:$C$110,'İndirimler'!$A$2:$A$110,B164,'İndirimler'!$B$2:$B$110,C164)&gt;0,ROUND(G164*(1-SUMIFS('İndirimler'!$C$2:$C$110,'İndirimler'!$A$2:$A$110,B164,'İndirimler'!$B$2:$B$110,C164)),2),"")</x:f>
      </x:c>
      <x:c r="I164" s="49" t="str">
        <x:f>IF(SUMIFS('İndirimler'!$D$2:$D$110,'İndirimler'!$A$2:$A$110,B164,'İndirimler'!$B$2:$B$110,C164)&gt;0,ROUND(G164*(1-SUMIFS('İndirimler'!$D$2:$D$110,'İndirimler'!$A$2:$A$110,B164,'İndirimler'!$B$2:$B$110,C164)),2),"")</x:f>
      </x:c>
      <x:c r="J164" s="37"/>
    </x:row>
    <x:row r="165" ht="22" customHeight="1">
      <x:c r="A165" s="40" t="str">
        <x:v>9786057997500</x:v>
      </x:c>
      <x:c r="B165" s="37" t="str">
        <x:v>Yarıçap Yayınları</x:v>
      </x:c>
      <x:c r="C165" s="37" t="str">
        <x:v>Maarif TYT</x:v>
      </x:c>
      <x:c r="D165" s="37" t="str">
        <x:v>Matematik</x:v>
      </x:c>
      <x:c r="E165" s="37" t="str">
        <x:v>Sayılar</x:v>
      </x:c>
      <x:c r="F165" s="37" t="str">
        <x:v>Soru Bankası</x:v>
      </x:c>
      <x:c r="G165" s="43" t="n">
        <x:v>269</x:v>
      </x:c>
      <x:c r="H165" s="46" t="str">
        <x:f>IF(SUMIFS('İndirimler'!$C$2:$C$110,'İndirimler'!$A$2:$A$110,B165,'İndirimler'!$B$2:$B$110,C165)&gt;0,ROUND(G165*(1-SUMIFS('İndirimler'!$C$2:$C$110,'İndirimler'!$A$2:$A$110,B165,'İndirimler'!$B$2:$B$110,C165)),2),"")</x:f>
      </x:c>
      <x:c r="I165" s="49" t="str">
        <x:f>IF(SUMIFS('İndirimler'!$D$2:$D$110,'İndirimler'!$A$2:$A$110,B165,'İndirimler'!$B$2:$B$110,C165)&gt;0,ROUND(G165*(1-SUMIFS('İndirimler'!$D$2:$D$110,'İndirimler'!$A$2:$A$110,B165,'İndirimler'!$B$2:$B$110,C165)),2),"")</x:f>
      </x:c>
      <x:c r="J165" s="37"/>
    </x:row>
    <x:row r="166" ht="22" customHeight="1">
      <x:c r="A166" s="40" t="str">
        <x:v>9786259012285</x:v>
      </x:c>
      <x:c r="B166" s="37" t="str">
        <x:v>Çap Yayınları</x:v>
      </x:c>
      <x:c r="C166" s="37" t="str">
        <x:v>Maarif TYT</x:v>
      </x:c>
      <x:c r="D166" s="37" t="str">
        <x:v>Matematik</x:v>
      </x:c>
      <x:c r="E166" s="37" t="str">
        <x:v>Tematik</x:v>
      </x:c>
      <x:c r="F166" s="37" t="str">
        <x:v>Soru Bankası</x:v>
      </x:c>
      <x:c r="G166" s="43" t="n">
        <x:v>419</x:v>
      </x:c>
      <x:c r="H166" s="46" t="str">
        <x:f>IF(SUMIFS('İndirimler'!$C$2:$C$110,'İndirimler'!$A$2:$A$110,B166,'İndirimler'!$B$2:$B$110,C166)&gt;0,ROUND(G166*(1-SUMIFS('İndirimler'!$C$2:$C$110,'İndirimler'!$A$2:$A$110,B166,'İndirimler'!$B$2:$B$110,C166)),2),"")</x:f>
      </x:c>
      <x:c r="I166" s="49" t="str">
        <x:f>IF(SUMIFS('İndirimler'!$D$2:$D$110,'İndirimler'!$A$2:$A$110,B166,'İndirimler'!$B$2:$B$110,C166)&gt;0,ROUND(G166*(1-SUMIFS('İndirimler'!$D$2:$D$110,'İndirimler'!$A$2:$A$110,B166,'İndirimler'!$B$2:$B$110,C166)),2),"")</x:f>
      </x:c>
      <x:c r="J166" s="37"/>
    </x:row>
    <x:row r="167" ht="22" customHeight="1">
      <x:c r="A167" s="40" t="str">
        <x:v>9786259195421</x:v>
      </x:c>
      <x:c r="B167" s="37" t="str">
        <x:v>Rehber Matematik Yayınları</x:v>
      </x:c>
      <x:c r="C167" s="37" t="str">
        <x:v>Maarif TYT</x:v>
      </x:c>
      <x:c r="D167" s="37" t="str">
        <x:v>Matematik</x:v>
      </x:c>
      <x:c r="E167" s="37"/>
      <x:c r="F167" s="37" t="str">
        <x:v>Video Ders Kitabı</x:v>
      </x:c>
      <x:c r="G167" s="43" t="n">
        <x:v>499</x:v>
      </x:c>
      <x:c r="H167" s="46" t="str">
        <x:f>IF(SUMIFS('İndirimler'!$C$2:$C$110,'İndirimler'!$A$2:$A$110,B167,'İndirimler'!$B$2:$B$110,C167)&gt;0,ROUND(G167*(1-SUMIFS('İndirimler'!$C$2:$C$110,'İndirimler'!$A$2:$A$110,B167,'İndirimler'!$B$2:$B$110,C167)),2),"")</x:f>
      </x:c>
      <x:c r="I167" s="49" t="str">
        <x:f>IF(SUMIFS('İndirimler'!$D$2:$D$110,'İndirimler'!$A$2:$A$110,B167,'İndirimler'!$B$2:$B$110,C167)&gt;0,ROUND(G167*(1-SUMIFS('İndirimler'!$D$2:$D$110,'İndirimler'!$A$2:$A$110,B167,'İndirimler'!$B$2:$B$110,C167)),2),"")</x:f>
      </x:c>
      <x:c r="J167" s="37"/>
    </x:row>
    <x:row r="168" ht="22" customHeight="1">
      <x:c r="A168" s="40" t="str">
        <x:v>9786255708410</x:v>
      </x:c>
      <x:c r="B168" s="37" t="str">
        <x:v>Mikro Orijinal Yayınları</x:v>
      </x:c>
      <x:c r="C168" s="37" t="str">
        <x:v>Maarif TYT</x:v>
      </x:c>
      <x:c r="D168" s="37" t="str">
        <x:v>Geometri</x:v>
      </x:c>
      <x:c r="E168" s="37" t="str">
        <x:v>MÖF / Mikro</x:v>
      </x:c>
      <x:c r="F168" s="37" t="str">
        <x:v>Fasikül Set</x:v>
      </x:c>
      <x:c r="G168" s="43" t="n">
        <x:v>599</x:v>
      </x:c>
      <x:c r="H168" s="46" t="str">
        <x:f>IF(SUMIFS('İndirimler'!$C$2:$C$110,'İndirimler'!$A$2:$A$110,B168,'İndirimler'!$B$2:$B$110,C168)&gt;0,ROUND(G168*(1-SUMIFS('İndirimler'!$C$2:$C$110,'İndirimler'!$A$2:$A$110,B168,'İndirimler'!$B$2:$B$110,C168)),2),"")</x:f>
      </x:c>
      <x:c r="I168" s="49" t="str">
        <x:f>IF(SUMIFS('İndirimler'!$D$2:$D$110,'İndirimler'!$A$2:$A$110,B168,'İndirimler'!$B$2:$B$110,C168)&gt;0,ROUND(G168*(1-SUMIFS('İndirimler'!$D$2:$D$110,'İndirimler'!$A$2:$A$110,B168,'İndirimler'!$B$2:$B$110,C168)),2),"")</x:f>
      </x:c>
      <x:c r="J168" s="37"/>
    </x:row>
    <x:row r="169" ht="22" customHeight="1">
      <x:c r="A169" s="40" t="str">
        <x:v>9786255811127</x:v>
      </x:c>
      <x:c r="B169" s="37" t="str">
        <x:v>Acil Yayınları</x:v>
      </x:c>
      <x:c r="C169" s="37" t="str">
        <x:v>Maarif TYT</x:v>
      </x:c>
      <x:c r="D169" s="37" t="str">
        <x:v>Geometri</x:v>
      </x:c>
      <x:c r="E169" s="37"/>
      <x:c r="F169" s="37" t="str">
        <x:v>Soru Bankası</x:v>
      </x:c>
      <x:c r="G169" s="43" t="n">
        <x:v>385</x:v>
      </x:c>
      <x:c r="H169" s="46" t="str">
        <x:f>IF(SUMIFS('İndirimler'!$C$2:$C$110,'İndirimler'!$A$2:$A$110,B169,'İndirimler'!$B$2:$B$110,C169)&gt;0,ROUND(G169*(1-SUMIFS('İndirimler'!$C$2:$C$110,'İndirimler'!$A$2:$A$110,B169,'İndirimler'!$B$2:$B$110,C169)),2),"")</x:f>
      </x:c>
      <x:c r="I169" s="49" t="str">
        <x:f>IF(SUMIFS('İndirimler'!$D$2:$D$110,'İndirimler'!$A$2:$A$110,B169,'İndirimler'!$B$2:$B$110,C169)&gt;0,ROUND(G169*(1-SUMIFS('İndirimler'!$D$2:$D$110,'İndirimler'!$A$2:$A$110,B169,'İndirimler'!$B$2:$B$110,C169)),2),"")</x:f>
      </x:c>
      <x:c r="J169" s="37"/>
    </x:row>
    <x:row r="170" ht="22" customHeight="1">
      <x:c r="A170" s="40" t="str">
        <x:v>ORNEK00000005</x:v>
      </x:c>
      <x:c r="B170" s="37" t="str">
        <x:v>Acil Yayınları</x:v>
      </x:c>
      <x:c r="C170" s="37" t="str">
        <x:v>Maarif TYT</x:v>
      </x:c>
      <x:c r="D170" s="37" t="str">
        <x:v>Geometri</x:v>
      </x:c>
      <x:c r="E170" s="37"/>
      <x:c r="F170" s="37" t="str">
        <x:v>Soru Bankası</x:v>
      </x:c>
      <x:c r="G170" s="43" t="n">
        <x:v>500</x:v>
      </x:c>
      <x:c r="H170" s="46" t="str">
        <x:f>IF(SUMIFS('İndirimler'!$C$2:$C$110,'İndirimler'!$A$2:$A$110,B170,'İndirimler'!$B$2:$B$110,C170)&gt;0,ROUND(G170*(1-SUMIFS('İndirimler'!$C$2:$C$110,'İndirimler'!$A$2:$A$110,B170,'İndirimler'!$B$2:$B$110,C170)),2),"")</x:f>
      </x:c>
      <x:c r="I170" s="49" t="str">
        <x:f>IF(SUMIFS('İndirimler'!$D$2:$D$110,'İndirimler'!$A$2:$A$110,B170,'İndirimler'!$B$2:$B$110,C170)&gt;0,ROUND(G170*(1-SUMIFS('İndirimler'!$D$2:$D$110,'İndirimler'!$A$2:$A$110,B170,'İndirimler'!$B$2:$B$110,C170)),2),"")</x:f>
      </x:c>
      <x:c r="J170" s="37"/>
    </x:row>
    <x:row r="171" ht="22" customHeight="1">
      <x:c r="A171" s="40" t="str">
        <x:v>ORNEK00000007</x:v>
      </x:c>
      <x:c r="B171" s="37" t="str">
        <x:v>Acil Yayınları</x:v>
      </x:c>
      <x:c r="C171" s="37" t="str">
        <x:v>Maarif TYT</x:v>
      </x:c>
      <x:c r="D171" s="37" t="str">
        <x:v>Geometri</x:v>
      </x:c>
      <x:c r="E171" s="37"/>
      <x:c r="F171" s="37" t="str">
        <x:v>Soru Bankası</x:v>
      </x:c>
      <x:c r="G171" s="43" t="n">
        <x:v>500</x:v>
      </x:c>
      <x:c r="H171" s="46" t="str">
        <x:f>IF(SUMIFS('İndirimler'!$C$2:$C$110,'İndirimler'!$A$2:$A$110,B171,'İndirimler'!$B$2:$B$110,C171)&gt;0,ROUND(G171*(1-SUMIFS('İndirimler'!$C$2:$C$110,'İndirimler'!$A$2:$A$110,B171,'İndirimler'!$B$2:$B$110,C171)),2),"")</x:f>
      </x:c>
      <x:c r="I171" s="49" t="str">
        <x:f>IF(SUMIFS('İndirimler'!$D$2:$D$110,'İndirimler'!$A$2:$A$110,B171,'İndirimler'!$B$2:$B$110,C171)&gt;0,ROUND(G171*(1-SUMIFS('İndirimler'!$D$2:$D$110,'İndirimler'!$A$2:$A$110,B171,'İndirimler'!$B$2:$B$110,C171)),2),"")</x:f>
      </x:c>
      <x:c r="J171" s="37"/>
    </x:row>
    <x:row r="172" ht="22" customHeight="1">
      <x:c r="A172" s="40" t="str">
        <x:v>9786256712607</x:v>
      </x:c>
      <x:c r="B172" s="37" t="str">
        <x:v>Bilgi Sarmal Yayınları</x:v>
      </x:c>
      <x:c r="C172" s="37" t="str">
        <x:v>Maarif TYT</x:v>
      </x:c>
      <x:c r="D172" s="37" t="str">
        <x:v>Geometri</x:v>
      </x:c>
      <x:c r="E172" s="37"/>
      <x:c r="F172" s="37" t="str">
        <x:v>Soru Bankası</x:v>
      </x:c>
      <x:c r="G172" s="43" t="n">
        <x:v>429</x:v>
      </x:c>
      <x:c r="H172" s="46" t="str">
        <x:f>IF(SUMIFS('İndirimler'!$C$2:$C$110,'İndirimler'!$A$2:$A$110,B172,'İndirimler'!$B$2:$B$110,C172)&gt;0,ROUND(G172*(1-SUMIFS('İndirimler'!$C$2:$C$110,'İndirimler'!$A$2:$A$110,B172,'İndirimler'!$B$2:$B$110,C172)),2),"")</x:f>
      </x:c>
      <x:c r="I172" s="49" t="str">
        <x:f>IF(SUMIFS('İndirimler'!$D$2:$D$110,'İndirimler'!$A$2:$A$110,B172,'İndirimler'!$B$2:$B$110,C172)&gt;0,ROUND(G172*(1-SUMIFS('İndirimler'!$D$2:$D$110,'İndirimler'!$A$2:$A$110,B172,'İndirimler'!$B$2:$B$110,C172)),2),"")</x:f>
      </x:c>
      <x:c r="J172" s="37"/>
    </x:row>
    <x:row r="173" ht="22" customHeight="1">
      <x:c r="A173" s="40" t="str">
        <x:v>ORNEK00000090</x:v>
      </x:c>
      <x:c r="B173" s="37" t="str">
        <x:v>Full Matematik Yayınları</x:v>
      </x:c>
      <x:c r="C173" s="37" t="str">
        <x:v>Maarif TYT</x:v>
      </x:c>
      <x:c r="D173" s="37" t="str">
        <x:v>Geometri</x:v>
      </x:c>
      <x:c r="E173" s="37" t="str">
        <x:v>Üçgenler</x:v>
      </x:c>
      <x:c r="F173" s="37" t="str">
        <x:v>Soru Bankası</x:v>
      </x:c>
      <x:c r="G173" s="43" t="n">
        <x:v>345</x:v>
      </x:c>
      <x:c r="H173" s="46" t="str">
        <x:f>IF(SUMIFS('İndirimler'!$C$2:$C$110,'İndirimler'!$A$2:$A$110,B173,'İndirimler'!$B$2:$B$110,C173)&gt;0,ROUND(G173*(1-SUMIFS('İndirimler'!$C$2:$C$110,'İndirimler'!$A$2:$A$110,B173,'İndirimler'!$B$2:$B$110,C173)),2),"")</x:f>
      </x:c>
      <x:c r="I173" s="49" t="str">
        <x:f>IF(SUMIFS('İndirimler'!$D$2:$D$110,'İndirimler'!$A$2:$A$110,B173,'İndirimler'!$B$2:$B$110,C173)&gt;0,ROUND(G173*(1-SUMIFS('İndirimler'!$D$2:$D$110,'İndirimler'!$A$2:$A$110,B173,'İndirimler'!$B$2:$B$110,C173)),2),"")</x:f>
      </x:c>
      <x:c r="J173" s="37"/>
    </x:row>
    <x:row r="174" ht="22" customHeight="1">
      <x:c r="A174" s="40" t="str">
        <x:v>9786052758908</x:v>
      </x:c>
      <x:c r="B174" s="37" t="str">
        <x:v>Limit</x:v>
      </x:c>
      <x:c r="C174" s="37" t="str">
        <x:v>Maarif TYT</x:v>
      </x:c>
      <x:c r="D174" s="37" t="str">
        <x:v>Geometri</x:v>
      </x:c>
      <x:c r="E174" s="37"/>
      <x:c r="F174" s="37" t="str">
        <x:v>Soru Bankası</x:v>
      </x:c>
      <x:c r="G174" s="43" t="n">
        <x:v>475</x:v>
      </x:c>
      <x:c r="H174" s="46" t="str">
        <x:f>IF(SUMIFS('İndirimler'!$C$2:$C$110,'İndirimler'!$A$2:$A$110,B174,'İndirimler'!$B$2:$B$110,C174)&gt;0,ROUND(G174*(1-SUMIFS('İndirimler'!$C$2:$C$110,'İndirimler'!$A$2:$A$110,B174,'İndirimler'!$B$2:$B$110,C174)),2),"")</x:f>
      </x:c>
      <x:c r="I174" s="49" t="str">
        <x:f>IF(SUMIFS('İndirimler'!$D$2:$D$110,'İndirimler'!$A$2:$A$110,B174,'İndirimler'!$B$2:$B$110,C174)&gt;0,ROUND(G174*(1-SUMIFS('İndirimler'!$D$2:$D$110,'İndirimler'!$A$2:$A$110,B174,'İndirimler'!$B$2:$B$110,C174)),2),"")</x:f>
      </x:c>
      <x:c r="J174" s="37"/>
    </x:row>
    <x:row r="175" ht="22" customHeight="1">
      <x:c r="A175" s="40" t="str">
        <x:v>ORNEK00000259</x:v>
      </x:c>
      <x:c r="B175" s="37" t="str">
        <x:v>Mikro Orijinal Yayınları</x:v>
      </x:c>
      <x:c r="C175" s="37" t="str">
        <x:v>Maarif TYT</x:v>
      </x:c>
      <x:c r="D175" s="37" t="str">
        <x:v>Geometri</x:v>
      </x:c>
      <x:c r="E175" s="37"/>
      <x:c r="F175" s="37" t="str">
        <x:v>Soru Bankası</x:v>
      </x:c>
      <x:c r="G175" s="43" t="n">
        <x:v>500</x:v>
      </x:c>
      <x:c r="H175" s="46" t="str">
        <x:f>IF(SUMIFS('İndirimler'!$C$2:$C$110,'İndirimler'!$A$2:$A$110,B175,'İndirimler'!$B$2:$B$110,C175)&gt;0,ROUND(G175*(1-SUMIFS('İndirimler'!$C$2:$C$110,'İndirimler'!$A$2:$A$110,B175,'İndirimler'!$B$2:$B$110,C175)),2),"")</x:f>
      </x:c>
      <x:c r="I175" s="49" t="str">
        <x:f>IF(SUMIFS('İndirimler'!$D$2:$D$110,'İndirimler'!$A$2:$A$110,B175,'İndirimler'!$B$2:$B$110,C175)&gt;0,ROUND(G175*(1-SUMIFS('İndirimler'!$D$2:$D$110,'İndirimler'!$A$2:$A$110,B175,'İndirimler'!$B$2:$B$110,C175)),2),"")</x:f>
      </x:c>
      <x:c r="J175" s="37"/>
    </x:row>
    <x:row r="176" ht="22" customHeight="1">
      <x:c r="A176" s="40" t="str">
        <x:v>9786255708298</x:v>
      </x:c>
      <x:c r="B176" s="37" t="str">
        <x:v>Mikro Orijinal Yayınları</x:v>
      </x:c>
      <x:c r="C176" s="37" t="str">
        <x:v>Maarif TYT</x:v>
      </x:c>
      <x:c r="D176" s="37" t="str">
        <x:v>Geometri</x:v>
      </x:c>
      <x:c r="E176" s="37" t="str">
        <x:v>Mikro</x:v>
      </x:c>
      <x:c r="F176" s="37" t="str">
        <x:v>Soru Bankası</x:v>
      </x:c>
      <x:c r="G176" s="43" t="n">
        <x:v>559</x:v>
      </x:c>
      <x:c r="H176" s="46" t="str">
        <x:f>IF(SUMIFS('İndirimler'!$C$2:$C$110,'İndirimler'!$A$2:$A$110,B176,'İndirimler'!$B$2:$B$110,C176)&gt;0,ROUND(G176*(1-SUMIFS('İndirimler'!$C$2:$C$110,'İndirimler'!$A$2:$A$110,B176,'İndirimler'!$B$2:$B$110,C176)),2),"")</x:f>
      </x:c>
      <x:c r="I176" s="49" t="str">
        <x:f>IF(SUMIFS('İndirimler'!$D$2:$D$110,'İndirimler'!$A$2:$A$110,B176,'İndirimler'!$B$2:$B$110,C176)&gt;0,ROUND(G176*(1-SUMIFS('İndirimler'!$D$2:$D$110,'İndirimler'!$A$2:$A$110,B176,'İndirimler'!$B$2:$B$110,C176)),2),"")</x:f>
      </x:c>
      <x:c r="J176" s="37"/>
    </x:row>
    <x:row r="177" ht="22" customHeight="1">
      <x:c r="A177" s="40" t="str">
        <x:v>ORNEK00000269</x:v>
      </x:c>
      <x:c r="B177" s="37" t="str">
        <x:v>Mikro Orijinal Yayınları</x:v>
      </x:c>
      <x:c r="C177" s="37" t="str">
        <x:v>Maarif TYT</x:v>
      </x:c>
      <x:c r="D177" s="37" t="str">
        <x:v>Geometri</x:v>
      </x:c>
      <x:c r="E177" s="37" t="str">
        <x:v>Mikro / Sıfır</x:v>
      </x:c>
      <x:c r="F177" s="37" t="str">
        <x:v>Soru Bankası</x:v>
      </x:c>
      <x:c r="G177" s="43" t="n">
        <x:v>500</x:v>
      </x:c>
      <x:c r="H177" s="46" t="str">
        <x:f>IF(SUMIFS('İndirimler'!$C$2:$C$110,'İndirimler'!$A$2:$A$110,B177,'İndirimler'!$B$2:$B$110,C177)&gt;0,ROUND(G177*(1-SUMIFS('İndirimler'!$C$2:$C$110,'İndirimler'!$A$2:$A$110,B177,'İndirimler'!$B$2:$B$110,C177)),2),"")</x:f>
      </x:c>
      <x:c r="I177" s="49" t="str">
        <x:f>IF(SUMIFS('İndirimler'!$D$2:$D$110,'İndirimler'!$A$2:$A$110,B177,'İndirimler'!$B$2:$B$110,C177)&gt;0,ROUND(G177*(1-SUMIFS('İndirimler'!$D$2:$D$110,'İndirimler'!$A$2:$A$110,B177,'İndirimler'!$B$2:$B$110,C177)),2),"")</x:f>
      </x:c>
      <x:c r="J177" s="37"/>
    </x:row>
    <x:row r="178" ht="22" customHeight="1">
      <x:c r="A178" s="40" t="str">
        <x:v>9786256142466</x:v>
      </x:c>
      <x:c r="B178" s="37" t="str">
        <x:v>Miray</x:v>
      </x:c>
      <x:c r="C178" s="37" t="str">
        <x:v>Maarif TYT</x:v>
      </x:c>
      <x:c r="D178" s="37" t="str">
        <x:v>Geometri</x:v>
      </x:c>
      <x:c r="E178" s="37"/>
      <x:c r="F178" s="37" t="str">
        <x:v>Soru Bankası</x:v>
      </x:c>
      <x:c r="G178" s="43" t="n">
        <x:v>706</x:v>
      </x:c>
      <x:c r="H178" s="46" t="str">
        <x:f>IF(SUMIFS('İndirimler'!$C$2:$C$110,'İndirimler'!$A$2:$A$110,B178,'İndirimler'!$B$2:$B$110,C178)&gt;0,ROUND(G178*(1-SUMIFS('İndirimler'!$C$2:$C$110,'İndirimler'!$A$2:$A$110,B178,'İndirimler'!$B$2:$B$110,C178)),2),"")</x:f>
      </x:c>
      <x:c r="I178" s="49" t="str">
        <x:f>IF(SUMIFS('İndirimler'!$D$2:$D$110,'İndirimler'!$A$2:$A$110,B178,'İndirimler'!$B$2:$B$110,C178)&gt;0,ROUND(G178*(1-SUMIFS('İndirimler'!$D$2:$D$110,'İndirimler'!$A$2:$A$110,B178,'İndirimler'!$B$2:$B$110,C178)),2),"")</x:f>
      </x:c>
      <x:c r="J178" s="37"/>
    </x:row>
    <x:row r="179" ht="22" customHeight="1">
      <x:c r="A179" s="40" t="str">
        <x:v>ORNEK00000266</x:v>
      </x:c>
      <x:c r="B179" s="37" t="str">
        <x:v>Orijinal Matematik Yayınları</x:v>
      </x:c>
      <x:c r="C179" s="37" t="str">
        <x:v>Maarif TYT</x:v>
      </x:c>
      <x:c r="D179" s="37" t="str">
        <x:v>Geometri</x:v>
      </x:c>
      <x:c r="E179" s="37"/>
      <x:c r="F179" s="37" t="str">
        <x:v>Soru Bankası</x:v>
      </x:c>
      <x:c r="G179" s="43" t="n">
        <x:v>500</x:v>
      </x:c>
      <x:c r="H179" s="46" t="str">
        <x:f>IF(SUMIFS('İndirimler'!$C$2:$C$110,'İndirimler'!$A$2:$A$110,B179,'İndirimler'!$B$2:$B$110,C179)&gt;0,ROUND(G179*(1-SUMIFS('İndirimler'!$C$2:$C$110,'İndirimler'!$A$2:$A$110,B179,'İndirimler'!$B$2:$B$110,C179)),2),"")</x:f>
      </x:c>
      <x:c r="I179" s="49" t="str">
        <x:f>IF(SUMIFS('İndirimler'!$D$2:$D$110,'İndirimler'!$A$2:$A$110,B179,'İndirimler'!$B$2:$B$110,C179)&gt;0,ROUND(G179*(1-SUMIFS('İndirimler'!$D$2:$D$110,'İndirimler'!$A$2:$A$110,B179,'İndirimler'!$B$2:$B$110,C179)),2),"")</x:f>
      </x:c>
      <x:c r="J179" s="37"/>
    </x:row>
    <x:row r="180" ht="22" customHeight="1">
      <x:c r="A180" s="40" t="str">
        <x:v>9786259794716</x:v>
      </x:c>
      <x:c r="B180" s="37" t="str">
        <x:v>Fizik Pedia Yayınları</x:v>
      </x:c>
      <x:c r="C180" s="37" t="str">
        <x:v>9. Sınıf</x:v>
      </x:c>
      <x:c r="D180" s="37" t="str">
        <x:v>Fizik</x:v>
      </x:c>
      <x:c r="E180" s="37" t="str">
        <x:v>Kavramsal</x:v>
      </x:c>
      <x:c r="F180" s="37" t="str">
        <x:v>Fasikül Set</x:v>
      </x:c>
      <x:c r="G180" s="43" t="n">
        <x:v>565</x:v>
      </x:c>
      <x:c r="H180" s="46" t="str">
        <x:f>IF(SUMIFS('İndirimler'!$C$2:$C$110,'İndirimler'!$A$2:$A$110,B180,'İndirimler'!$B$2:$B$110,C180)&gt;0,ROUND(G180*(1-SUMIFS('İndirimler'!$C$2:$C$110,'İndirimler'!$A$2:$A$110,B180,'İndirimler'!$B$2:$B$110,C180)),2),"")</x:f>
      </x:c>
      <x:c r="I180" s="49" t="str">
        <x:f>IF(SUMIFS('İndirimler'!$D$2:$D$110,'İndirimler'!$A$2:$A$110,B180,'İndirimler'!$B$2:$B$110,C180)&gt;0,ROUND(G180*(1-SUMIFS('İndirimler'!$D$2:$D$110,'İndirimler'!$A$2:$A$110,B180,'İndirimler'!$B$2:$B$110,C180)),2),"")</x:f>
      </x:c>
      <x:c r="J180" s="37"/>
    </x:row>
    <x:row r="181" ht="22" customHeight="1">
      <x:c r="A181" s="40" t="str">
        <x:v>9786256531857</x:v>
      </x:c>
      <x:c r="B181" s="37" t="str">
        <x:v>Mikro Orijinal Yayınları</x:v>
      </x:c>
      <x:c r="C181" s="37" t="str">
        <x:v>9. Sınıf</x:v>
      </x:c>
      <x:c r="D181" s="37" t="str">
        <x:v>Fizik</x:v>
      </x:c>
      <x:c r="E181" s="37" t="str">
        <x:v>MÖF / Mikro</x:v>
      </x:c>
      <x:c r="F181" s="37" t="str">
        <x:v>Fasikül Set</x:v>
      </x:c>
      <x:c r="G181" s="43" t="n">
        <x:v>199</x:v>
      </x:c>
      <x:c r="H181" s="46" t="str">
        <x:f>IF(SUMIFS('İndirimler'!$C$2:$C$110,'İndirimler'!$A$2:$A$110,B181,'İndirimler'!$B$2:$B$110,C181)&gt;0,ROUND(G181*(1-SUMIFS('İndirimler'!$C$2:$C$110,'İndirimler'!$A$2:$A$110,B181,'İndirimler'!$B$2:$B$110,C181)),2),"")</x:f>
      </x:c>
      <x:c r="I181" s="49" t="str">
        <x:f>IF(SUMIFS('İndirimler'!$D$2:$D$110,'İndirimler'!$A$2:$A$110,B181,'İndirimler'!$B$2:$B$110,C181)&gt;0,ROUND(G181*(1-SUMIFS('İndirimler'!$D$2:$D$110,'İndirimler'!$A$2:$A$110,B181,'İndirimler'!$B$2:$B$110,C181)),2),"")</x:f>
      </x:c>
      <x:c r="J181" s="37"/>
    </x:row>
    <x:row r="182" ht="22" customHeight="1">
      <x:c r="A182" s="40" t="str">
        <x:v>9786256531864</x:v>
      </x:c>
      <x:c r="B182" s="37" t="str">
        <x:v>Mikro Orijinal Yayınları</x:v>
      </x:c>
      <x:c r="C182" s="37" t="str">
        <x:v>9. Sınıf</x:v>
      </x:c>
      <x:c r="D182" s="37" t="str">
        <x:v>Fizik</x:v>
      </x:c>
      <x:c r="E182" s="37" t="str">
        <x:v>MÖF / Mikro</x:v>
      </x:c>
      <x:c r="F182" s="37" t="str">
        <x:v>Fasikül Set</x:v>
      </x:c>
      <x:c r="G182" s="43" t="n">
        <x:v>379</x:v>
      </x:c>
      <x:c r="H182" s="46" t="str">
        <x:f>IF(SUMIFS('İndirimler'!$C$2:$C$110,'İndirimler'!$A$2:$A$110,B182,'İndirimler'!$B$2:$B$110,C182)&gt;0,ROUND(G182*(1-SUMIFS('İndirimler'!$C$2:$C$110,'İndirimler'!$A$2:$A$110,B182,'İndirimler'!$B$2:$B$110,C182)),2),"")</x:f>
      </x:c>
      <x:c r="I182" s="49" t="str">
        <x:f>IF(SUMIFS('İndirimler'!$D$2:$D$110,'İndirimler'!$A$2:$A$110,B182,'İndirimler'!$B$2:$B$110,C182)&gt;0,ROUND(G182*(1-SUMIFS('İndirimler'!$D$2:$D$110,'İndirimler'!$A$2:$A$110,B182,'İndirimler'!$B$2:$B$110,C182)),2),"")</x:f>
      </x:c>
      <x:c r="J182" s="37"/>
    </x:row>
    <x:row r="183" ht="22" customHeight="1">
      <x:c r="A183" s="40" t="str">
        <x:v>9786259205700</x:v>
      </x:c>
      <x:c r="B183" s="37" t="str">
        <x:v>Ulti Yayınları</x:v>
      </x:c>
      <x:c r="C183" s="37" t="str">
        <x:v>9. Sınıf</x:v>
      </x:c>
      <x:c r="D183" s="37" t="str">
        <x:v>Fizik</x:v>
      </x:c>
      <x:c r="E183" s="37"/>
      <x:c r="F183" s="37" t="str">
        <x:v>Fasikül Set</x:v>
      </x:c>
      <x:c r="G183" s="43" t="n">
        <x:v>539</x:v>
      </x:c>
      <x:c r="H183" s="46" t="str">
        <x:f>IF(SUMIFS('İndirimler'!$C$2:$C$110,'İndirimler'!$A$2:$A$110,B183,'İndirimler'!$B$2:$B$110,C183)&gt;0,ROUND(G183*(1-SUMIFS('İndirimler'!$C$2:$C$110,'İndirimler'!$A$2:$A$110,B183,'İndirimler'!$B$2:$B$110,C183)),2),"")</x:f>
      </x:c>
      <x:c r="I183" s="49" t="str">
        <x:f>IF(SUMIFS('İndirimler'!$D$2:$D$110,'İndirimler'!$A$2:$A$110,B183,'İndirimler'!$B$2:$B$110,C183)&gt;0,ROUND(G183*(1-SUMIFS('İndirimler'!$D$2:$D$110,'İndirimler'!$A$2:$A$110,B183,'İndirimler'!$B$2:$B$110,C183)),2),"")</x:f>
      </x:c>
      <x:c r="J183" s="37"/>
    </x:row>
    <x:row r="184" ht="22" customHeight="1">
      <x:c r="A184" s="40" t="str">
        <x:v>9786256040250</x:v>
      </x:c>
      <x:c r="B184" s="37" t="str">
        <x:v>Çap Yayınları</x:v>
      </x:c>
      <x:c r="C184" s="37" t="str">
        <x:v>9. Sınıf</x:v>
      </x:c>
      <x:c r="D184" s="37" t="str">
        <x:v>Fizik</x:v>
      </x:c>
      <x:c r="E184" s="37"/>
      <x:c r="F184" s="37" t="str">
        <x:v>Fasikül Set</x:v>
      </x:c>
      <x:c r="G184" s="43" t="n">
        <x:v>685</x:v>
      </x:c>
      <x:c r="H184" s="46" t="str">
        <x:f>IF(SUMIFS('İndirimler'!$C$2:$C$110,'İndirimler'!$A$2:$A$110,B184,'İndirimler'!$B$2:$B$110,C184)&gt;0,ROUND(G184*(1-SUMIFS('İndirimler'!$C$2:$C$110,'İndirimler'!$A$2:$A$110,B184,'İndirimler'!$B$2:$B$110,C184)),2),"")</x:f>
      </x:c>
      <x:c r="I184" s="49" t="str">
        <x:f>IF(SUMIFS('İndirimler'!$D$2:$D$110,'İndirimler'!$A$2:$A$110,B184,'İndirimler'!$B$2:$B$110,C184)&gt;0,ROUND(G184*(1-SUMIFS('İndirimler'!$D$2:$D$110,'İndirimler'!$A$2:$A$110,B184,'İndirimler'!$B$2:$B$110,C184)),2),"")</x:f>
      </x:c>
      <x:c r="J184" s="37"/>
    </x:row>
    <x:row r="185" ht="22" customHeight="1">
      <x:c r="A185" s="40" t="str">
        <x:v>9786256142237</x:v>
      </x:c>
      <x:c r="B185" s="37" t="str">
        <x:v>Aydın</x:v>
      </x:c>
      <x:c r="C185" s="37" t="str">
        <x:v>9. Sınıf</x:v>
      </x:c>
      <x:c r="D185" s="37" t="str">
        <x:v>Fizik</x:v>
      </x:c>
      <x:c r="E185" s="37" t="str">
        <x:v>Ders İşleyiş Modülleri</x:v>
      </x:c>
      <x:c r="F185" s="37" t="str">
        <x:v>Konu Anlatımlı</x:v>
      </x:c>
      <x:c r="G185" s="43" t="n">
        <x:v>478</x:v>
      </x:c>
      <x:c r="H185" s="46" t="str">
        <x:f>IF(SUMIFS('İndirimler'!$C$2:$C$110,'İndirimler'!$A$2:$A$110,B185,'İndirimler'!$B$2:$B$110,C185)&gt;0,ROUND(G185*(1-SUMIFS('İndirimler'!$C$2:$C$110,'İndirimler'!$A$2:$A$110,B185,'İndirimler'!$B$2:$B$110,C185)),2),"")</x:f>
      </x:c>
      <x:c r="I185" s="49" t="str">
        <x:f>IF(SUMIFS('İndirimler'!$D$2:$D$110,'İndirimler'!$A$2:$A$110,B185,'İndirimler'!$B$2:$B$110,C185)&gt;0,ROUND(G185*(1-SUMIFS('İndirimler'!$D$2:$D$110,'İndirimler'!$A$2:$A$110,B185,'İndirimler'!$B$2:$B$110,C185)),2),"")</x:f>
      </x:c>
      <x:c r="J185" s="37"/>
    </x:row>
    <x:row r="186" ht="22" customHeight="1">
      <x:c r="A186" s="40" t="str">
        <x:v>ORNEK00000033</x:v>
      </x:c>
      <x:c r="B186" s="37" t="str">
        <x:v>Bilgi Sarmal Yayınları</x:v>
      </x:c>
      <x:c r="C186" s="37" t="str">
        <x:v>9. Sınıf</x:v>
      </x:c>
      <x:c r="D186" s="37" t="str">
        <x:v>Fizik</x:v>
      </x:c>
      <x:c r="E186" s="37" t="str">
        <x:v>Tema</x:v>
      </x:c>
      <x:c r="F186" s="37" t="str">
        <x:v>Konu Anlatımlı</x:v>
      </x:c>
      <x:c r="G186" s="43" t="n">
        <x:v>500</x:v>
      </x:c>
      <x:c r="H186" s="46" t="str">
        <x:f>IF(SUMIFS('İndirimler'!$C$2:$C$110,'İndirimler'!$A$2:$A$110,B186,'İndirimler'!$B$2:$B$110,C186)&gt;0,ROUND(G186*(1-SUMIFS('İndirimler'!$C$2:$C$110,'İndirimler'!$A$2:$A$110,B186,'İndirimler'!$B$2:$B$110,C186)),2),"")</x:f>
      </x:c>
      <x:c r="I186" s="49" t="str">
        <x:f>IF(SUMIFS('İndirimler'!$D$2:$D$110,'İndirimler'!$A$2:$A$110,B186,'İndirimler'!$B$2:$B$110,C186)&gt;0,ROUND(G186*(1-SUMIFS('İndirimler'!$D$2:$D$110,'İndirimler'!$A$2:$A$110,B186,'İndirimler'!$B$2:$B$110,C186)),2),"")</x:f>
      </x:c>
      <x:c r="J186" s="37"/>
    </x:row>
    <x:row r="187" ht="22" customHeight="1">
      <x:c r="A187" s="40" t="str">
        <x:v>9786256630437</x:v>
      </x:c>
      <x:c r="B187" s="37" t="str">
        <x:v>Eğitim Vadisi</x:v>
      </x:c>
      <x:c r="C187" s="37" t="str">
        <x:v>9. Sınıf</x:v>
      </x:c>
      <x:c r="D187" s="37" t="str">
        <x:v>Fizik</x:v>
      </x:c>
      <x:c r="E187" s="37" t="str">
        <x:v>TAK Tam Anlatım Kitabı</x:v>
      </x:c>
      <x:c r="F187" s="37" t="str">
        <x:v>Konu Anlatımlı</x:v>
      </x:c>
      <x:c r="G187" s="43" t="n">
        <x:v>274</x:v>
      </x:c>
      <x:c r="H187" s="46" t="str">
        <x:f>IF(SUMIFS('İndirimler'!$C$2:$C$110,'İndirimler'!$A$2:$A$110,B187,'İndirimler'!$B$2:$B$110,C187)&gt;0,ROUND(G187*(1-SUMIFS('İndirimler'!$C$2:$C$110,'İndirimler'!$A$2:$A$110,B187,'İndirimler'!$B$2:$B$110,C187)),2),"")</x:f>
      </x:c>
      <x:c r="I187" s="49" t="str">
        <x:f>IF(SUMIFS('İndirimler'!$D$2:$D$110,'İndirimler'!$A$2:$A$110,B187,'İndirimler'!$B$2:$B$110,C187)&gt;0,ROUND(G187*(1-SUMIFS('İndirimler'!$D$2:$D$110,'İndirimler'!$A$2:$A$110,B187,'İndirimler'!$B$2:$B$110,C187)),2),"")</x:f>
      </x:c>
      <x:c r="J187" s="37" t="str">
        <x:v>https://app.karakok.net/spShowFlip/1547</x:v>
      </x:c>
    </x:row>
    <x:row r="188" ht="22" customHeight="1">
      <x:c r="A188" s="40" t="str">
        <x:v>9786052756676</x:v>
      </x:c>
      <x:c r="B188" s="37" t="str">
        <x:v>Limit</x:v>
      </x:c>
      <x:c r="C188" s="37" t="str">
        <x:v>9. Sınıf</x:v>
      </x:c>
      <x:c r="D188" s="37" t="str">
        <x:v>Fizik</x:v>
      </x:c>
      <x:c r="E188" s="37"/>
      <x:c r="F188" s="37" t="str">
        <x:v>Konu Anlatımlı</x:v>
      </x:c>
      <x:c r="G188" s="43" t="n">
        <x:v>576</x:v>
      </x:c>
      <x:c r="H188" s="46" t="str">
        <x:f>IF(SUMIFS('İndirimler'!$C$2:$C$110,'İndirimler'!$A$2:$A$110,B188,'İndirimler'!$B$2:$B$110,C188)&gt;0,ROUND(G188*(1-SUMIFS('İndirimler'!$C$2:$C$110,'İndirimler'!$A$2:$A$110,B188,'İndirimler'!$B$2:$B$110,C188)),2),"")</x:f>
      </x:c>
      <x:c r="I188" s="49" t="str">
        <x:f>IF(SUMIFS('İndirimler'!$D$2:$D$110,'İndirimler'!$A$2:$A$110,B188,'İndirimler'!$B$2:$B$110,C188)&gt;0,ROUND(G188*(1-SUMIFS('İndirimler'!$D$2:$D$110,'İndirimler'!$A$2:$A$110,B188,'İndirimler'!$B$2:$B$110,C188)),2),"")</x:f>
      </x:c>
      <x:c r="J188" s="37"/>
    </x:row>
    <x:row r="189" ht="22" customHeight="1">
      <x:c r="A189" s="40" t="str">
        <x:v>9786256412767</x:v>
      </x:c>
      <x:c r="B189" s="37" t="str">
        <x:v>Miray</x:v>
      </x:c>
      <x:c r="C189" s="37" t="str">
        <x:v>9. Sınıf</x:v>
      </x:c>
      <x:c r="D189" s="37" t="str">
        <x:v>Fizik</x:v>
      </x:c>
      <x:c r="E189" s="37" t="str">
        <x:v>Ders Anlatım Fasikülleri</x:v>
      </x:c>
      <x:c r="F189" s="37" t="str">
        <x:v>Konu Anlatımlı</x:v>
      </x:c>
      <x:c r="G189" s="43" t="n">
        <x:v>660</x:v>
      </x:c>
      <x:c r="H189" s="46" t="str">
        <x:f>IF(SUMIFS('İndirimler'!$C$2:$C$110,'İndirimler'!$A$2:$A$110,B189,'İndirimler'!$B$2:$B$110,C189)&gt;0,ROUND(G189*(1-SUMIFS('İndirimler'!$C$2:$C$110,'İndirimler'!$A$2:$A$110,B189,'İndirimler'!$B$2:$B$110,C189)),2),"")</x:f>
      </x:c>
      <x:c r="I189" s="49" t="str">
        <x:f>IF(SUMIFS('İndirimler'!$D$2:$D$110,'İndirimler'!$A$2:$A$110,B189,'İndirimler'!$B$2:$B$110,C189)&gt;0,ROUND(G189*(1-SUMIFS('İndirimler'!$D$2:$D$110,'İndirimler'!$A$2:$A$110,B189,'İndirimler'!$B$2:$B$110,C189)),2),"")</x:f>
      </x:c>
      <x:c r="J189" s="37"/>
    </x:row>
    <x:row r="190" ht="22" customHeight="1">
      <x:c r="A190" s="40" t="str">
        <x:v>9786259626802</x:v>
      </x:c>
      <x:c r="B190" s="37" t="str">
        <x:v>Profizik</x:v>
      </x:c>
      <x:c r="C190" s="37" t="str">
        <x:v>9. Sınıf</x:v>
      </x:c>
      <x:c r="D190" s="37" t="str">
        <x:v>Fizik</x:v>
      </x:c>
      <x:c r="E190" s="37"/>
      <x:c r="F190" s="37" t="str">
        <x:v>Konu Anlatımlı</x:v>
      </x:c>
      <x:c r="G190" s="43" t="n">
        <x:v>525</x:v>
      </x:c>
      <x:c r="H190" s="46" t="str">
        <x:f>IF(SUMIFS('İndirimler'!$C$2:$C$110,'İndirimler'!$A$2:$A$110,B190,'İndirimler'!$B$2:$B$110,C190)&gt;0,ROUND(G190*(1-SUMIFS('İndirimler'!$C$2:$C$110,'İndirimler'!$A$2:$A$110,B190,'İndirimler'!$B$2:$B$110,C190)),2),"")</x:f>
      </x:c>
      <x:c r="I190" s="49" t="str">
        <x:f>IF(SUMIFS('İndirimler'!$D$2:$D$110,'İndirimler'!$A$2:$A$110,B190,'İndirimler'!$B$2:$B$110,C190)&gt;0,ROUND(G190*(1-SUMIFS('İndirimler'!$D$2:$D$110,'İndirimler'!$A$2:$A$110,B190,'İndirimler'!$B$2:$B$110,C190)),2),"")</x:f>
      </x:c>
      <x:c r="J190" s="37"/>
    </x:row>
    <x:row r="191" ht="22" customHeight="1">
      <x:c r="A191" s="40" t="str">
        <x:v>9786256921511</x:v>
      </x:c>
      <x:c r="B191" s="37" t="str">
        <x:v>4K</x:v>
      </x:c>
      <x:c r="C191" s="37" t="str">
        <x:v>9. Sınıf</x:v>
      </x:c>
      <x:c r="D191" s="37" t="str">
        <x:v>Fizik</x:v>
      </x:c>
      <x:c r="E191" s="37"/>
      <x:c r="F191" s="37" t="str">
        <x:v>Soru Bankası</x:v>
      </x:c>
      <x:c r="G191" s="43" t="n">
        <x:v>346</x:v>
      </x:c>
      <x:c r="H191" s="46" t="str">
        <x:f>IF(SUMIFS('İndirimler'!$C$2:$C$110,'İndirimler'!$A$2:$A$110,B191,'İndirimler'!$B$2:$B$110,C191)&gt;0,ROUND(G191*(1-SUMIFS('İndirimler'!$C$2:$C$110,'İndirimler'!$A$2:$A$110,B191,'İndirimler'!$B$2:$B$110,C191)),2),"")</x:f>
      </x:c>
      <x:c r="I191" s="49" t="str">
        <x:f>IF(SUMIFS('İndirimler'!$D$2:$D$110,'İndirimler'!$A$2:$A$110,B191,'İndirimler'!$B$2:$B$110,C191)&gt;0,ROUND(G191*(1-SUMIFS('İndirimler'!$D$2:$D$110,'İndirimler'!$A$2:$A$110,B191,'İndirimler'!$B$2:$B$110,C191)),2),"")</x:f>
      </x:c>
      <x:c r="J191" s="37" t="str">
        <x:v>https://app.karakok.net/spShowFlip/2141</x:v>
      </x:c>
    </x:row>
    <x:row r="192" ht="22" customHeight="1">
      <x:c r="A192" s="40" t="str">
        <x:v>9786256412811</x:v>
      </x:c>
      <x:c r="B192" s="37" t="str">
        <x:v>Aydın</x:v>
      </x:c>
      <x:c r="C192" s="37" t="str">
        <x:v>9. Sınıf</x:v>
      </x:c>
      <x:c r="D192" s="37" t="str">
        <x:v>Fizik</x:v>
      </x:c>
      <x:c r="E192" s="37"/>
      <x:c r="F192" s="37" t="str">
        <x:v>Soru Bankası</x:v>
      </x:c>
      <x:c r="G192" s="43" t="n">
        <x:v>416</x:v>
      </x:c>
      <x:c r="H192" s="46" t="str">
        <x:f>IF(SUMIFS('İndirimler'!$C$2:$C$110,'İndirimler'!$A$2:$A$110,B192,'İndirimler'!$B$2:$B$110,C192)&gt;0,ROUND(G192*(1-SUMIFS('İndirimler'!$C$2:$C$110,'İndirimler'!$A$2:$A$110,B192,'İndirimler'!$B$2:$B$110,C192)),2),"")</x:f>
      </x:c>
      <x:c r="I192" s="49" t="str">
        <x:f>IF(SUMIFS('İndirimler'!$D$2:$D$110,'İndirimler'!$A$2:$A$110,B192,'İndirimler'!$B$2:$B$110,C192)&gt;0,ROUND(G192*(1-SUMIFS('İndirimler'!$D$2:$D$110,'İndirimler'!$A$2:$A$110,B192,'İndirimler'!$B$2:$B$110,C192)),2),"")</x:f>
      </x:c>
      <x:c r="J192" s="37"/>
    </x:row>
    <x:row r="193" ht="22" customHeight="1">
      <x:c r="A193" s="40" t="str">
        <x:v>9786256712164</x:v>
      </x:c>
      <x:c r="B193" s="37" t="str">
        <x:v>Bilgi Sarmal Yayınları</x:v>
      </x:c>
      <x:c r="C193" s="37" t="str">
        <x:v>9. Sınıf</x:v>
      </x:c>
      <x:c r="D193" s="37" t="str">
        <x:v>Fizik</x:v>
      </x:c>
      <x:c r="E193" s="37"/>
      <x:c r="F193" s="37" t="str">
        <x:v>Soru Bankası</x:v>
      </x:c>
      <x:c r="G193" s="43" t="n">
        <x:v>479</x:v>
      </x:c>
      <x:c r="H193" s="46" t="str">
        <x:f>IF(SUMIFS('İndirimler'!$C$2:$C$110,'İndirimler'!$A$2:$A$110,B193,'İndirimler'!$B$2:$B$110,C193)&gt;0,ROUND(G193*(1-SUMIFS('İndirimler'!$C$2:$C$110,'İndirimler'!$A$2:$A$110,B193,'İndirimler'!$B$2:$B$110,C193)),2),"")</x:f>
      </x:c>
      <x:c r="I193" s="49" t="str">
        <x:f>IF(SUMIFS('İndirimler'!$D$2:$D$110,'İndirimler'!$A$2:$A$110,B193,'İndirimler'!$B$2:$B$110,C193)&gt;0,ROUND(G193*(1-SUMIFS('İndirimler'!$D$2:$D$110,'İndirimler'!$A$2:$A$110,B193,'İndirimler'!$B$2:$B$110,C193)),2),"")</x:f>
      </x:c>
      <x:c r="J193" s="37"/>
    </x:row>
    <x:row r="194" ht="22" customHeight="1">
      <x:c r="A194" s="40" t="str">
        <x:v>9786259429755</x:v>
      </x:c>
      <x:c r="B194" s="37" t="str">
        <x:v>Egzersiz Yayınları</x:v>
      </x:c>
      <x:c r="C194" s="37" t="str">
        <x:v>9. Sınıf</x:v>
      </x:c>
      <x:c r="D194" s="37" t="str">
        <x:v>Fizik</x:v>
      </x:c>
      <x:c r="E194" s="37"/>
      <x:c r="F194" s="37" t="str">
        <x:v>Soru Bankası</x:v>
      </x:c>
      <x:c r="G194" s="43" t="n">
        <x:v>429</x:v>
      </x:c>
      <x:c r="H194" s="46" t="str">
        <x:f>IF(SUMIFS('İndirimler'!$C$2:$C$110,'İndirimler'!$A$2:$A$110,B194,'İndirimler'!$B$2:$B$110,C194)&gt;0,ROUND(G194*(1-SUMIFS('İndirimler'!$C$2:$C$110,'İndirimler'!$A$2:$A$110,B194,'İndirimler'!$B$2:$B$110,C194)),2),"")</x:f>
      </x:c>
      <x:c r="I194" s="49" t="str">
        <x:f>IF(SUMIFS('İndirimler'!$D$2:$D$110,'İndirimler'!$A$2:$A$110,B194,'İndirimler'!$B$2:$B$110,C194)&gt;0,ROUND(G194*(1-SUMIFS('İndirimler'!$D$2:$D$110,'İndirimler'!$A$2:$A$110,B194,'İndirimler'!$B$2:$B$110,C194)),2),"")</x:f>
      </x:c>
      <x:c r="J194" s="37"/>
    </x:row>
    <x:row r="195" ht="22" customHeight="1">
      <x:c r="A195" s="40" t="str">
        <x:v>9786256630499</x:v>
      </x:c>
      <x:c r="B195" s="37" t="str">
        <x:v>Eğitim Vadisi</x:v>
      </x:c>
      <x:c r="C195" s="37" t="str">
        <x:v>9. Sınıf</x:v>
      </x:c>
      <x:c r="D195" s="37" t="str">
        <x:v>Fizik</x:v>
      </x:c>
      <x:c r="E195" s="37" t="str">
        <x:v>TİK Tam İzleme Kitabı</x:v>
      </x:c>
      <x:c r="F195" s="37" t="str">
        <x:v>Soru Bankası</x:v>
      </x:c>
      <x:c r="G195" s="43" t="n">
        <x:v>274</x:v>
      </x:c>
      <x:c r="H195" s="46" t="str">
        <x:f>IF(SUMIFS('İndirimler'!$C$2:$C$110,'İndirimler'!$A$2:$A$110,B195,'İndirimler'!$B$2:$B$110,C195)&gt;0,ROUND(G195*(1-SUMIFS('İndirimler'!$C$2:$C$110,'İndirimler'!$A$2:$A$110,B195,'İndirimler'!$B$2:$B$110,C195)),2),"")</x:f>
      </x:c>
      <x:c r="I195" s="49" t="str">
        <x:f>IF(SUMIFS('İndirimler'!$D$2:$D$110,'İndirimler'!$A$2:$A$110,B195,'İndirimler'!$B$2:$B$110,C195)&gt;0,ROUND(G195*(1-SUMIFS('İndirimler'!$D$2:$D$110,'İndirimler'!$A$2:$A$110,B195,'İndirimler'!$B$2:$B$110,C195)),2),"")</x:f>
      </x:c>
      <x:c r="J195" s="37" t="str">
        <x:v>https://app.karakok.net/spShowFlip/1554</x:v>
      </x:c>
    </x:row>
    <x:row r="196" ht="22" customHeight="1">
      <x:c r="A196" s="40" t="str">
        <x:v>9786259695433</x:v>
      </x:c>
      <x:c r="B196" s="37" t="str">
        <x:v>Fizik Pedia Yayınları</x:v>
      </x:c>
      <x:c r="C196" s="37" t="str">
        <x:v>9. Sınıf</x:v>
      </x:c>
      <x:c r="D196" s="37" t="str">
        <x:v>Fizik</x:v>
      </x:c>
      <x:c r="E196" s="37"/>
      <x:c r="F196" s="37" t="str">
        <x:v>Soru Bankası</x:v>
      </x:c>
      <x:c r="G196" s="43" t="n">
        <x:v>385</x:v>
      </x:c>
      <x:c r="H196" s="46" t="str">
        <x:f>IF(SUMIFS('İndirimler'!$C$2:$C$110,'İndirimler'!$A$2:$A$110,B196,'İndirimler'!$B$2:$B$110,C196)&gt;0,ROUND(G196*(1-SUMIFS('İndirimler'!$C$2:$C$110,'İndirimler'!$A$2:$A$110,B196,'İndirimler'!$B$2:$B$110,C196)),2),"")</x:f>
      </x:c>
      <x:c r="I196" s="49" t="str">
        <x:f>IF(SUMIFS('İndirimler'!$D$2:$D$110,'İndirimler'!$A$2:$A$110,B196,'İndirimler'!$B$2:$B$110,C196)&gt;0,ROUND(G196*(1-SUMIFS('İndirimler'!$D$2:$D$110,'İndirimler'!$A$2:$A$110,B196,'İndirimler'!$B$2:$B$110,C196)),2),"")</x:f>
      </x:c>
      <x:c r="J196" s="37"/>
    </x:row>
    <x:row r="197" ht="22" customHeight="1">
      <x:c r="A197" s="40" t="str">
        <x:v>ORNEK00000285</x:v>
      </x:c>
      <x:c r="B197" s="37" t="str">
        <x:v>Fizik Pedia Yayınları</x:v>
      </x:c>
      <x:c r="C197" s="37" t="str">
        <x:v>9. Sınıf</x:v>
      </x:c>
      <x:c r="D197" s="37" t="str">
        <x:v>Fizik</x:v>
      </x:c>
      <x:c r="E197" s="37"/>
      <x:c r="F197" s="37" t="str">
        <x:v>Soru Bankası</x:v>
      </x:c>
      <x:c r="G197" s="43" t="n">
        <x:v>299</x:v>
      </x:c>
      <x:c r="H197" s="46" t="str">
        <x:f>IF(SUMIFS('İndirimler'!$C$2:$C$110,'İndirimler'!$A$2:$A$110,B197,'İndirimler'!$B$2:$B$110,C197)&gt;0,ROUND(G197*(1-SUMIFS('İndirimler'!$C$2:$C$110,'İndirimler'!$A$2:$A$110,B197,'İndirimler'!$B$2:$B$110,C197)),2),"")</x:f>
      </x:c>
      <x:c r="I197" s="49" t="str">
        <x:f>IF(SUMIFS('İndirimler'!$D$2:$D$110,'İndirimler'!$A$2:$A$110,B197,'İndirimler'!$B$2:$B$110,C197)&gt;0,ROUND(G197*(1-SUMIFS('İndirimler'!$D$2:$D$110,'İndirimler'!$A$2:$A$110,B197,'İndirimler'!$B$2:$B$110,C197)),2),"")</x:f>
      </x:c>
      <x:c r="J197" s="37"/>
    </x:row>
    <x:row r="198" ht="22" customHeight="1">
      <x:c r="A198" s="40" t="str">
        <x:v>9786258160444</x:v>
      </x:c>
      <x:c r="B198" s="37" t="str">
        <x:v>Hız ve Renk Yayınları</x:v>
      </x:c>
      <x:c r="C198" s="37" t="str">
        <x:v>9. Sınıf</x:v>
      </x:c>
      <x:c r="D198" s="37" t="str">
        <x:v>Fizik</x:v>
      </x:c>
      <x:c r="E198" s="37" t="str">
        <x:v>HİT</x:v>
      </x:c>
      <x:c r="F198" s="37" t="str">
        <x:v>Soru Bankası</x:v>
      </x:c>
      <x:c r="G198" s="43" t="n">
        <x:v>499</x:v>
      </x:c>
      <x:c r="H198" s="46" t="str">
        <x:f>IF(SUMIFS('İndirimler'!$C$2:$C$110,'İndirimler'!$A$2:$A$110,B198,'İndirimler'!$B$2:$B$110,C198)&gt;0,ROUND(G198*(1-SUMIFS('İndirimler'!$C$2:$C$110,'İndirimler'!$A$2:$A$110,B198,'İndirimler'!$B$2:$B$110,C198)),2),"")</x:f>
      </x:c>
      <x:c r="I198" s="49" t="str">
        <x:f>IF(SUMIFS('İndirimler'!$D$2:$D$110,'İndirimler'!$A$2:$A$110,B198,'İndirimler'!$B$2:$B$110,C198)&gt;0,ROUND(G198*(1-SUMIFS('İndirimler'!$D$2:$D$110,'İndirimler'!$A$2:$A$110,B198,'İndirimler'!$B$2:$B$110,C198)),2),"")</x:f>
      </x:c>
      <x:c r="J198" s="37"/>
    </x:row>
    <x:row r="199" ht="22" customHeight="1">
      <x:c r="A199" s="40" t="str">
        <x:v>9786052756744</x:v>
      </x:c>
      <x:c r="B199" s="37" t="str">
        <x:v>Limit</x:v>
      </x:c>
      <x:c r="C199" s="37" t="str">
        <x:v>9. Sınıf</x:v>
      </x:c>
      <x:c r="D199" s="37" t="str">
        <x:v>Fizik</x:v>
      </x:c>
      <x:c r="E199" s="37"/>
      <x:c r="F199" s="37" t="str">
        <x:v>Soru Bankası</x:v>
      </x:c>
      <x:c r="G199" s="43" t="n">
        <x:v>560</x:v>
      </x:c>
      <x:c r="H199" s="46" t="str">
        <x:f>IF(SUMIFS('İndirimler'!$C$2:$C$110,'İndirimler'!$A$2:$A$110,B199,'İndirimler'!$B$2:$B$110,C199)&gt;0,ROUND(G199*(1-SUMIFS('İndirimler'!$C$2:$C$110,'İndirimler'!$A$2:$A$110,B199,'İndirimler'!$B$2:$B$110,C199)),2),"")</x:f>
      </x:c>
      <x:c r="I199" s="49" t="str">
        <x:f>IF(SUMIFS('İndirimler'!$D$2:$D$110,'İndirimler'!$A$2:$A$110,B199,'İndirimler'!$B$2:$B$110,C199)&gt;0,ROUND(G199*(1-SUMIFS('İndirimler'!$D$2:$D$110,'İndirimler'!$A$2:$A$110,B199,'İndirimler'!$B$2:$B$110,C199)),2),"")</x:f>
      </x:c>
      <x:c r="J199" s="37"/>
    </x:row>
    <x:row r="200" ht="22" customHeight="1">
      <x:c r="A200" s="40" t="str">
        <x:v>9786256412774</x:v>
      </x:c>
      <x:c r="B200" s="37" t="str">
        <x:v>Miray</x:v>
      </x:c>
      <x:c r="C200" s="37" t="str">
        <x:v>9. Sınıf</x:v>
      </x:c>
      <x:c r="D200" s="37" t="str">
        <x:v>Fizik</x:v>
      </x:c>
      <x:c r="E200" s="37" t="str">
        <x:v>Tematik</x:v>
      </x:c>
      <x:c r="F200" s="37" t="str">
        <x:v>Soru Bankası</x:v>
      </x:c>
      <x:c r="G200" s="43" t="n">
        <x:v>546</x:v>
      </x:c>
      <x:c r="H200" s="46" t="str">
        <x:f>IF(SUMIFS('İndirimler'!$C$2:$C$110,'İndirimler'!$A$2:$A$110,B200,'İndirimler'!$B$2:$B$110,C200)&gt;0,ROUND(G200*(1-SUMIFS('İndirimler'!$C$2:$C$110,'İndirimler'!$A$2:$A$110,B200,'İndirimler'!$B$2:$B$110,C200)),2),"")</x:f>
      </x:c>
      <x:c r="I200" s="49" t="str">
        <x:f>IF(SUMIFS('İndirimler'!$D$2:$D$110,'İndirimler'!$A$2:$A$110,B200,'İndirimler'!$B$2:$B$110,C200)&gt;0,ROUND(G200*(1-SUMIFS('İndirimler'!$D$2:$D$110,'İndirimler'!$A$2:$A$110,B200,'İndirimler'!$B$2:$B$110,C200)),2),"")</x:f>
      </x:c>
      <x:c r="J200" s="37"/>
    </x:row>
    <x:row r="201" ht="22" customHeight="1">
      <x:c r="A201" s="40" t="str">
        <x:v>9786256040595</x:v>
      </x:c>
      <x:c r="B201" s="37" t="str">
        <x:v>Çap Yayınları</x:v>
      </x:c>
      <x:c r="C201" s="37" t="str">
        <x:v>9. Sınıf</x:v>
      </x:c>
      <x:c r="D201" s="37" t="str">
        <x:v>Fizik</x:v>
      </x:c>
      <x:c r="E201" s="37" t="str">
        <x:v>Tematik</x:v>
      </x:c>
      <x:c r="F201" s="37" t="str">
        <x:v>Soru Bankası</x:v>
      </x:c>
      <x:c r="G201" s="43" t="n">
        <x:v>409</x:v>
      </x:c>
      <x:c r="H201" s="46" t="str">
        <x:f>IF(SUMIFS('İndirimler'!$C$2:$C$110,'İndirimler'!$A$2:$A$110,B201,'İndirimler'!$B$2:$B$110,C201)&gt;0,ROUND(G201*(1-SUMIFS('İndirimler'!$C$2:$C$110,'İndirimler'!$A$2:$A$110,B201,'İndirimler'!$B$2:$B$110,C201)),2),"")</x:f>
      </x:c>
      <x:c r="I201" s="49" t="str">
        <x:f>IF(SUMIFS('İndirimler'!$D$2:$D$110,'İndirimler'!$A$2:$A$110,B201,'İndirimler'!$B$2:$B$110,C201)&gt;0,ROUND(G201*(1-SUMIFS('İndirimler'!$D$2:$D$110,'İndirimler'!$A$2:$A$110,B201,'İndirimler'!$B$2:$B$110,C201)),2),"")</x:f>
      </x:c>
      <x:c r="J201" s="37"/>
    </x:row>
    <x:row r="202" ht="22" customHeight="1">
      <x:c r="A202" s="40" t="str">
        <x:v>9786258160628</x:v>
      </x:c>
      <x:c r="B202" s="37" t="str">
        <x:v>ENS Yayınları</x:v>
      </x:c>
      <x:c r="C202" s="37" t="str">
        <x:v>9. Sınıf</x:v>
      </x:c>
      <x:c r="D202" s="37" t="str">
        <x:v>Fizik</x:v>
      </x:c>
      <x:c r="E202" s="37"/>
      <x:c r="F202" s="37" t="str">
        <x:v>Etkinlik Kitabı</x:v>
      </x:c>
      <x:c r="G202" s="43" t="n">
        <x:v>455</x:v>
      </x:c>
      <x:c r="H202" s="46" t="str">
        <x:f>IF(SUMIFS('İndirimler'!$C$2:$C$110,'İndirimler'!$A$2:$A$110,B202,'İndirimler'!$B$2:$B$110,C202)&gt;0,ROUND(G202*(1-SUMIFS('İndirimler'!$C$2:$C$110,'İndirimler'!$A$2:$A$110,B202,'İndirimler'!$B$2:$B$110,C202)),2),"")</x:f>
      </x:c>
      <x:c r="I202" s="49" t="str">
        <x:f>IF(SUMIFS('İndirimler'!$D$2:$D$110,'İndirimler'!$A$2:$A$110,B202,'İndirimler'!$B$2:$B$110,C202)&gt;0,ROUND(G202*(1-SUMIFS('İndirimler'!$D$2:$D$110,'İndirimler'!$A$2:$A$110,B202,'İndirimler'!$B$2:$B$110,C202)),2),"")</x:f>
      </x:c>
      <x:c r="J202" s="37"/>
    </x:row>
    <x:row r="203" ht="22" customHeight="1">
      <x:c r="A203" s="40" t="str">
        <x:v>9786259066929</x:v>
      </x:c>
      <x:c r="B203" s="37" t="str">
        <x:v>Fizik Pedia Yayınları</x:v>
      </x:c>
      <x:c r="C203" s="37" t="str">
        <x:v>10. Sınıf</x:v>
      </x:c>
      <x:c r="D203" s="37" t="str">
        <x:v>Fizik</x:v>
      </x:c>
      <x:c r="E203" s="37" t="str">
        <x:v>Kavramsal</x:v>
      </x:c>
      <x:c r="F203" s="37" t="str">
        <x:v>Fasikül Set</x:v>
      </x:c>
      <x:c r="G203" s="43" t="n">
        <x:v>615</x:v>
      </x:c>
      <x:c r="H203" s="46" t="str">
        <x:f>IF(SUMIFS('İndirimler'!$C$2:$C$110,'İndirimler'!$A$2:$A$110,B203,'İndirimler'!$B$2:$B$110,C203)&gt;0,ROUND(G203*(1-SUMIFS('İndirimler'!$C$2:$C$110,'İndirimler'!$A$2:$A$110,B203,'İndirimler'!$B$2:$B$110,C203)),2),"")</x:f>
      </x:c>
      <x:c r="I203" s="49" t="str">
        <x:f>IF(SUMIFS('İndirimler'!$D$2:$D$110,'İndirimler'!$A$2:$A$110,B203,'İndirimler'!$B$2:$B$110,C203)&gt;0,ROUND(G203*(1-SUMIFS('İndirimler'!$D$2:$D$110,'İndirimler'!$A$2:$A$110,B203,'İndirimler'!$B$2:$B$110,C203)),2),"")</x:f>
      </x:c>
      <x:c r="J203" s="37"/>
    </x:row>
    <x:row r="204" ht="22" customHeight="1">
      <x:c r="A204" s="40" t="str">
        <x:v>9786259794778</x:v>
      </x:c>
      <x:c r="B204" s="37" t="str">
        <x:v>Fizik Pedia Yayınları</x:v>
      </x:c>
      <x:c r="C204" s="37" t="str">
        <x:v>10. Sınıf</x:v>
      </x:c>
      <x:c r="D204" s="37" t="str">
        <x:v>Fizik</x:v>
      </x:c>
      <x:c r="E204" s="37" t="str">
        <x:v>Kavramsal</x:v>
      </x:c>
      <x:c r="F204" s="37" t="str">
        <x:v>Fasikül Set</x:v>
      </x:c>
      <x:c r="G204" s="43" t="n">
        <x:v>615</x:v>
      </x:c>
      <x:c r="H204" s="46" t="str">
        <x:f>IF(SUMIFS('İndirimler'!$C$2:$C$110,'İndirimler'!$A$2:$A$110,B204,'İndirimler'!$B$2:$B$110,C204)&gt;0,ROUND(G204*(1-SUMIFS('İndirimler'!$C$2:$C$110,'İndirimler'!$A$2:$A$110,B204,'İndirimler'!$B$2:$B$110,C204)),2),"")</x:f>
      </x:c>
      <x:c r="I204" s="49" t="str">
        <x:f>IF(SUMIFS('İndirimler'!$D$2:$D$110,'İndirimler'!$A$2:$A$110,B204,'İndirimler'!$B$2:$B$110,C204)&gt;0,ROUND(G204*(1-SUMIFS('İndirimler'!$D$2:$D$110,'İndirimler'!$A$2:$A$110,B204,'İndirimler'!$B$2:$B$110,C204)),2),"")</x:f>
      </x:c>
      <x:c r="J204" s="37"/>
    </x:row>
    <x:row r="205" ht="22" customHeight="1">
      <x:c r="A205" s="40" t="str">
        <x:v>9786255708137</x:v>
      </x:c>
      <x:c r="B205" s="37" t="str">
        <x:v>Mikro Orijinal Yayınları</x:v>
      </x:c>
      <x:c r="C205" s="37" t="str">
        <x:v>10. Sınıf</x:v>
      </x:c>
      <x:c r="D205" s="37" t="str">
        <x:v>Fizik</x:v>
      </x:c>
      <x:c r="E205" s="37" t="str">
        <x:v>MÖF / Mikro</x:v>
      </x:c>
      <x:c r="F205" s="37" t="str">
        <x:v>Fasikül Set</x:v>
      </x:c>
      <x:c r="G205" s="43" t="n">
        <x:v>615</x:v>
      </x:c>
      <x:c r="H205" s="46" t="str">
        <x:f>IF(SUMIFS('İndirimler'!$C$2:$C$110,'İndirimler'!$A$2:$A$110,B205,'İndirimler'!$B$2:$B$110,C205)&gt;0,ROUND(G205*(1-SUMIFS('İndirimler'!$C$2:$C$110,'İndirimler'!$A$2:$A$110,B205,'İndirimler'!$B$2:$B$110,C205)),2),"")</x:f>
      </x:c>
      <x:c r="I205" s="49" t="str">
        <x:f>IF(SUMIFS('İndirimler'!$D$2:$D$110,'İndirimler'!$A$2:$A$110,B205,'İndirimler'!$B$2:$B$110,C205)&gt;0,ROUND(G205*(1-SUMIFS('İndirimler'!$D$2:$D$110,'İndirimler'!$A$2:$A$110,B205,'İndirimler'!$B$2:$B$110,C205)),2),"")</x:f>
      </x:c>
      <x:c r="J205" s="37"/>
    </x:row>
    <x:row r="206" ht="22" customHeight="1">
      <x:c r="A206" s="40" t="str">
        <x:v>9786259205779</x:v>
      </x:c>
      <x:c r="B206" s="37" t="str">
        <x:v>Ulti Yayınları</x:v>
      </x:c>
      <x:c r="C206" s="37" t="str">
        <x:v>10. Sınıf</x:v>
      </x:c>
      <x:c r="D206" s="37" t="str">
        <x:v>Fizik</x:v>
      </x:c>
      <x:c r="E206" s="37"/>
      <x:c r="F206" s="37" t="str">
        <x:v>Fasikül Set</x:v>
      </x:c>
      <x:c r="G206" s="43" t="n">
        <x:v>499</x:v>
      </x:c>
      <x:c r="H206" s="46" t="str">
        <x:f>IF(SUMIFS('İndirimler'!$C$2:$C$110,'İndirimler'!$A$2:$A$110,B206,'İndirimler'!$B$2:$B$110,C206)&gt;0,ROUND(G206*(1-SUMIFS('İndirimler'!$C$2:$C$110,'İndirimler'!$A$2:$A$110,B206,'İndirimler'!$B$2:$B$110,C206)),2),"")</x:f>
      </x:c>
      <x:c r="I206" s="49" t="str">
        <x:f>IF(SUMIFS('İndirimler'!$D$2:$D$110,'İndirimler'!$A$2:$A$110,B206,'İndirimler'!$B$2:$B$110,C206)&gt;0,ROUND(G206*(1-SUMIFS('İndirimler'!$D$2:$D$110,'İndirimler'!$A$2:$A$110,B206,'İndirimler'!$B$2:$B$110,C206)),2),"")</x:f>
      </x:c>
      <x:c r="J206" s="37"/>
    </x:row>
    <x:row r="207" ht="22" customHeight="1">
      <x:c r="A207" s="40" t="str">
        <x:v>9786256040960</x:v>
      </x:c>
      <x:c r="B207" s="37" t="str">
        <x:v>Çap Yayınları</x:v>
      </x:c>
      <x:c r="C207" s="37" t="str">
        <x:v>10. Sınıf</x:v>
      </x:c>
      <x:c r="D207" s="37" t="str">
        <x:v>Fizik</x:v>
      </x:c>
      <x:c r="E207" s="37"/>
      <x:c r="F207" s="37" t="str">
        <x:v>Fasikül Set</x:v>
      </x:c>
      <x:c r="G207" s="43" t="n">
        <x:v>825</x:v>
      </x:c>
      <x:c r="H207" s="46" t="str">
        <x:f>IF(SUMIFS('İndirimler'!$C$2:$C$110,'İndirimler'!$A$2:$A$110,B207,'İndirimler'!$B$2:$B$110,C207)&gt;0,ROUND(G207*(1-SUMIFS('İndirimler'!$C$2:$C$110,'İndirimler'!$A$2:$A$110,B207,'İndirimler'!$B$2:$B$110,C207)),2),"")</x:f>
      </x:c>
      <x:c r="I207" s="49" t="str">
        <x:f>IF(SUMIFS('İndirimler'!$D$2:$D$110,'İndirimler'!$A$2:$A$110,B207,'İndirimler'!$B$2:$B$110,C207)&gt;0,ROUND(G207*(1-SUMIFS('İndirimler'!$D$2:$D$110,'İndirimler'!$A$2:$A$110,B207,'İndirimler'!$B$2:$B$110,C207)),2),"")</x:f>
      </x:c>
      <x:c r="J207" s="37"/>
    </x:row>
    <x:row r="208" ht="22" customHeight="1">
      <x:c r="A208" s="40" t="str">
        <x:v>9786256142220</x:v>
      </x:c>
      <x:c r="B208" s="37" t="str">
        <x:v>Aydın</x:v>
      </x:c>
      <x:c r="C208" s="37" t="str">
        <x:v>10. Sınıf</x:v>
      </x:c>
      <x:c r="D208" s="37" t="str">
        <x:v>Fizik</x:v>
      </x:c>
      <x:c r="E208" s="37" t="str">
        <x:v>Ders İşleyiş Modülleri</x:v>
      </x:c>
      <x:c r="F208" s="37" t="str">
        <x:v>Konu Anlatımlı</x:v>
      </x:c>
      <x:c r="G208" s="43" t="n">
        <x:v>570</x:v>
      </x:c>
      <x:c r="H208" s="46" t="str">
        <x:f>IF(SUMIFS('İndirimler'!$C$2:$C$110,'İndirimler'!$A$2:$A$110,B208,'İndirimler'!$B$2:$B$110,C208)&gt;0,ROUND(G208*(1-SUMIFS('İndirimler'!$C$2:$C$110,'İndirimler'!$A$2:$A$110,B208,'İndirimler'!$B$2:$B$110,C208)),2),"")</x:f>
      </x:c>
      <x:c r="I208" s="49" t="str">
        <x:f>IF(SUMIFS('İndirimler'!$D$2:$D$110,'İndirimler'!$A$2:$A$110,B208,'İndirimler'!$B$2:$B$110,C208)&gt;0,ROUND(G208*(1-SUMIFS('İndirimler'!$D$2:$D$110,'İndirimler'!$A$2:$A$110,B208,'İndirimler'!$B$2:$B$110,C208)),2),"")</x:f>
      </x:c>
      <x:c r="J208" s="37"/>
    </x:row>
    <x:row r="209" ht="22" customHeight="1">
      <x:c r="A209" s="40" t="str">
        <x:v>ORNEK00000037</x:v>
      </x:c>
      <x:c r="B209" s="37" t="str">
        <x:v>Bilgi Sarmal Yayınları</x:v>
      </x:c>
      <x:c r="C209" s="37" t="str">
        <x:v>10. Sınıf</x:v>
      </x:c>
      <x:c r="D209" s="37" t="str">
        <x:v>Fizik</x:v>
      </x:c>
      <x:c r="E209" s="37" t="str">
        <x:v>Tema</x:v>
      </x:c>
      <x:c r="F209" s="37" t="str">
        <x:v>Konu Anlatımlı</x:v>
      </x:c>
      <x:c r="G209" s="43" t="n">
        <x:v>500</x:v>
      </x:c>
      <x:c r="H209" s="46" t="str">
        <x:f>IF(SUMIFS('İndirimler'!$C$2:$C$110,'İndirimler'!$A$2:$A$110,B209,'İndirimler'!$B$2:$B$110,C209)&gt;0,ROUND(G209*(1-SUMIFS('İndirimler'!$C$2:$C$110,'İndirimler'!$A$2:$A$110,B209,'İndirimler'!$B$2:$B$110,C209)),2),"")</x:f>
      </x:c>
      <x:c r="I209" s="49" t="str">
        <x:f>IF(SUMIFS('İndirimler'!$D$2:$D$110,'İndirimler'!$A$2:$A$110,B209,'İndirimler'!$B$2:$B$110,C209)&gt;0,ROUND(G209*(1-SUMIFS('İndirimler'!$D$2:$D$110,'İndirimler'!$A$2:$A$110,B209,'İndirimler'!$B$2:$B$110,C209)),2),"")</x:f>
      </x:c>
      <x:c r="J209" s="37"/>
    </x:row>
    <x:row r="210" ht="22" customHeight="1">
      <x:c r="A210" s="40" t="str">
        <x:v>9786256457287</x:v>
      </x:c>
      <x:c r="B210" s="37" t="str">
        <x:v>Eğitim Vadisi</x:v>
      </x:c>
      <x:c r="C210" s="37" t="str">
        <x:v>10. Sınıf</x:v>
      </x:c>
      <x:c r="D210" s="37" t="str">
        <x:v>Fizik</x:v>
      </x:c>
      <x:c r="E210" s="37" t="str">
        <x:v>TAK Tam Anlatım Kitabı</x:v>
      </x:c>
      <x:c r="F210" s="37" t="str">
        <x:v>Konu Anlatımlı</x:v>
      </x:c>
      <x:c r="G210" s="43" t="n">
        <x:v>322</x:v>
      </x:c>
      <x:c r="H210" s="46" t="str">
        <x:f>IF(SUMIFS('İndirimler'!$C$2:$C$110,'İndirimler'!$A$2:$A$110,B210,'İndirimler'!$B$2:$B$110,C210)&gt;0,ROUND(G210*(1-SUMIFS('İndirimler'!$C$2:$C$110,'İndirimler'!$A$2:$A$110,B210,'İndirimler'!$B$2:$B$110,C210)),2),"")</x:f>
      </x:c>
      <x:c r="I210" s="49" t="str">
        <x:f>IF(SUMIFS('İndirimler'!$D$2:$D$110,'İndirimler'!$A$2:$A$110,B210,'İndirimler'!$B$2:$B$110,C210)&gt;0,ROUND(G210*(1-SUMIFS('İndirimler'!$D$2:$D$110,'İndirimler'!$A$2:$A$110,B210,'İndirimler'!$B$2:$B$110,C210)),2),"")</x:f>
      </x:c>
      <x:c r="J210" s="37" t="str">
        <x:v>https://app.karakok.net/spShowFlip/2168</x:v>
      </x:c>
    </x:row>
    <x:row r="211" ht="22" customHeight="1">
      <x:c r="A211" s="40" t="str">
        <x:v>9786052757642</x:v>
      </x:c>
      <x:c r="B211" s="37" t="str">
        <x:v>Limit</x:v>
      </x:c>
      <x:c r="C211" s="37" t="str">
        <x:v>10. Sınıf</x:v>
      </x:c>
      <x:c r="D211" s="37" t="str">
        <x:v>Fizik</x:v>
      </x:c>
      <x:c r="E211" s="37"/>
      <x:c r="F211" s="37" t="str">
        <x:v>Konu Anlatımlı</x:v>
      </x:c>
      <x:c r="G211" s="43" t="n">
        <x:v>608</x:v>
      </x:c>
      <x:c r="H211" s="46" t="str">
        <x:f>IF(SUMIFS('İndirimler'!$C$2:$C$110,'İndirimler'!$A$2:$A$110,B211,'İndirimler'!$B$2:$B$110,C211)&gt;0,ROUND(G211*(1-SUMIFS('İndirimler'!$C$2:$C$110,'İndirimler'!$A$2:$A$110,B211,'İndirimler'!$B$2:$B$110,C211)),2),"")</x:f>
      </x:c>
      <x:c r="I211" s="49" t="str">
        <x:f>IF(SUMIFS('İndirimler'!$D$2:$D$110,'İndirimler'!$A$2:$A$110,B211,'İndirimler'!$B$2:$B$110,C211)&gt;0,ROUND(G211*(1-SUMIFS('İndirimler'!$D$2:$D$110,'İndirimler'!$A$2:$A$110,B211,'İndirimler'!$B$2:$B$110,C211)),2),"")</x:f>
      </x:c>
      <x:c r="J211" s="37"/>
    </x:row>
    <x:row r="212" ht="22" customHeight="1">
      <x:c r="A212" s="40" t="str">
        <x:v>9786256142183</x:v>
      </x:c>
      <x:c r="B212" s="37" t="str">
        <x:v>Miray</x:v>
      </x:c>
      <x:c r="C212" s="37" t="str">
        <x:v>10. Sınıf</x:v>
      </x:c>
      <x:c r="D212" s="37" t="str">
        <x:v>Fizik</x:v>
      </x:c>
      <x:c r="E212" s="37" t="str">
        <x:v>Ders Anlatım Fasikülleri</x:v>
      </x:c>
      <x:c r="F212" s="37" t="str">
        <x:v>Konu Anlatımlı</x:v>
      </x:c>
      <x:c r="G212" s="43" t="n">
        <x:v>540</x:v>
      </x:c>
      <x:c r="H212" s="46" t="str">
        <x:f>IF(SUMIFS('İndirimler'!$C$2:$C$110,'İndirimler'!$A$2:$A$110,B212,'İndirimler'!$B$2:$B$110,C212)&gt;0,ROUND(G212*(1-SUMIFS('İndirimler'!$C$2:$C$110,'İndirimler'!$A$2:$A$110,B212,'İndirimler'!$B$2:$B$110,C212)),2),"")</x:f>
      </x:c>
      <x:c r="I212" s="49" t="str">
        <x:f>IF(SUMIFS('İndirimler'!$D$2:$D$110,'İndirimler'!$A$2:$A$110,B212,'İndirimler'!$B$2:$B$110,C212)&gt;0,ROUND(G212*(1-SUMIFS('İndirimler'!$D$2:$D$110,'İndirimler'!$A$2:$A$110,B212,'İndirimler'!$B$2:$B$110,C212)),2),"")</x:f>
      </x:c>
      <x:c r="J212" s="37"/>
    </x:row>
    <x:row r="213" ht="22" customHeight="1">
      <x:c r="A213" s="40" t="str">
        <x:v>9786259626819</x:v>
      </x:c>
      <x:c r="B213" s="37" t="str">
        <x:v>Profizik</x:v>
      </x:c>
      <x:c r="C213" s="37" t="str">
        <x:v>10. Sınıf</x:v>
      </x:c>
      <x:c r="D213" s="37" t="str">
        <x:v>Fizik</x:v>
      </x:c>
      <x:c r="E213" s="37"/>
      <x:c r="F213" s="37" t="str">
        <x:v>Konu Anlatımlı</x:v>
      </x:c>
      <x:c r="G213" s="43" t="n">
        <x:v>555</x:v>
      </x:c>
      <x:c r="H213" s="46" t="str">
        <x:f>IF(SUMIFS('İndirimler'!$C$2:$C$110,'İndirimler'!$A$2:$A$110,B213,'İndirimler'!$B$2:$B$110,C213)&gt;0,ROUND(G213*(1-SUMIFS('İndirimler'!$C$2:$C$110,'İndirimler'!$A$2:$A$110,B213,'İndirimler'!$B$2:$B$110,C213)),2),"")</x:f>
      </x:c>
      <x:c r="I213" s="49" t="str">
        <x:f>IF(SUMIFS('İndirimler'!$D$2:$D$110,'İndirimler'!$A$2:$A$110,B213,'İndirimler'!$B$2:$B$110,C213)&gt;0,ROUND(G213*(1-SUMIFS('İndirimler'!$D$2:$D$110,'İndirimler'!$A$2:$A$110,B213,'İndirimler'!$B$2:$B$110,C213)),2),"")</x:f>
      </x:c>
      <x:c r="J213" s="37"/>
    </x:row>
    <x:row r="214" ht="22" customHeight="1">
      <x:c r="A214" s="40" t="str">
        <x:v>9786256921696</x:v>
      </x:c>
      <x:c r="B214" s="37" t="str">
        <x:v>4K</x:v>
      </x:c>
      <x:c r="C214" s="37" t="str">
        <x:v>10. Sınıf</x:v>
      </x:c>
      <x:c r="D214" s="37" t="str">
        <x:v>Fizik</x:v>
      </x:c>
      <x:c r="E214" s="37"/>
      <x:c r="F214" s="37" t="str">
        <x:v>Soru Bankası</x:v>
      </x:c>
      <x:c r="G214" s="43" t="n">
        <x:v>434</x:v>
      </x:c>
      <x:c r="H214" s="46" t="str">
        <x:f>IF(SUMIFS('İndirimler'!$C$2:$C$110,'İndirimler'!$A$2:$A$110,B214,'İndirimler'!$B$2:$B$110,C214)&gt;0,ROUND(G214*(1-SUMIFS('İndirimler'!$C$2:$C$110,'İndirimler'!$A$2:$A$110,B214,'İndirimler'!$B$2:$B$110,C214)),2),"")</x:f>
      </x:c>
      <x:c r="I214" s="49" t="str">
        <x:f>IF(SUMIFS('İndirimler'!$D$2:$D$110,'İndirimler'!$A$2:$A$110,B214,'İndirimler'!$B$2:$B$110,C214)&gt;0,ROUND(G214*(1-SUMIFS('İndirimler'!$D$2:$D$110,'İndirimler'!$A$2:$A$110,B214,'İndirimler'!$B$2:$B$110,C214)),2),"")</x:f>
      </x:c>
      <x:c r="J214" s="37" t="str">
        <x:v>https://app.karakok.net/spShowFlip/1919</x:v>
      </x:c>
    </x:row>
    <x:row r="215" ht="22" customHeight="1">
      <x:c r="A215" s="40" t="str">
        <x:v>9786256142213</x:v>
      </x:c>
      <x:c r="B215" s="37" t="str">
        <x:v>Aydın</x:v>
      </x:c>
      <x:c r="C215" s="37" t="str">
        <x:v>10. Sınıf</x:v>
      </x:c>
      <x:c r="D215" s="37" t="str">
        <x:v>Fizik</x:v>
      </x:c>
      <x:c r="E215" s="37"/>
      <x:c r="F215" s="37" t="str">
        <x:v>Soru Bankası</x:v>
      </x:c>
      <x:c r="G215" s="43" t="n">
        <x:v>528</x:v>
      </x:c>
      <x:c r="H215" s="46" t="str">
        <x:f>IF(SUMIFS('İndirimler'!$C$2:$C$110,'İndirimler'!$A$2:$A$110,B215,'İndirimler'!$B$2:$B$110,C215)&gt;0,ROUND(G215*(1-SUMIFS('İndirimler'!$C$2:$C$110,'İndirimler'!$A$2:$A$110,B215,'İndirimler'!$B$2:$B$110,C215)),2),"")</x:f>
      </x:c>
      <x:c r="I215" s="49" t="str">
        <x:f>IF(SUMIFS('İndirimler'!$D$2:$D$110,'İndirimler'!$A$2:$A$110,B215,'İndirimler'!$B$2:$B$110,C215)&gt;0,ROUND(G215*(1-SUMIFS('İndirimler'!$D$2:$D$110,'İndirimler'!$A$2:$A$110,B215,'İndirimler'!$B$2:$B$110,C215)),2),"")</x:f>
      </x:c>
      <x:c r="J215" s="37"/>
    </x:row>
    <x:row r="216" ht="22" customHeight="1">
      <x:c r="A216" s="40" t="str">
        <x:v>9786256712362</x:v>
      </x:c>
      <x:c r="B216" s="37" t="str">
        <x:v>Bilgi Sarmal Yayınları</x:v>
      </x:c>
      <x:c r="C216" s="37" t="str">
        <x:v>10. Sınıf</x:v>
      </x:c>
      <x:c r="D216" s="37" t="str">
        <x:v>Fizik</x:v>
      </x:c>
      <x:c r="E216" s="37"/>
      <x:c r="F216" s="37" t="str">
        <x:v>Soru Bankası</x:v>
      </x:c>
      <x:c r="G216" s="43" t="n">
        <x:v>519</x:v>
      </x:c>
      <x:c r="H216" s="46" t="str">
        <x:f>IF(SUMIFS('İndirimler'!$C$2:$C$110,'İndirimler'!$A$2:$A$110,B216,'İndirimler'!$B$2:$B$110,C216)&gt;0,ROUND(G216*(1-SUMIFS('İndirimler'!$C$2:$C$110,'İndirimler'!$A$2:$A$110,B216,'İndirimler'!$B$2:$B$110,C216)),2),"")</x:f>
      </x:c>
      <x:c r="I216" s="49" t="str">
        <x:f>IF(SUMIFS('İndirimler'!$D$2:$D$110,'İndirimler'!$A$2:$A$110,B216,'İndirimler'!$B$2:$B$110,C216)&gt;0,ROUND(G216*(1-SUMIFS('İndirimler'!$D$2:$D$110,'İndirimler'!$A$2:$A$110,B216,'İndirimler'!$B$2:$B$110,C216)),2),"")</x:f>
      </x:c>
      <x:c r="J216" s="37"/>
    </x:row>
    <x:row r="217" ht="22" customHeight="1">
      <x:c r="A217" s="40" t="str">
        <x:v>9786259429762</x:v>
      </x:c>
      <x:c r="B217" s="37" t="str">
        <x:v>Egzersiz Yayınları</x:v>
      </x:c>
      <x:c r="C217" s="37" t="str">
        <x:v>10. Sınıf</x:v>
      </x:c>
      <x:c r="D217" s="37" t="str">
        <x:v>Fizik</x:v>
      </x:c>
      <x:c r="E217" s="37"/>
      <x:c r="F217" s="37" t="str">
        <x:v>Soru Bankası</x:v>
      </x:c>
      <x:c r="G217" s="43" t="n">
        <x:v>479</x:v>
      </x:c>
      <x:c r="H217" s="46" t="str">
        <x:f>IF(SUMIFS('İndirimler'!$C$2:$C$110,'İndirimler'!$A$2:$A$110,B217,'İndirimler'!$B$2:$B$110,C217)&gt;0,ROUND(G217*(1-SUMIFS('İndirimler'!$C$2:$C$110,'İndirimler'!$A$2:$A$110,B217,'İndirimler'!$B$2:$B$110,C217)),2),"")</x:f>
      </x:c>
      <x:c r="I217" s="49" t="str">
        <x:f>IF(SUMIFS('İndirimler'!$D$2:$D$110,'İndirimler'!$A$2:$A$110,B217,'İndirimler'!$B$2:$B$110,C217)&gt;0,ROUND(G217*(1-SUMIFS('İndirimler'!$D$2:$D$110,'İndirimler'!$A$2:$A$110,B217,'İndirimler'!$B$2:$B$110,C217)),2),"")</x:f>
      </x:c>
      <x:c r="J217" s="37"/>
    </x:row>
    <x:row r="218" ht="22" customHeight="1">
      <x:c r="A218" s="40" t="str">
        <x:v>9786259429786</x:v>
      </x:c>
      <x:c r="B218" s="37" t="str">
        <x:v>Egzersiz Yayınları</x:v>
      </x:c>
      <x:c r="C218" s="37" t="str">
        <x:v>10. Sınıf</x:v>
      </x:c>
      <x:c r="D218" s="37" t="str">
        <x:v>Fizik</x:v>
      </x:c>
      <x:c r="E218" s="37"/>
      <x:c r="F218" s="37" t="str">
        <x:v>Soru Bankası</x:v>
      </x:c>
      <x:c r="G218" s="43" t="n">
        <x:v>479</x:v>
      </x:c>
      <x:c r="H218" s="46" t="str">
        <x:f>IF(SUMIFS('İndirimler'!$C$2:$C$110,'İndirimler'!$A$2:$A$110,B218,'İndirimler'!$B$2:$B$110,C218)&gt;0,ROUND(G218*(1-SUMIFS('İndirimler'!$C$2:$C$110,'İndirimler'!$A$2:$A$110,B218,'İndirimler'!$B$2:$B$110,C218)),2),"")</x:f>
      </x:c>
      <x:c r="I218" s="49" t="str">
        <x:f>IF(SUMIFS('İndirimler'!$D$2:$D$110,'İndirimler'!$A$2:$A$110,B218,'İndirimler'!$B$2:$B$110,C218)&gt;0,ROUND(G218*(1-SUMIFS('İndirimler'!$D$2:$D$110,'İndirimler'!$A$2:$A$110,B218,'İndirimler'!$B$2:$B$110,C218)),2),"")</x:f>
      </x:c>
      <x:c r="J218" s="37"/>
    </x:row>
    <x:row r="219" ht="22" customHeight="1">
      <x:c r="A219" s="40" t="str">
        <x:v>9786256911949</x:v>
      </x:c>
      <x:c r="B219" s="37" t="str">
        <x:v>Eğitim Vadisi</x:v>
      </x:c>
      <x:c r="C219" s="37" t="str">
        <x:v>10. Sınıf</x:v>
      </x:c>
      <x:c r="D219" s="37" t="str">
        <x:v>Fizik</x:v>
      </x:c>
      <x:c r="E219" s="37" t="str">
        <x:v>TİK Tam İzleme Kitabı</x:v>
      </x:c>
      <x:c r="F219" s="37" t="str">
        <x:v>Soru Bankası</x:v>
      </x:c>
      <x:c r="G219" s="43" t="n">
        <x:v>274</x:v>
      </x:c>
      <x:c r="H219" s="46" t="str">
        <x:f>IF(SUMIFS('İndirimler'!$C$2:$C$110,'İndirimler'!$A$2:$A$110,B219,'İndirimler'!$B$2:$B$110,C219)&gt;0,ROUND(G219*(1-SUMIFS('İndirimler'!$C$2:$C$110,'İndirimler'!$A$2:$A$110,B219,'İndirimler'!$B$2:$B$110,C219)),2),"")</x:f>
      </x:c>
      <x:c r="I219" s="49" t="str">
        <x:f>IF(SUMIFS('İndirimler'!$D$2:$D$110,'İndirimler'!$A$2:$A$110,B219,'İndirimler'!$B$2:$B$110,C219)&gt;0,ROUND(G219*(1-SUMIFS('İndirimler'!$D$2:$D$110,'İndirimler'!$A$2:$A$110,B219,'İndirimler'!$B$2:$B$110,C219)),2),"")</x:f>
      </x:c>
      <x:c r="J219" s="37" t="str">
        <x:v>https://app.karakok.net/spShowFlip/2169</x:v>
      </x:c>
    </x:row>
    <x:row r="220" ht="22" customHeight="1">
      <x:c r="A220" s="40" t="str">
        <x:v>9786259695440</x:v>
      </x:c>
      <x:c r="B220" s="37" t="str">
        <x:v>Fizik Pedia Yayınları</x:v>
      </x:c>
      <x:c r="C220" s="37" t="str">
        <x:v>10. Sınıf</x:v>
      </x:c>
      <x:c r="D220" s="37" t="str">
        <x:v>Fizik</x:v>
      </x:c>
      <x:c r="E220" s="37"/>
      <x:c r="F220" s="37" t="str">
        <x:v>Soru Bankası</x:v>
      </x:c>
      <x:c r="G220" s="43" t="n">
        <x:v>359</x:v>
      </x:c>
      <x:c r="H220" s="46" t="str">
        <x:f>IF(SUMIFS('İndirimler'!$C$2:$C$110,'İndirimler'!$A$2:$A$110,B220,'İndirimler'!$B$2:$B$110,C220)&gt;0,ROUND(G220*(1-SUMIFS('İndirimler'!$C$2:$C$110,'İndirimler'!$A$2:$A$110,B220,'İndirimler'!$B$2:$B$110,C220)),2),"")</x:f>
      </x:c>
      <x:c r="I220" s="49" t="str">
        <x:f>IF(SUMIFS('İndirimler'!$D$2:$D$110,'İndirimler'!$A$2:$A$110,B220,'İndirimler'!$B$2:$B$110,C220)&gt;0,ROUND(G220*(1-SUMIFS('İndirimler'!$D$2:$D$110,'İndirimler'!$A$2:$A$110,B220,'İndirimler'!$B$2:$B$110,C220)),2),"")</x:f>
      </x:c>
      <x:c r="J220" s="37"/>
    </x:row>
    <x:row r="221" ht="22" customHeight="1">
      <x:c r="A221" s="40" t="str">
        <x:v>ORNEK00000286</x:v>
      </x:c>
      <x:c r="B221" s="37" t="str">
        <x:v>Fizik Pedia Yayınları</x:v>
      </x:c>
      <x:c r="C221" s="37" t="str">
        <x:v>10. Sınıf</x:v>
      </x:c>
      <x:c r="D221" s="37" t="str">
        <x:v>Fizik</x:v>
      </x:c>
      <x:c r="E221" s="37"/>
      <x:c r="F221" s="37" t="str">
        <x:v>Soru Bankası</x:v>
      </x:c>
      <x:c r="G221" s="43" t="n">
        <x:v>299</x:v>
      </x:c>
      <x:c r="H221" s="46" t="str">
        <x:f>IF(SUMIFS('İndirimler'!$C$2:$C$110,'İndirimler'!$A$2:$A$110,B221,'İndirimler'!$B$2:$B$110,C221)&gt;0,ROUND(G221*(1-SUMIFS('İndirimler'!$C$2:$C$110,'İndirimler'!$A$2:$A$110,B221,'İndirimler'!$B$2:$B$110,C221)),2),"")</x:f>
      </x:c>
      <x:c r="I221" s="49" t="str">
        <x:f>IF(SUMIFS('İndirimler'!$D$2:$D$110,'İndirimler'!$A$2:$A$110,B221,'İndirimler'!$B$2:$B$110,C221)&gt;0,ROUND(G221*(1-SUMIFS('İndirimler'!$D$2:$D$110,'İndirimler'!$A$2:$A$110,B221,'İndirimler'!$B$2:$B$110,C221)),2),"")</x:f>
      </x:c>
      <x:c r="J221" s="37"/>
    </x:row>
    <x:row r="222" ht="22" customHeight="1">
      <x:c r="A222" s="40" t="str">
        <x:v>9786257532921</x:v>
      </x:c>
      <x:c r="B222" s="37" t="str">
        <x:v>Hız ve Renk Yayınları</x:v>
      </x:c>
      <x:c r="C222" s="37" t="str">
        <x:v>10. Sınıf</x:v>
      </x:c>
      <x:c r="D222" s="37" t="str">
        <x:v>Fizik</x:v>
      </x:c>
      <x:c r="E222" s="37" t="str">
        <x:v>HİT</x:v>
      </x:c>
      <x:c r="F222" s="37" t="str">
        <x:v>Soru Bankası</x:v>
      </x:c>
      <x:c r="G222" s="43" t="n">
        <x:v>525</x:v>
      </x:c>
      <x:c r="H222" s="46" t="str">
        <x:f>IF(SUMIFS('İndirimler'!$C$2:$C$110,'İndirimler'!$A$2:$A$110,B222,'İndirimler'!$B$2:$B$110,C222)&gt;0,ROUND(G222*(1-SUMIFS('İndirimler'!$C$2:$C$110,'İndirimler'!$A$2:$A$110,B222,'İndirimler'!$B$2:$B$110,C222)),2),"")</x:f>
      </x:c>
      <x:c r="I222" s="49" t="str">
        <x:f>IF(SUMIFS('İndirimler'!$D$2:$D$110,'İndirimler'!$A$2:$A$110,B222,'İndirimler'!$B$2:$B$110,C222)&gt;0,ROUND(G222*(1-SUMIFS('İndirimler'!$D$2:$D$110,'İndirimler'!$A$2:$A$110,B222,'İndirimler'!$B$2:$B$110,C222)),2),"")</x:f>
      </x:c>
      <x:c r="J222" s="37"/>
    </x:row>
    <x:row r="223" ht="22" customHeight="1">
      <x:c r="A223" s="40" t="str">
        <x:v>9786052757659</x:v>
      </x:c>
      <x:c r="B223" s="37" t="str">
        <x:v>Limit</x:v>
      </x:c>
      <x:c r="C223" s="37" t="str">
        <x:v>10. Sınıf</x:v>
      </x:c>
      <x:c r="D223" s="37" t="str">
        <x:v>Fizik</x:v>
      </x:c>
      <x:c r="E223" s="37"/>
      <x:c r="F223" s="37" t="str">
        <x:v>Soru Bankası</x:v>
      </x:c>
      <x:c r="G223" s="43" t="n">
        <x:v>590</x:v>
      </x:c>
      <x:c r="H223" s="46" t="str">
        <x:f>IF(SUMIFS('İndirimler'!$C$2:$C$110,'İndirimler'!$A$2:$A$110,B223,'İndirimler'!$B$2:$B$110,C223)&gt;0,ROUND(G223*(1-SUMIFS('İndirimler'!$C$2:$C$110,'İndirimler'!$A$2:$A$110,B223,'İndirimler'!$B$2:$B$110,C223)),2),"")</x:f>
      </x:c>
      <x:c r="I223" s="49" t="str">
        <x:f>IF(SUMIFS('İndirimler'!$D$2:$D$110,'İndirimler'!$A$2:$A$110,B223,'İndirimler'!$B$2:$B$110,C223)&gt;0,ROUND(G223*(1-SUMIFS('İndirimler'!$D$2:$D$110,'İndirimler'!$A$2:$A$110,B223,'İndirimler'!$B$2:$B$110,C223)),2),"")</x:f>
      </x:c>
      <x:c r="J223" s="37"/>
    </x:row>
    <x:row r="224" ht="22" customHeight="1">
      <x:c r="A224" s="40" t="str">
        <x:v>9786256142206</x:v>
      </x:c>
      <x:c r="B224" s="37" t="str">
        <x:v>Miray</x:v>
      </x:c>
      <x:c r="C224" s="37" t="str">
        <x:v>10. Sınıf</x:v>
      </x:c>
      <x:c r="D224" s="37" t="str">
        <x:v>Fizik</x:v>
      </x:c>
      <x:c r="E224" s="37" t="str">
        <x:v>Tematik</x:v>
      </x:c>
      <x:c r="F224" s="37" t="str">
        <x:v>Soru Bankası</x:v>
      </x:c>
      <x:c r="G224" s="43" t="n">
        <x:v>458</x:v>
      </x:c>
      <x:c r="H224" s="46" t="str">
        <x:f>IF(SUMIFS('İndirimler'!$C$2:$C$110,'İndirimler'!$A$2:$A$110,B224,'İndirimler'!$B$2:$B$110,C224)&gt;0,ROUND(G224*(1-SUMIFS('İndirimler'!$C$2:$C$110,'İndirimler'!$A$2:$A$110,B224,'İndirimler'!$B$2:$B$110,C224)),2),"")</x:f>
      </x:c>
      <x:c r="I224" s="49" t="str">
        <x:f>IF(SUMIFS('İndirimler'!$D$2:$D$110,'İndirimler'!$A$2:$A$110,B224,'İndirimler'!$B$2:$B$110,C224)&gt;0,ROUND(G224*(1-SUMIFS('İndirimler'!$D$2:$D$110,'İndirimler'!$A$2:$A$110,B224,'İndirimler'!$B$2:$B$110,C224)),2),"")</x:f>
      </x:c>
      <x:c r="J224" s="37"/>
    </x:row>
    <x:row r="225" ht="22" customHeight="1">
      <x:c r="A225" s="40" t="str">
        <x:v>9786256040816</x:v>
      </x:c>
      <x:c r="B225" s="37" t="str">
        <x:v>Çap Yayınları</x:v>
      </x:c>
      <x:c r="C225" s="37" t="str">
        <x:v>10. Sınıf</x:v>
      </x:c>
      <x:c r="D225" s="37" t="str">
        <x:v>Fizik</x:v>
      </x:c>
      <x:c r="E225" s="37" t="str">
        <x:v>Tematik</x:v>
      </x:c>
      <x:c r="F225" s="37" t="str">
        <x:v>Soru Bankası</x:v>
      </x:c>
      <x:c r="G225" s="43" t="n">
        <x:v>505</x:v>
      </x:c>
      <x:c r="H225" s="46" t="str">
        <x:f>IF(SUMIFS('İndirimler'!$C$2:$C$110,'İndirimler'!$A$2:$A$110,B225,'İndirimler'!$B$2:$B$110,C225)&gt;0,ROUND(G225*(1-SUMIFS('İndirimler'!$C$2:$C$110,'İndirimler'!$A$2:$A$110,B225,'İndirimler'!$B$2:$B$110,C225)),2),"")</x:f>
      </x:c>
      <x:c r="I225" s="49" t="str">
        <x:f>IF(SUMIFS('İndirimler'!$D$2:$D$110,'İndirimler'!$A$2:$A$110,B225,'İndirimler'!$B$2:$B$110,C225)&gt;0,ROUND(G225*(1-SUMIFS('İndirimler'!$D$2:$D$110,'İndirimler'!$A$2:$A$110,B225,'İndirimler'!$B$2:$B$110,C225)),2),"")</x:f>
      </x:c>
      <x:c r="J225" s="37"/>
    </x:row>
    <x:row r="226" ht="22" customHeight="1">
      <x:c r="A226" s="40" t="str">
        <x:v>9786258160833</x:v>
      </x:c>
      <x:c r="B226" s="37" t="str">
        <x:v>ENS Yayınları</x:v>
      </x:c>
      <x:c r="C226" s="37" t="str">
        <x:v>10. Sınıf</x:v>
      </x:c>
      <x:c r="D226" s="37" t="str">
        <x:v>Fizik</x:v>
      </x:c>
      <x:c r="E226" s="37"/>
      <x:c r="F226" s="37" t="str">
        <x:v>Etkinlik Kitabı</x:v>
      </x:c>
      <x:c r="G226" s="43" t="n">
        <x:v>455</x:v>
      </x:c>
      <x:c r="H226" s="46" t="str">
        <x:f>IF(SUMIFS('İndirimler'!$C$2:$C$110,'İndirimler'!$A$2:$A$110,B226,'İndirimler'!$B$2:$B$110,C226)&gt;0,ROUND(G226*(1-SUMIFS('İndirimler'!$C$2:$C$110,'İndirimler'!$A$2:$A$110,B226,'İndirimler'!$B$2:$B$110,C226)),2),"")</x:f>
      </x:c>
      <x:c r="I226" s="49" t="str">
        <x:f>IF(SUMIFS('İndirimler'!$D$2:$D$110,'İndirimler'!$A$2:$A$110,B226,'İndirimler'!$B$2:$B$110,C226)&gt;0,ROUND(G226*(1-SUMIFS('İndirimler'!$D$2:$D$110,'İndirimler'!$A$2:$A$110,B226,'İndirimler'!$B$2:$B$110,C226)),2),"")</x:f>
      </x:c>
      <x:c r="J226" s="37"/>
    </x:row>
    <x:row r="227" ht="22" customHeight="1">
      <x:c r="A227" s="40" t="str">
        <x:v>9786256531901</x:v>
      </x:c>
      <x:c r="B227" s="37" t="str">
        <x:v>Mikro Orijinal Yayınları</x:v>
      </x:c>
      <x:c r="C227" s="37" t="str">
        <x:v>11. Sınıf</x:v>
      </x:c>
      <x:c r="D227" s="37" t="str">
        <x:v>Fizik</x:v>
      </x:c>
      <x:c r="E227" s="37" t="str">
        <x:v>MÖF / Mikro</x:v>
      </x:c>
      <x:c r="F227" s="37" t="str">
        <x:v>Fasikül Set</x:v>
      </x:c>
      <x:c r="G227" s="43" t="n">
        <x:v>269</x:v>
      </x:c>
      <x:c r="H227" s="46" t="str">
        <x:f>IF(SUMIFS('İndirimler'!$C$2:$C$110,'İndirimler'!$A$2:$A$110,B227,'İndirimler'!$B$2:$B$110,C227)&gt;0,ROUND(G227*(1-SUMIFS('İndirimler'!$C$2:$C$110,'İndirimler'!$A$2:$A$110,B227,'İndirimler'!$B$2:$B$110,C227)),2),"")</x:f>
      </x:c>
      <x:c r="I227" s="49" t="str">
        <x:f>IF(SUMIFS('İndirimler'!$D$2:$D$110,'İndirimler'!$A$2:$A$110,B227,'İndirimler'!$B$2:$B$110,C227)&gt;0,ROUND(G227*(1-SUMIFS('İndirimler'!$D$2:$D$110,'İndirimler'!$A$2:$A$110,B227,'İndirimler'!$B$2:$B$110,C227)),2),"")</x:f>
      </x:c>
      <x:c r="J227" s="37"/>
    </x:row>
    <x:row r="228" ht="22" customHeight="1">
      <x:c r="A228" s="40" t="str">
        <x:v>ORNEK00000106</x:v>
      </x:c>
      <x:c r="B228" s="37" t="str">
        <x:v>Mikro Orijinal Yayınları</x:v>
      </x:c>
      <x:c r="C228" s="37" t="str">
        <x:v>11. Sınıf</x:v>
      </x:c>
      <x:c r="D228" s="37" t="str">
        <x:v>Fizik</x:v>
      </x:c>
      <x:c r="E228" s="37" t="str">
        <x:v>MÖF / Mikro</x:v>
      </x:c>
      <x:c r="F228" s="37" t="str">
        <x:v>Fasikül Set</x:v>
      </x:c>
      <x:c r="G228" s="43" t="n">
        <x:v>500</x:v>
      </x:c>
      <x:c r="H228" s="46" t="str">
        <x:f>IF(SUMIFS('İndirimler'!$C$2:$C$110,'İndirimler'!$A$2:$A$110,B228,'İndirimler'!$B$2:$B$110,C228)&gt;0,ROUND(G228*(1-SUMIFS('İndirimler'!$C$2:$C$110,'İndirimler'!$A$2:$A$110,B228,'İndirimler'!$B$2:$B$110,C228)),2),"")</x:f>
      </x:c>
      <x:c r="I228" s="49" t="str">
        <x:f>IF(SUMIFS('İndirimler'!$D$2:$D$110,'İndirimler'!$A$2:$A$110,B228,'İndirimler'!$B$2:$B$110,C228)&gt;0,ROUND(G228*(1-SUMIFS('İndirimler'!$D$2:$D$110,'İndirimler'!$A$2:$A$110,B228,'İndirimler'!$B$2:$B$110,C228)),2),"")</x:f>
      </x:c>
      <x:c r="J228" s="37"/>
    </x:row>
    <x:row r="229" ht="22" customHeight="1">
      <x:c r="A229" s="40" t="str">
        <x:v>ORNEK00000056</x:v>
      </x:c>
      <x:c r="B229" s="37" t="str">
        <x:v>Çap Yayınları</x:v>
      </x:c>
      <x:c r="C229" s="37" t="str">
        <x:v>11. Sınıf</x:v>
      </x:c>
      <x:c r="D229" s="37" t="str">
        <x:v>Fizik</x:v>
      </x:c>
      <x:c r="E229" s="37"/>
      <x:c r="F229" s="37" t="str">
        <x:v>Fasikül Set</x:v>
      </x:c>
      <x:c r="G229" s="43" t="n">
        <x:v>800</x:v>
      </x:c>
      <x:c r="H229" s="46" t="str">
        <x:f>IF(SUMIFS('İndirimler'!$C$2:$C$110,'İndirimler'!$A$2:$A$110,B229,'İndirimler'!$B$2:$B$110,C229)&gt;0,ROUND(G229*(1-SUMIFS('İndirimler'!$C$2:$C$110,'İndirimler'!$A$2:$A$110,B229,'İndirimler'!$B$2:$B$110,C229)),2),"")</x:f>
      </x:c>
      <x:c r="I229" s="49" t="str">
        <x:f>IF(SUMIFS('İndirimler'!$D$2:$D$110,'İndirimler'!$A$2:$A$110,B229,'İndirimler'!$B$2:$B$110,C229)&gt;0,ROUND(G229*(1-SUMIFS('İndirimler'!$D$2:$D$110,'İndirimler'!$A$2:$A$110,B229,'İndirimler'!$B$2:$B$110,C229)),2),"")</x:f>
      </x:c>
      <x:c r="J229" s="37"/>
    </x:row>
    <x:row r="230" ht="22" customHeight="1">
      <x:c r="A230" s="40" t="str">
        <x:v>9786057710192</x:v>
      </x:c>
      <x:c r="B230" s="37" t="str">
        <x:v>Aydın</x:v>
      </x:c>
      <x:c r="C230" s="37" t="str">
        <x:v>11. Sınıf</x:v>
      </x:c>
      <x:c r="D230" s="37" t="str">
        <x:v>Fizik</x:v>
      </x:c>
      <x:c r="E230" s="37" t="str">
        <x:v>Ders İşleyiş Modülleri</x:v>
      </x:c>
      <x:c r="F230" s="37" t="str">
        <x:v>Konu Anlatımlı</x:v>
      </x:c>
      <x:c r="G230" s="43" t="n">
        <x:v>773</x:v>
      </x:c>
      <x:c r="H230" s="46" t="str">
        <x:f>IF(SUMIFS('İndirimler'!$C$2:$C$110,'İndirimler'!$A$2:$A$110,B230,'İndirimler'!$B$2:$B$110,C230)&gt;0,ROUND(G230*(1-SUMIFS('İndirimler'!$C$2:$C$110,'İndirimler'!$A$2:$A$110,B230,'İndirimler'!$B$2:$B$110,C230)),2),"")</x:f>
      </x:c>
      <x:c r="I230" s="49" t="str">
        <x:f>IF(SUMIFS('İndirimler'!$D$2:$D$110,'İndirimler'!$A$2:$A$110,B230,'İndirimler'!$B$2:$B$110,C230)&gt;0,ROUND(G230*(1-SUMIFS('İndirimler'!$D$2:$D$110,'İndirimler'!$A$2:$A$110,B230,'İndirimler'!$B$2:$B$110,C230)),2),"")</x:f>
      </x:c>
      <x:c r="J230" s="37"/>
    </x:row>
    <x:row r="231" ht="22" customHeight="1">
      <x:c r="A231" s="40" t="str">
        <x:v>ORNEK00000042</x:v>
      </x:c>
      <x:c r="B231" s="37" t="str">
        <x:v>Bilgi Sarmal Yayınları</x:v>
      </x:c>
      <x:c r="C231" s="37" t="str">
        <x:v>11. Sınıf</x:v>
      </x:c>
      <x:c r="D231" s="37" t="str">
        <x:v>Fizik</x:v>
      </x:c>
      <x:c r="E231" s="37" t="str">
        <x:v>Tema</x:v>
      </x:c>
      <x:c r="F231" s="37" t="str">
        <x:v>Konu Anlatımlı</x:v>
      </x:c>
      <x:c r="G231" s="43" t="n">
        <x:v>500</x:v>
      </x:c>
      <x:c r="H231" s="46" t="str">
        <x:f>IF(SUMIFS('İndirimler'!$C$2:$C$110,'İndirimler'!$A$2:$A$110,B231,'İndirimler'!$B$2:$B$110,C231)&gt;0,ROUND(G231*(1-SUMIFS('İndirimler'!$C$2:$C$110,'İndirimler'!$A$2:$A$110,B231,'İndirimler'!$B$2:$B$110,C231)),2),"")</x:f>
      </x:c>
      <x:c r="I231" s="49" t="str">
        <x:f>IF(SUMIFS('İndirimler'!$D$2:$D$110,'İndirimler'!$A$2:$A$110,B231,'İndirimler'!$B$2:$B$110,C231)&gt;0,ROUND(G231*(1-SUMIFS('İndirimler'!$D$2:$D$110,'İndirimler'!$A$2:$A$110,B231,'İndirimler'!$B$2:$B$110,C231)),2),"")</x:f>
      </x:c>
      <x:c r="J231" s="37"/>
    </x:row>
    <x:row r="232" ht="22" customHeight="1">
      <x:c r="A232" s="40" t="str">
        <x:v>ORNEK00000074</x:v>
      </x:c>
      <x:c r="B232" s="37" t="str">
        <x:v>ENS Yayınları</x:v>
      </x:c>
      <x:c r="C232" s="37" t="str">
        <x:v>11. Sınıf</x:v>
      </x:c>
      <x:c r="D232" s="37" t="str">
        <x:v>Fizik</x:v>
      </x:c>
      <x:c r="E232" s="37" t="str">
        <x:v>Defter</x:v>
      </x:c>
      <x:c r="F232" s="37" t="str">
        <x:v>Konu Anlatımlı</x:v>
      </x:c>
      <x:c r="G232" s="43" t="n">
        <x:v>500</x:v>
      </x:c>
      <x:c r="H232" s="46" t="str">
        <x:f>IF(SUMIFS('İndirimler'!$C$2:$C$110,'İndirimler'!$A$2:$A$110,B232,'İndirimler'!$B$2:$B$110,C232)&gt;0,ROUND(G232*(1-SUMIFS('İndirimler'!$C$2:$C$110,'İndirimler'!$A$2:$A$110,B232,'İndirimler'!$B$2:$B$110,C232)),2),"")</x:f>
      </x:c>
      <x:c r="I232" s="49" t="str">
        <x:f>IF(SUMIFS('İndirimler'!$D$2:$D$110,'İndirimler'!$A$2:$A$110,B232,'İndirimler'!$B$2:$B$110,C232)&gt;0,ROUND(G232*(1-SUMIFS('İndirimler'!$D$2:$D$110,'İndirimler'!$A$2:$A$110,B232,'İndirimler'!$B$2:$B$110,C232)),2),"")</x:f>
      </x:c>
      <x:c r="J232" s="37"/>
    </x:row>
    <x:row r="233" ht="22" customHeight="1">
      <x:c r="A233" s="40" t="str">
        <x:v>9786052754160</x:v>
      </x:c>
      <x:c r="B233" s="37" t="str">
        <x:v>Limit</x:v>
      </x:c>
      <x:c r="C233" s="37" t="str">
        <x:v>11. Sınıf</x:v>
      </x:c>
      <x:c r="D233" s="37" t="str">
        <x:v>Fizik</x:v>
      </x:c>
      <x:c r="E233" s="37"/>
      <x:c r="F233" s="37" t="str">
        <x:v>Konu Anlatımlı</x:v>
      </x:c>
      <x:c r="G233" s="43" t="n">
        <x:v>490</x:v>
      </x:c>
      <x:c r="H233" s="46" t="str">
        <x:f>IF(SUMIFS('İndirimler'!$C$2:$C$110,'İndirimler'!$A$2:$A$110,B233,'İndirimler'!$B$2:$B$110,C233)&gt;0,ROUND(G233*(1-SUMIFS('İndirimler'!$C$2:$C$110,'İndirimler'!$A$2:$A$110,B233,'İndirimler'!$B$2:$B$110,C233)),2),"")</x:f>
      </x:c>
      <x:c r="I233" s="49" t="str">
        <x:f>IF(SUMIFS('İndirimler'!$D$2:$D$110,'İndirimler'!$A$2:$A$110,B233,'İndirimler'!$B$2:$B$110,C233)&gt;0,ROUND(G233*(1-SUMIFS('İndirimler'!$D$2:$D$110,'İndirimler'!$A$2:$A$110,B233,'İndirimler'!$B$2:$B$110,C233)),2),"")</x:f>
      </x:c>
      <x:c r="J233" s="37"/>
    </x:row>
    <x:row r="234" ht="22" customHeight="1">
      <x:c r="A234" s="40" t="str">
        <x:v>9786256142688</x:v>
      </x:c>
      <x:c r="B234" s="37" t="str">
        <x:v>Miray</x:v>
      </x:c>
      <x:c r="C234" s="37" t="str">
        <x:v>11. Sınıf</x:v>
      </x:c>
      <x:c r="D234" s="37" t="str">
        <x:v>Fizik</x:v>
      </x:c>
      <x:c r="E234" s="37" t="str">
        <x:v>Ders Anlatım Fasikülleri</x:v>
      </x:c>
      <x:c r="F234" s="37" t="str">
        <x:v>Konu Anlatımlı</x:v>
      </x:c>
      <x:c r="G234" s="43" t="n">
        <x:v>480</x:v>
      </x:c>
      <x:c r="H234" s="46" t="str">
        <x:f>IF(SUMIFS('İndirimler'!$C$2:$C$110,'İndirimler'!$A$2:$A$110,B234,'İndirimler'!$B$2:$B$110,C234)&gt;0,ROUND(G234*(1-SUMIFS('İndirimler'!$C$2:$C$110,'İndirimler'!$A$2:$A$110,B234,'İndirimler'!$B$2:$B$110,C234)),2),"")</x:f>
      </x:c>
      <x:c r="I234" s="49" t="str">
        <x:f>IF(SUMIFS('İndirimler'!$D$2:$D$110,'İndirimler'!$A$2:$A$110,B234,'İndirimler'!$B$2:$B$110,C234)&gt;0,ROUND(G234*(1-SUMIFS('İndirimler'!$D$2:$D$110,'İndirimler'!$A$2:$A$110,B234,'İndirimler'!$B$2:$B$110,C234)),2),"")</x:f>
      </x:c>
      <x:c r="J234" s="37"/>
    </x:row>
    <x:row r="235" ht="22" customHeight="1">
      <x:c r="A235" s="40" t="str">
        <x:v>9786256921931</x:v>
      </x:c>
      <x:c r="B235" s="37" t="str">
        <x:v>4K</x:v>
      </x:c>
      <x:c r="C235" s="37" t="str">
        <x:v>11. Sınıf</x:v>
      </x:c>
      <x:c r="D235" s="37" t="str">
        <x:v>Fizik</x:v>
      </x:c>
      <x:c r="E235" s="37"/>
      <x:c r="F235" s="37" t="str">
        <x:v>Soru Bankası</x:v>
      </x:c>
      <x:c r="G235" s="43" t="n">
        <x:v>498</x:v>
      </x:c>
      <x:c r="H235" s="46" t="str">
        <x:f>IF(SUMIFS('İndirimler'!$C$2:$C$110,'İndirimler'!$A$2:$A$110,B235,'İndirimler'!$B$2:$B$110,C235)&gt;0,ROUND(G235*(1-SUMIFS('İndirimler'!$C$2:$C$110,'İndirimler'!$A$2:$A$110,B235,'İndirimler'!$B$2:$B$110,C235)),2),"")</x:f>
      </x:c>
      <x:c r="I235" s="49" t="str">
        <x:f>IF(SUMIFS('İndirimler'!$D$2:$D$110,'İndirimler'!$A$2:$A$110,B235,'İndirimler'!$B$2:$B$110,C235)&gt;0,ROUND(G235*(1-SUMIFS('İndirimler'!$D$2:$D$110,'İndirimler'!$A$2:$A$110,B235,'İndirimler'!$B$2:$B$110,C235)),2),"")</x:f>
      </x:c>
      <x:c r="J235" s="37"/>
    </x:row>
    <x:row r="236" ht="22" customHeight="1">
      <x:c r="A236" s="40" t="str">
        <x:v>9786057710185</x:v>
      </x:c>
      <x:c r="B236" s="37" t="str">
        <x:v>Aydın</x:v>
      </x:c>
      <x:c r="C236" s="37" t="str">
        <x:v>11. Sınıf</x:v>
      </x:c>
      <x:c r="D236" s="37" t="str">
        <x:v>Fizik</x:v>
      </x:c>
      <x:c r="E236" s="37"/>
      <x:c r="F236" s="37" t="str">
        <x:v>Soru Bankası</x:v>
      </x:c>
      <x:c r="G236" s="43" t="n">
        <x:v>672</x:v>
      </x:c>
      <x:c r="H236" s="46" t="str">
        <x:f>IF(SUMIFS('İndirimler'!$C$2:$C$110,'İndirimler'!$A$2:$A$110,B236,'İndirimler'!$B$2:$B$110,C236)&gt;0,ROUND(G236*(1-SUMIFS('İndirimler'!$C$2:$C$110,'İndirimler'!$A$2:$A$110,B236,'İndirimler'!$B$2:$B$110,C236)),2),"")</x:f>
      </x:c>
      <x:c r="I236" s="49" t="str">
        <x:f>IF(SUMIFS('İndirimler'!$D$2:$D$110,'İndirimler'!$A$2:$A$110,B236,'İndirimler'!$B$2:$B$110,C236)&gt;0,ROUND(G236*(1-SUMIFS('İndirimler'!$D$2:$D$110,'İndirimler'!$A$2:$A$110,B236,'İndirimler'!$B$2:$B$110,C236)),2),"")</x:f>
      </x:c>
      <x:c r="J236" s="37"/>
    </x:row>
    <x:row r="237" ht="22" customHeight="1">
      <x:c r="A237" s="40" t="str">
        <x:v>ORNEK00000020</x:v>
      </x:c>
      <x:c r="B237" s="37" t="str">
        <x:v>Bilgi Sarmal Yayınları</x:v>
      </x:c>
      <x:c r="C237" s="37" t="str">
        <x:v>11. Sınıf</x:v>
      </x:c>
      <x:c r="D237" s="37" t="str">
        <x:v>Fizik</x:v>
      </x:c>
      <x:c r="E237" s="37"/>
      <x:c r="F237" s="37" t="str">
        <x:v>Soru Bankası</x:v>
      </x:c>
      <x:c r="G237" s="43" t="n">
        <x:v>500</x:v>
      </x:c>
      <x:c r="H237" s="46" t="str">
        <x:f>IF(SUMIFS('İndirimler'!$C$2:$C$110,'İndirimler'!$A$2:$A$110,B237,'İndirimler'!$B$2:$B$110,C237)&gt;0,ROUND(G237*(1-SUMIFS('İndirimler'!$C$2:$C$110,'İndirimler'!$A$2:$A$110,B237,'İndirimler'!$B$2:$B$110,C237)),2),"")</x:f>
      </x:c>
      <x:c r="I237" s="49" t="str">
        <x:f>IF(SUMIFS('İndirimler'!$D$2:$D$110,'İndirimler'!$A$2:$A$110,B237,'İndirimler'!$B$2:$B$110,C237)&gt;0,ROUND(G237*(1-SUMIFS('İndirimler'!$D$2:$D$110,'İndirimler'!$A$2:$A$110,B237,'İndirimler'!$B$2:$B$110,C237)),2),"")</x:f>
      </x:c>
      <x:c r="J237" s="37"/>
    </x:row>
    <x:row r="238" ht="22" customHeight="1">
      <x:c r="A238" s="40" t="str">
        <x:v>ORNEK00000069</x:v>
      </x:c>
      <x:c r="B238" s="37" t="str">
        <x:v>Egzersiz Yayınları</x:v>
      </x:c>
      <x:c r="C238" s="37" t="str">
        <x:v>11. Sınıf</x:v>
      </x:c>
      <x:c r="D238" s="37" t="str">
        <x:v>Fizik</x:v>
      </x:c>
      <x:c r="E238" s="37"/>
      <x:c r="F238" s="37" t="str">
        <x:v>Soru Bankası</x:v>
      </x:c>
      <x:c r="G238" s="43" t="n">
        <x:v>500</x:v>
      </x:c>
      <x:c r="H238" s="46" t="str">
        <x:f>IF(SUMIFS('İndirimler'!$C$2:$C$110,'İndirimler'!$A$2:$A$110,B238,'İndirimler'!$B$2:$B$110,C238)&gt;0,ROUND(G238*(1-SUMIFS('İndirimler'!$C$2:$C$110,'İndirimler'!$A$2:$A$110,B238,'İndirimler'!$B$2:$B$110,C238)),2),"")</x:f>
      </x:c>
      <x:c r="I238" s="49" t="str">
        <x:f>IF(SUMIFS('İndirimler'!$D$2:$D$110,'İndirimler'!$A$2:$A$110,B238,'İndirimler'!$B$2:$B$110,C238)&gt;0,ROUND(G238*(1-SUMIFS('İndirimler'!$D$2:$D$110,'İndirimler'!$A$2:$A$110,B238,'İndirimler'!$B$2:$B$110,C238)),2),"")</x:f>
      </x:c>
      <x:c r="J238" s="37"/>
    </x:row>
    <x:row r="239" ht="22" customHeight="1">
      <x:c r="A239" s="40" t="str">
        <x:v>ORNEK00000087</x:v>
      </x:c>
      <x:c r="B239" s="37" t="str">
        <x:v>Fizik Pedia Yayınları</x:v>
      </x:c>
      <x:c r="C239" s="37" t="str">
        <x:v>11. Sınıf</x:v>
      </x:c>
      <x:c r="D239" s="37" t="str">
        <x:v>Fizik</x:v>
      </x:c>
      <x:c r="E239" s="37"/>
      <x:c r="F239" s="37" t="str">
        <x:v>Soru Bankası</x:v>
      </x:c>
      <x:c r="G239" s="43" t="n">
        <x:v>500</x:v>
      </x:c>
      <x:c r="H239" s="46" t="str">
        <x:f>IF(SUMIFS('İndirimler'!$C$2:$C$110,'İndirimler'!$A$2:$A$110,B239,'İndirimler'!$B$2:$B$110,C239)&gt;0,ROUND(G239*(1-SUMIFS('İndirimler'!$C$2:$C$110,'İndirimler'!$A$2:$A$110,B239,'İndirimler'!$B$2:$B$110,C239)),2),"")</x:f>
      </x:c>
      <x:c r="I239" s="49" t="str">
        <x:f>IF(SUMIFS('İndirimler'!$D$2:$D$110,'İndirimler'!$A$2:$A$110,B239,'İndirimler'!$B$2:$B$110,C239)&gt;0,ROUND(G239*(1-SUMIFS('İndirimler'!$D$2:$D$110,'İndirimler'!$A$2:$A$110,B239,'İndirimler'!$B$2:$B$110,C239)),2),"")</x:f>
      </x:c>
      <x:c r="J239" s="37"/>
    </x:row>
    <x:row r="240" ht="22" customHeight="1">
      <x:c r="A240" s="40" t="str">
        <x:v>ORNEK00000287</x:v>
      </x:c>
      <x:c r="B240" s="37" t="str">
        <x:v>Fizik Pedia Yayınları</x:v>
      </x:c>
      <x:c r="C240" s="37" t="str">
        <x:v>11. Sınıf</x:v>
      </x:c>
      <x:c r="D240" s="37" t="str">
        <x:v>Fizik</x:v>
      </x:c>
      <x:c r="E240" s="37"/>
      <x:c r="F240" s="37" t="str">
        <x:v>Soru Bankası</x:v>
      </x:c>
      <x:c r="G240" s="43" t="n">
        <x:v>299</x:v>
      </x:c>
      <x:c r="H240" s="46" t="str">
        <x:f>IF(SUMIFS('İndirimler'!$C$2:$C$110,'İndirimler'!$A$2:$A$110,B240,'İndirimler'!$B$2:$B$110,C240)&gt;0,ROUND(G240*(1-SUMIFS('İndirimler'!$C$2:$C$110,'İndirimler'!$A$2:$A$110,B240,'İndirimler'!$B$2:$B$110,C240)),2),"")</x:f>
      </x:c>
      <x:c r="I240" s="49" t="str">
        <x:f>IF(SUMIFS('İndirimler'!$D$2:$D$110,'İndirimler'!$A$2:$A$110,B240,'İndirimler'!$B$2:$B$110,C240)&gt;0,ROUND(G240*(1-SUMIFS('İndirimler'!$D$2:$D$110,'İndirimler'!$A$2:$A$110,B240,'İndirimler'!$B$2:$B$110,C240)),2),"")</x:f>
      </x:c>
      <x:c r="J240" s="37"/>
    </x:row>
    <x:row r="241" ht="22" customHeight="1">
      <x:c r="A241" s="40" t="str">
        <x:v>ORNEK00000096</x:v>
      </x:c>
      <x:c r="B241" s="37" t="str">
        <x:v>Hız ve Renk Yayınları</x:v>
      </x:c>
      <x:c r="C241" s="37" t="str">
        <x:v>11. Sınıf</x:v>
      </x:c>
      <x:c r="D241" s="37" t="str">
        <x:v>Fizik</x:v>
      </x:c>
      <x:c r="E241" s="37" t="str">
        <x:v>HİT</x:v>
      </x:c>
      <x:c r="F241" s="37" t="str">
        <x:v>Soru Bankası</x:v>
      </x:c>
      <x:c r="G241" s="43" t="n">
        <x:v>500</x:v>
      </x:c>
      <x:c r="H241" s="46" t="str">
        <x:f>IF(SUMIFS('İndirimler'!$C$2:$C$110,'İndirimler'!$A$2:$A$110,B241,'İndirimler'!$B$2:$B$110,C241)&gt;0,ROUND(G241*(1-SUMIFS('İndirimler'!$C$2:$C$110,'İndirimler'!$A$2:$A$110,B241,'İndirimler'!$B$2:$B$110,C241)),2),"")</x:f>
      </x:c>
      <x:c r="I241" s="49" t="str">
        <x:f>IF(SUMIFS('İndirimler'!$D$2:$D$110,'İndirimler'!$A$2:$A$110,B241,'İndirimler'!$B$2:$B$110,C241)&gt;0,ROUND(G241*(1-SUMIFS('İndirimler'!$D$2:$D$110,'İndirimler'!$A$2:$A$110,B241,'İndirimler'!$B$2:$B$110,C241)),2),"")</x:f>
      </x:c>
      <x:c r="J241" s="37"/>
    </x:row>
    <x:row r="242" ht="22" customHeight="1">
      <x:c r="A242" s="40" t="str">
        <x:v>9786052753996</x:v>
      </x:c>
      <x:c r="B242" s="37" t="str">
        <x:v>Limit</x:v>
      </x:c>
      <x:c r="C242" s="37" t="str">
        <x:v>11. Sınıf</x:v>
      </x:c>
      <x:c r="D242" s="37" t="str">
        <x:v>Fizik</x:v>
      </x:c>
      <x:c r="E242" s="37"/>
      <x:c r="F242" s="37" t="str">
        <x:v>Soru Bankası</x:v>
      </x:c>
      <x:c r="G242" s="43" t="n">
        <x:v>498</x:v>
      </x:c>
      <x:c r="H242" s="46" t="str">
        <x:f>IF(SUMIFS('İndirimler'!$C$2:$C$110,'İndirimler'!$A$2:$A$110,B242,'İndirimler'!$B$2:$B$110,C242)&gt;0,ROUND(G242*(1-SUMIFS('İndirimler'!$C$2:$C$110,'İndirimler'!$A$2:$A$110,B242,'İndirimler'!$B$2:$B$110,C242)),2),"")</x:f>
      </x:c>
      <x:c r="I242" s="49" t="str">
        <x:f>IF(SUMIFS('İndirimler'!$D$2:$D$110,'İndirimler'!$A$2:$A$110,B242,'İndirimler'!$B$2:$B$110,C242)&gt;0,ROUND(G242*(1-SUMIFS('İndirimler'!$D$2:$D$110,'İndirimler'!$A$2:$A$110,B242,'İndirimler'!$B$2:$B$110,C242)),2),"")</x:f>
      </x:c>
      <x:c r="J242" s="37"/>
    </x:row>
    <x:row r="243" ht="22" customHeight="1">
      <x:c r="A243" s="40" t="str">
        <x:v>9786256142695</x:v>
      </x:c>
      <x:c r="B243" s="37" t="str">
        <x:v>Miray</x:v>
      </x:c>
      <x:c r="C243" s="37" t="str">
        <x:v>11. Sınıf</x:v>
      </x:c>
      <x:c r="D243" s="37" t="str">
        <x:v>Fizik</x:v>
      </x:c>
      <x:c r="E243" s="37" t="str">
        <x:v>Tematik</x:v>
      </x:c>
      <x:c r="F243" s="37" t="str">
        <x:v>Soru Bankası</x:v>
      </x:c>
      <x:c r="G243" s="43" t="n">
        <x:v>387</x:v>
      </x:c>
      <x:c r="H243" s="46" t="str">
        <x:f>IF(SUMIFS('İndirimler'!$C$2:$C$110,'İndirimler'!$A$2:$A$110,B243,'İndirimler'!$B$2:$B$110,C243)&gt;0,ROUND(G243*(1-SUMIFS('İndirimler'!$C$2:$C$110,'İndirimler'!$A$2:$A$110,B243,'İndirimler'!$B$2:$B$110,C243)),2),"")</x:f>
      </x:c>
      <x:c r="I243" s="49" t="str">
        <x:f>IF(SUMIFS('İndirimler'!$D$2:$D$110,'İndirimler'!$A$2:$A$110,B243,'İndirimler'!$B$2:$B$110,C243)&gt;0,ROUND(G243*(1-SUMIFS('İndirimler'!$D$2:$D$110,'İndirimler'!$A$2:$A$110,B243,'İndirimler'!$B$2:$B$110,C243)),2),"")</x:f>
      </x:c>
      <x:c r="J243" s="37"/>
    </x:row>
    <x:row r="244" ht="22" customHeight="1">
      <x:c r="A244" s="40" t="str">
        <x:v>ORNEK00000065</x:v>
      </x:c>
      <x:c r="B244" s="37" t="str">
        <x:v>Çap Yayınları</x:v>
      </x:c>
      <x:c r="C244" s="37" t="str">
        <x:v>11. Sınıf</x:v>
      </x:c>
      <x:c r="D244" s="37" t="str">
        <x:v>Fizik</x:v>
      </x:c>
      <x:c r="E244" s="37"/>
      <x:c r="F244" s="37" t="str">
        <x:v>Soru Bankası</x:v>
      </x:c>
      <x:c r="G244" s="43" t="n">
        <x:v>500</x:v>
      </x:c>
      <x:c r="H244" s="46" t="str">
        <x:f>IF(SUMIFS('İndirimler'!$C$2:$C$110,'İndirimler'!$A$2:$A$110,B244,'İndirimler'!$B$2:$B$110,C244)&gt;0,ROUND(G244*(1-SUMIFS('İndirimler'!$C$2:$C$110,'İndirimler'!$A$2:$A$110,B244,'İndirimler'!$B$2:$B$110,C244)),2),"")</x:f>
      </x:c>
      <x:c r="I244" s="49" t="str">
        <x:f>IF(SUMIFS('İndirimler'!$D$2:$D$110,'İndirimler'!$A$2:$A$110,B244,'İndirimler'!$B$2:$B$110,C244)&gt;0,ROUND(G244*(1-SUMIFS('İndirimler'!$D$2:$D$110,'İndirimler'!$A$2:$A$110,B244,'İndirimler'!$B$2:$B$110,C244)),2),"")</x:f>
      </x:c>
      <x:c r="J244" s="37"/>
    </x:row>
    <x:row r="245" ht="22" customHeight="1">
      <x:c r="A245" s="40" t="str">
        <x:v>ORNEK00000082</x:v>
      </x:c>
      <x:c r="B245" s="37" t="str">
        <x:v>ENS Yayınları</x:v>
      </x:c>
      <x:c r="C245" s="37" t="str">
        <x:v>11. Sınıf</x:v>
      </x:c>
      <x:c r="D245" s="37" t="str">
        <x:v>Fizik</x:v>
      </x:c>
      <x:c r="E245" s="37"/>
      <x:c r="F245" s="37" t="str">
        <x:v>Etkinlik Kitabı</x:v>
      </x:c>
      <x:c r="G245" s="43" t="n">
        <x:v>500</x:v>
      </x:c>
      <x:c r="H245" s="46" t="str">
        <x:f>IF(SUMIFS('İndirimler'!$C$2:$C$110,'İndirimler'!$A$2:$A$110,B245,'İndirimler'!$B$2:$B$110,C245)&gt;0,ROUND(G245*(1-SUMIFS('İndirimler'!$C$2:$C$110,'İndirimler'!$A$2:$A$110,B245,'İndirimler'!$B$2:$B$110,C245)),2),"")</x:f>
      </x:c>
      <x:c r="I245" s="49" t="str">
        <x:f>IF(SUMIFS('İndirimler'!$D$2:$D$110,'İndirimler'!$A$2:$A$110,B245,'İndirimler'!$B$2:$B$110,C245)&gt;0,ROUND(G245*(1-SUMIFS('İndirimler'!$D$2:$D$110,'İndirimler'!$A$2:$A$110,B245,'İndirimler'!$B$2:$B$110,C245)),2),"")</x:f>
      </x:c>
      <x:c r="J245" s="37"/>
    </x:row>
    <x:row r="246" ht="22" customHeight="1">
      <x:c r="A246" s="40" t="str">
        <x:v>9786256531321</x:v>
      </x:c>
      <x:c r="B246" s="37" t="str">
        <x:v>Mikro Orijinal Yayınları</x:v>
      </x:c>
      <x:c r="C246" s="37" t="str">
        <x:v>12. Sınıf</x:v>
      </x:c>
      <x:c r="D246" s="37" t="str">
        <x:v>Fizik</x:v>
      </x:c>
      <x:c r="E246" s="37" t="str">
        <x:v>MÖF / Mikro</x:v>
      </x:c>
      <x:c r="F246" s="37" t="str">
        <x:v>Fasikül Set</x:v>
      </x:c>
      <x:c r="G246" s="43" t="n">
        <x:v>399</x:v>
      </x:c>
      <x:c r="H246" s="46" t="str">
        <x:f>IF(SUMIFS('İndirimler'!$C$2:$C$110,'İndirimler'!$A$2:$A$110,B246,'İndirimler'!$B$2:$B$110,C246)&gt;0,ROUND(G246*(1-SUMIFS('İndirimler'!$C$2:$C$110,'İndirimler'!$A$2:$A$110,B246,'İndirimler'!$B$2:$B$110,C246)),2),"")</x:f>
      </x:c>
      <x:c r="I246" s="49" t="str">
        <x:f>IF(SUMIFS('İndirimler'!$D$2:$D$110,'İndirimler'!$A$2:$A$110,B246,'İndirimler'!$B$2:$B$110,C246)&gt;0,ROUND(G246*(1-SUMIFS('İndirimler'!$D$2:$D$110,'İndirimler'!$A$2:$A$110,B246,'İndirimler'!$B$2:$B$110,C246)),2),"")</x:f>
      </x:c>
      <x:c r="J246" s="37"/>
    </x:row>
    <x:row r="247" ht="22" customHeight="1">
      <x:c r="A247" s="40" t="str">
        <x:v>9786256531956</x:v>
      </x:c>
      <x:c r="B247" s="37" t="str">
        <x:v>Mikro Orijinal Yayınları</x:v>
      </x:c>
      <x:c r="C247" s="37" t="str">
        <x:v>12. Sınıf</x:v>
      </x:c>
      <x:c r="D247" s="37" t="str">
        <x:v>Fizik</x:v>
      </x:c>
      <x:c r="E247" s="37" t="str">
        <x:v>MÖF / Mikro</x:v>
      </x:c>
      <x:c r="F247" s="37" t="str">
        <x:v>Fasikül Set</x:v>
      </x:c>
      <x:c r="G247" s="43" t="n">
        <x:v>199</x:v>
      </x:c>
      <x:c r="H247" s="46" t="str">
        <x:f>IF(SUMIFS('İndirimler'!$C$2:$C$110,'İndirimler'!$A$2:$A$110,B247,'İndirimler'!$B$2:$B$110,C247)&gt;0,ROUND(G247*(1-SUMIFS('İndirimler'!$C$2:$C$110,'İndirimler'!$A$2:$A$110,B247,'İndirimler'!$B$2:$B$110,C247)),2),"")</x:f>
      </x:c>
      <x:c r="I247" s="49" t="str">
        <x:f>IF(SUMIFS('İndirimler'!$D$2:$D$110,'İndirimler'!$A$2:$A$110,B247,'İndirimler'!$B$2:$B$110,C247)&gt;0,ROUND(G247*(1-SUMIFS('İndirimler'!$D$2:$D$110,'İndirimler'!$A$2:$A$110,B247,'İndirimler'!$B$2:$B$110,C247)),2),"")</x:f>
      </x:c>
      <x:c r="J247" s="37"/>
    </x:row>
    <x:row r="248" ht="22" customHeight="1">
      <x:c r="A248" s="40" t="str">
        <x:v>9786257732499</x:v>
      </x:c>
      <x:c r="B248" s="37" t="str">
        <x:v>Çap Yayınları</x:v>
      </x:c>
      <x:c r="C248" s="37" t="str">
        <x:v>12. Sınıf</x:v>
      </x:c>
      <x:c r="D248" s="37" t="str">
        <x:v>Fizik</x:v>
      </x:c>
      <x:c r="E248" s="37" t="str">
        <x:v>Anadolu</x:v>
      </x:c>
      <x:c r="F248" s="37" t="str">
        <x:v>Fasikül Set</x:v>
      </x:c>
      <x:c r="G248" s="43" t="n">
        <x:v>685</x:v>
      </x:c>
      <x:c r="H248" s="46" t="str">
        <x:f>IF(SUMIFS('İndirimler'!$C$2:$C$110,'İndirimler'!$A$2:$A$110,B248,'İndirimler'!$B$2:$B$110,C248)&gt;0,ROUND(G248*(1-SUMIFS('İndirimler'!$C$2:$C$110,'İndirimler'!$A$2:$A$110,B248,'İndirimler'!$B$2:$B$110,C248)),2),"")</x:f>
      </x:c>
      <x:c r="I248" s="49" t="str">
        <x:f>IF(SUMIFS('İndirimler'!$D$2:$D$110,'İndirimler'!$A$2:$A$110,B248,'İndirimler'!$B$2:$B$110,C248)&gt;0,ROUND(G248*(1-SUMIFS('İndirimler'!$D$2:$D$110,'İndirimler'!$A$2:$A$110,B248,'İndirimler'!$B$2:$B$110,C248)),2),"")</x:f>
      </x:c>
      <x:c r="J248" s="37"/>
    </x:row>
    <x:row r="249" ht="22" customHeight="1">
      <x:c r="A249" s="40" t="str">
        <x:v>9786258139204</x:v>
      </x:c>
      <x:c r="B249" s="37" t="str">
        <x:v>Çap Yayınları</x:v>
      </x:c>
      <x:c r="C249" s="37" t="str">
        <x:v>12. Sınıf</x:v>
      </x:c>
      <x:c r="D249" s="37" t="str">
        <x:v>Fizik</x:v>
      </x:c>
      <x:c r="E249" s="37" t="str">
        <x:v>Fen Lisesi</x:v>
      </x:c>
      <x:c r="F249" s="37" t="str">
        <x:v>Fasikül Set</x:v>
      </x:c>
      <x:c r="G249" s="43" t="n">
        <x:v>685</x:v>
      </x:c>
      <x:c r="H249" s="46" t="str">
        <x:f>IF(SUMIFS('İndirimler'!$C$2:$C$110,'İndirimler'!$A$2:$A$110,B249,'İndirimler'!$B$2:$B$110,C249)&gt;0,ROUND(G249*(1-SUMIFS('İndirimler'!$C$2:$C$110,'İndirimler'!$A$2:$A$110,B249,'İndirimler'!$B$2:$B$110,C249)),2),"")</x:f>
      </x:c>
      <x:c r="I249" s="49" t="str">
        <x:f>IF(SUMIFS('İndirimler'!$D$2:$D$110,'İndirimler'!$A$2:$A$110,B249,'İndirimler'!$B$2:$B$110,C249)&gt;0,ROUND(G249*(1-SUMIFS('İndirimler'!$D$2:$D$110,'İndirimler'!$A$2:$A$110,B249,'İndirimler'!$B$2:$B$110,C249)),2),"")</x:f>
      </x:c>
      <x:c r="J249" s="37"/>
    </x:row>
    <x:row r="250" ht="22" customHeight="1">
      <x:c r="A250" s="40" t="str">
        <x:v>9786258104493</x:v>
      </x:c>
      <x:c r="B250" s="37" t="str">
        <x:v>Aydın</x:v>
      </x:c>
      <x:c r="C250" s="37" t="str">
        <x:v>12. Sınıf</x:v>
      </x:c>
      <x:c r="D250" s="37" t="str">
        <x:v>Fizik</x:v>
      </x:c>
      <x:c r="E250" s="37" t="str">
        <x:v>Ders İşleyiş Modülleri</x:v>
      </x:c>
      <x:c r="F250" s="37" t="str">
        <x:v>Konu Anlatımlı</x:v>
      </x:c>
      <x:c r="G250" s="43" t="n">
        <x:v>348</x:v>
      </x:c>
      <x:c r="H250" s="46" t="str">
        <x:f>IF(SUMIFS('İndirimler'!$C$2:$C$110,'İndirimler'!$A$2:$A$110,B250,'İndirimler'!$B$2:$B$110,C250)&gt;0,ROUND(G250*(1-SUMIFS('İndirimler'!$C$2:$C$110,'İndirimler'!$A$2:$A$110,B250,'İndirimler'!$B$2:$B$110,C250)),2),"")</x:f>
      </x:c>
      <x:c r="I250" s="49" t="str">
        <x:f>IF(SUMIFS('İndirimler'!$D$2:$D$110,'İndirimler'!$A$2:$A$110,B250,'İndirimler'!$B$2:$B$110,C250)&gt;0,ROUND(G250*(1-SUMIFS('İndirimler'!$D$2:$D$110,'İndirimler'!$A$2:$A$110,B250,'İndirimler'!$B$2:$B$110,C250)),2),"")</x:f>
      </x:c>
      <x:c r="J250" s="37"/>
    </x:row>
    <x:row r="251" ht="22" customHeight="1">
      <x:c r="A251" s="40" t="str">
        <x:v>9786256412507</x:v>
      </x:c>
      <x:c r="B251" s="37" t="str">
        <x:v>Miray</x:v>
      </x:c>
      <x:c r="C251" s="37" t="str">
        <x:v>12. Sınıf</x:v>
      </x:c>
      <x:c r="D251" s="37" t="str">
        <x:v>Fizik</x:v>
      </x:c>
      <x:c r="E251" s="37" t="str">
        <x:v>Ders Anlatım Fasikülleri</x:v>
      </x:c>
      <x:c r="F251" s="37" t="str">
        <x:v>Konu Anlatımlı</x:v>
      </x:c>
      <x:c r="G251" s="43" t="n">
        <x:v>428</x:v>
      </x:c>
      <x:c r="H251" s="46" t="str">
        <x:f>IF(SUMIFS('İndirimler'!$C$2:$C$110,'İndirimler'!$A$2:$A$110,B251,'İndirimler'!$B$2:$B$110,C251)&gt;0,ROUND(G251*(1-SUMIFS('İndirimler'!$C$2:$C$110,'İndirimler'!$A$2:$A$110,B251,'İndirimler'!$B$2:$B$110,C251)),2),"")</x:f>
      </x:c>
      <x:c r="I251" s="49" t="str">
        <x:f>IF(SUMIFS('İndirimler'!$D$2:$D$110,'İndirimler'!$A$2:$A$110,B251,'İndirimler'!$B$2:$B$110,C251)&gt;0,ROUND(G251*(1-SUMIFS('İndirimler'!$D$2:$D$110,'İndirimler'!$A$2:$A$110,B251,'İndirimler'!$B$2:$B$110,C251)),2),"")</x:f>
      </x:c>
      <x:c r="J251" s="37"/>
    </x:row>
    <x:row r="252" ht="22" customHeight="1">
      <x:c r="A252" s="40" t="str">
        <x:v>9786259626840</x:v>
      </x:c>
      <x:c r="B252" s="37" t="str">
        <x:v>Profizik</x:v>
      </x:c>
      <x:c r="C252" s="37" t="str">
        <x:v>12. Sınıf</x:v>
      </x:c>
      <x:c r="D252" s="37" t="str">
        <x:v>Fizik</x:v>
      </x:c>
      <x:c r="E252" s="37"/>
      <x:c r="F252" s="37" t="str">
        <x:v>Konu Anlatımlı</x:v>
      </x:c>
      <x:c r="G252" s="43" t="n">
        <x:v>362</x:v>
      </x:c>
      <x:c r="H252" s="46" t="str">
        <x:f>IF(SUMIFS('İndirimler'!$C$2:$C$110,'İndirimler'!$A$2:$A$110,B252,'İndirimler'!$B$2:$B$110,C252)&gt;0,ROUND(G252*(1-SUMIFS('İndirimler'!$C$2:$C$110,'İndirimler'!$A$2:$A$110,B252,'İndirimler'!$B$2:$B$110,C252)),2),"")</x:f>
      </x:c>
      <x:c r="I252" s="49" t="str">
        <x:f>IF(SUMIFS('İndirimler'!$D$2:$D$110,'İndirimler'!$A$2:$A$110,B252,'İndirimler'!$B$2:$B$110,C252)&gt;0,ROUND(G252*(1-SUMIFS('İndirimler'!$D$2:$D$110,'İndirimler'!$A$2:$A$110,B252,'İndirimler'!$B$2:$B$110,C252)),2),"")</x:f>
      </x:c>
      <x:c r="J252" s="37"/>
    </x:row>
    <x:row r="253" ht="22" customHeight="1">
      <x:c r="A253" s="40" t="str">
        <x:v>9786259626857</x:v>
      </x:c>
      <x:c r="B253" s="37" t="str">
        <x:v>Profizik</x:v>
      </x:c>
      <x:c r="C253" s="37" t="str">
        <x:v>12. Sınıf</x:v>
      </x:c>
      <x:c r="D253" s="37" t="str">
        <x:v>Fizik</x:v>
      </x:c>
      <x:c r="E253" s="37"/>
      <x:c r="F253" s="37" t="str">
        <x:v>Konu Anlatımlı</x:v>
      </x:c>
      <x:c r="G253" s="43" t="n">
        <x:v>338</x:v>
      </x:c>
      <x:c r="H253" s="46" t="str">
        <x:f>IF(SUMIFS('İndirimler'!$C$2:$C$110,'İndirimler'!$A$2:$A$110,B253,'İndirimler'!$B$2:$B$110,C253)&gt;0,ROUND(G253*(1-SUMIFS('İndirimler'!$C$2:$C$110,'İndirimler'!$A$2:$A$110,B253,'İndirimler'!$B$2:$B$110,C253)),2),"")</x:f>
      </x:c>
      <x:c r="I253" s="49" t="str">
        <x:f>IF(SUMIFS('İndirimler'!$D$2:$D$110,'İndirimler'!$A$2:$A$110,B253,'İndirimler'!$B$2:$B$110,C253)&gt;0,ROUND(G253*(1-SUMIFS('İndirimler'!$D$2:$D$110,'İndirimler'!$A$2:$A$110,B253,'İndirimler'!$B$2:$B$110,C253)),2),"")</x:f>
      </x:c>
      <x:c r="J253" s="37"/>
    </x:row>
    <x:row r="254" ht="22" customHeight="1">
      <x:c r="A254" s="40" t="str">
        <x:v>9786256142442</x:v>
      </x:c>
      <x:c r="B254" s="37" t="str">
        <x:v>Aydın</x:v>
      </x:c>
      <x:c r="C254" s="37" t="str">
        <x:v>Maarif TYT</x:v>
      </x:c>
      <x:c r="D254" s="37" t="str">
        <x:v>Fizik</x:v>
      </x:c>
      <x:c r="E254" s="37"/>
      <x:c r="F254" s="37" t="str">
        <x:v>Soru Bankası</x:v>
      </x:c>
      <x:c r="G254" s="43" t="n">
        <x:v>605</x:v>
      </x:c>
      <x:c r="H254" s="46" t="str">
        <x:f>IF(SUMIFS('İndirimler'!$C$2:$C$110,'İndirimler'!$A$2:$A$110,B254,'İndirimler'!$B$2:$B$110,C254)&gt;0,ROUND(G254*(1-SUMIFS('İndirimler'!$C$2:$C$110,'İndirimler'!$A$2:$A$110,B254,'İndirimler'!$B$2:$B$110,C254)),2),"")</x:f>
      </x:c>
      <x:c r="I254" s="49" t="str">
        <x:f>IF(SUMIFS('İndirimler'!$D$2:$D$110,'İndirimler'!$A$2:$A$110,B254,'İndirimler'!$B$2:$B$110,C254)&gt;0,ROUND(G254*(1-SUMIFS('İndirimler'!$D$2:$D$110,'İndirimler'!$A$2:$A$110,B254,'İndirimler'!$B$2:$B$110,C254)),2),"")</x:f>
      </x:c>
      <x:c r="J254" s="37"/>
    </x:row>
    <x:row r="255" ht="22" customHeight="1">
      <x:c r="A255" s="40" t="str">
        <x:v>9786256712621</x:v>
      </x:c>
      <x:c r="B255" s="37" t="str">
        <x:v>Bilgi Sarmal Yayınları</x:v>
      </x:c>
      <x:c r="C255" s="37" t="str">
        <x:v>Maarif TYT</x:v>
      </x:c>
      <x:c r="D255" s="37" t="str">
        <x:v>Fizik</x:v>
      </x:c>
      <x:c r="E255" s="37"/>
      <x:c r="F255" s="37" t="str">
        <x:v>Soru Bankası</x:v>
      </x:c>
      <x:c r="G255" s="43" t="n">
        <x:v>499</x:v>
      </x:c>
      <x:c r="H255" s="46" t="str">
        <x:f>IF(SUMIFS('İndirimler'!$C$2:$C$110,'İndirimler'!$A$2:$A$110,B255,'İndirimler'!$B$2:$B$110,C255)&gt;0,ROUND(G255*(1-SUMIFS('İndirimler'!$C$2:$C$110,'İndirimler'!$A$2:$A$110,B255,'İndirimler'!$B$2:$B$110,C255)),2),"")</x:f>
      </x:c>
      <x:c r="I255" s="49" t="str">
        <x:f>IF(SUMIFS('İndirimler'!$D$2:$D$110,'İndirimler'!$A$2:$A$110,B255,'İndirimler'!$B$2:$B$110,C255)&gt;0,ROUND(G255*(1-SUMIFS('İndirimler'!$D$2:$D$110,'İndirimler'!$A$2:$A$110,B255,'İndirimler'!$B$2:$B$110,C255)),2),"")</x:f>
      </x:c>
      <x:c r="J255" s="37"/>
    </x:row>
    <x:row r="256" ht="22" customHeight="1">
      <x:c r="A256" s="40" t="str">
        <x:v>ORNEK00000284</x:v>
      </x:c>
      <x:c r="B256" s="37" t="str">
        <x:v>Egzersiz Yayınları</x:v>
      </x:c>
      <x:c r="C256" s="37" t="str">
        <x:v>Maarif TYT</x:v>
      </x:c>
      <x:c r="D256" s="37" t="str">
        <x:v>Fizik</x:v>
      </x:c>
      <x:c r="E256" s="37"/>
      <x:c r="F256" s="37" t="str">
        <x:v>Soru Bankası</x:v>
      </x:c>
      <x:c r="G256" s="43" t="n">
        <x:v>500</x:v>
      </x:c>
      <x:c r="H256" s="46" t="str">
        <x:f>IF(SUMIFS('İndirimler'!$C$2:$C$110,'İndirimler'!$A$2:$A$110,B256,'İndirimler'!$B$2:$B$110,C256)&gt;0,ROUND(G256*(1-SUMIFS('İndirimler'!$C$2:$C$110,'İndirimler'!$A$2:$A$110,B256,'İndirimler'!$B$2:$B$110,C256)),2),"")</x:f>
      </x:c>
      <x:c r="I256" s="49" t="str">
        <x:f>IF(SUMIFS('İndirimler'!$D$2:$D$110,'İndirimler'!$A$2:$A$110,B256,'İndirimler'!$B$2:$B$110,C256)&gt;0,ROUND(G256*(1-SUMIFS('İndirimler'!$D$2:$D$110,'İndirimler'!$A$2:$A$110,B256,'İndirimler'!$B$2:$B$110,C256)),2),"")</x:f>
      </x:c>
      <x:c r="J256" s="37"/>
    </x:row>
    <x:row r="257" ht="22" customHeight="1">
      <x:c r="A257" s="40" t="str">
        <x:v>ORNEK00000086</x:v>
      </x:c>
      <x:c r="B257" s="37" t="str">
        <x:v>Fizik Pedia Yayınları</x:v>
      </x:c>
      <x:c r="C257" s="37" t="str">
        <x:v>Maarif TYT</x:v>
      </x:c>
      <x:c r="D257" s="37" t="str">
        <x:v>Fizik</x:v>
      </x:c>
      <x:c r="E257" s="37"/>
      <x:c r="F257" s="37" t="str">
        <x:v>Soru Bankası</x:v>
      </x:c>
      <x:c r="G257" s="43" t="n">
        <x:v>500</x:v>
      </x:c>
      <x:c r="H257" s="46" t="str">
        <x:f>IF(SUMIFS('İndirimler'!$C$2:$C$110,'İndirimler'!$A$2:$A$110,B257,'İndirimler'!$B$2:$B$110,C257)&gt;0,ROUND(G257*(1-SUMIFS('İndirimler'!$C$2:$C$110,'İndirimler'!$A$2:$A$110,B257,'İndirimler'!$B$2:$B$110,C257)),2),"")</x:f>
      </x:c>
      <x:c r="I257" s="49" t="str">
        <x:f>IF(SUMIFS('İndirimler'!$D$2:$D$110,'İndirimler'!$A$2:$A$110,B257,'İndirimler'!$B$2:$B$110,C257)&gt;0,ROUND(G257*(1-SUMIFS('İndirimler'!$D$2:$D$110,'İndirimler'!$A$2:$A$110,B257,'İndirimler'!$B$2:$B$110,C257)),2),"")</x:f>
      </x:c>
      <x:c r="J257" s="37"/>
    </x:row>
    <x:row r="258" ht="22" customHeight="1">
      <x:c r="A258" s="40" t="str">
        <x:v>9786052758915</x:v>
      </x:c>
      <x:c r="B258" s="37" t="str">
        <x:v>Limit</x:v>
      </x:c>
      <x:c r="C258" s="37" t="str">
        <x:v>Maarif TYT</x:v>
      </x:c>
      <x:c r="D258" s="37" t="str">
        <x:v>Fizik</x:v>
      </x:c>
      <x:c r="E258" s="37"/>
      <x:c r="F258" s="37" t="str">
        <x:v>Soru Bankası</x:v>
      </x:c>
      <x:c r="G258" s="43" t="n">
        <x:v>478</x:v>
      </x:c>
      <x:c r="H258" s="46" t="str">
        <x:f>IF(SUMIFS('İndirimler'!$C$2:$C$110,'İndirimler'!$A$2:$A$110,B258,'İndirimler'!$B$2:$B$110,C258)&gt;0,ROUND(G258*(1-SUMIFS('İndirimler'!$C$2:$C$110,'İndirimler'!$A$2:$A$110,B258,'İndirimler'!$B$2:$B$110,C258)),2),"")</x:f>
      </x:c>
      <x:c r="I258" s="49" t="str">
        <x:f>IF(SUMIFS('İndirimler'!$D$2:$D$110,'İndirimler'!$A$2:$A$110,B258,'İndirimler'!$B$2:$B$110,C258)&gt;0,ROUND(G258*(1-SUMIFS('İndirimler'!$D$2:$D$110,'İndirimler'!$A$2:$A$110,B258,'İndirimler'!$B$2:$B$110,C258)),2),"")</x:f>
      </x:c>
      <x:c r="J258" s="37"/>
    </x:row>
    <x:row r="259" ht="22" customHeight="1">
      <x:c r="A259" s="40" t="str">
        <x:v>ORNEK00000258</x:v>
      </x:c>
      <x:c r="B259" s="37" t="str">
        <x:v>Mikro Orijinal Yayınları</x:v>
      </x:c>
      <x:c r="C259" s="37" t="str">
        <x:v>Maarif TYT</x:v>
      </x:c>
      <x:c r="D259" s="37" t="str">
        <x:v>Fizik</x:v>
      </x:c>
      <x:c r="E259" s="37" t="str">
        <x:v>Mikro</x:v>
      </x:c>
      <x:c r="F259" s="37" t="str">
        <x:v>Soru Bankası</x:v>
      </x:c>
      <x:c r="G259" s="43" t="n">
        <x:v>500</x:v>
      </x:c>
      <x:c r="H259" s="46" t="str">
        <x:f>IF(SUMIFS('İndirimler'!$C$2:$C$110,'İndirimler'!$A$2:$A$110,B259,'İndirimler'!$B$2:$B$110,C259)&gt;0,ROUND(G259*(1-SUMIFS('İndirimler'!$C$2:$C$110,'İndirimler'!$A$2:$A$110,B259,'İndirimler'!$B$2:$B$110,C259)),2),"")</x:f>
      </x:c>
      <x:c r="I259" s="49" t="str">
        <x:f>IF(SUMIFS('İndirimler'!$D$2:$D$110,'İndirimler'!$A$2:$A$110,B259,'İndirimler'!$B$2:$B$110,C259)&gt;0,ROUND(G259*(1-SUMIFS('İndirimler'!$D$2:$D$110,'İndirimler'!$A$2:$A$110,B259,'İndirimler'!$B$2:$B$110,C259)),2),"")</x:f>
      </x:c>
      <x:c r="J259" s="37"/>
    </x:row>
    <x:row r="260" ht="22" customHeight="1">
      <x:c r="A260" s="40" t="str">
        <x:v>9786256142473</x:v>
      </x:c>
      <x:c r="B260" s="37" t="str">
        <x:v>Miray</x:v>
      </x:c>
      <x:c r="C260" s="37" t="str">
        <x:v>Maarif TYT</x:v>
      </x:c>
      <x:c r="D260" s="37" t="str">
        <x:v>Fizik</x:v>
      </x:c>
      <x:c r="E260" s="37"/>
      <x:c r="F260" s="37" t="str">
        <x:v>Soru Bankası</x:v>
      </x:c>
      <x:c r="G260" s="43" t="n">
        <x:v>504</x:v>
      </x:c>
      <x:c r="H260" s="46" t="str">
        <x:f>IF(SUMIFS('İndirimler'!$C$2:$C$110,'İndirimler'!$A$2:$A$110,B260,'İndirimler'!$B$2:$B$110,C260)&gt;0,ROUND(G260*(1-SUMIFS('İndirimler'!$C$2:$C$110,'İndirimler'!$A$2:$A$110,B260,'İndirimler'!$B$2:$B$110,C260)),2),"")</x:f>
      </x:c>
      <x:c r="I260" s="49" t="str">
        <x:f>IF(SUMIFS('İndirimler'!$D$2:$D$110,'İndirimler'!$A$2:$A$110,B260,'İndirimler'!$B$2:$B$110,C260)&gt;0,ROUND(G260*(1-SUMIFS('İndirimler'!$D$2:$D$110,'İndirimler'!$A$2:$A$110,B260,'İndirimler'!$B$2:$B$110,C260)),2),"")</x:f>
      </x:c>
      <x:c r="J260" s="37"/>
    </x:row>
    <x:row r="261" ht="22" customHeight="1">
      <x:c r="A261" s="40" t="str">
        <x:v>9786255708311</x:v>
      </x:c>
      <x:c r="B261" s="37" t="str">
        <x:v>Orijinal Matematik Yayınları</x:v>
      </x:c>
      <x:c r="C261" s="37" t="str">
        <x:v>Maarif TYT</x:v>
      </x:c>
      <x:c r="D261" s="37" t="str">
        <x:v>Fizik</x:v>
      </x:c>
      <x:c r="E261" s="37"/>
      <x:c r="F261" s="37" t="str">
        <x:v>Soru Bankası</x:v>
      </x:c>
      <x:c r="G261" s="43" t="n">
        <x:v>499</x:v>
      </x:c>
      <x:c r="H261" s="46" t="str">
        <x:f>IF(SUMIFS('İndirimler'!$C$2:$C$110,'İndirimler'!$A$2:$A$110,B261,'İndirimler'!$B$2:$B$110,C261)&gt;0,ROUND(G261*(1-SUMIFS('İndirimler'!$C$2:$C$110,'İndirimler'!$A$2:$A$110,B261,'İndirimler'!$B$2:$B$110,C261)),2),"")</x:f>
      </x:c>
      <x:c r="I261" s="49" t="str">
        <x:f>IF(SUMIFS('İndirimler'!$D$2:$D$110,'İndirimler'!$A$2:$A$110,B261,'İndirimler'!$B$2:$B$110,C261)&gt;0,ROUND(G261*(1-SUMIFS('İndirimler'!$D$2:$D$110,'İndirimler'!$A$2:$A$110,B261,'İndirimler'!$B$2:$B$110,C261)),2),"")</x:f>
      </x:c>
      <x:c r="J261" s="37"/>
    </x:row>
    <x:row r="262" ht="22" customHeight="1">
      <x:c r="A262" s="40" t="str">
        <x:v>ORNEK00000264</x:v>
      </x:c>
      <x:c r="B262" s="37" t="str">
        <x:v>Orijinal Matematik Yayınları</x:v>
      </x:c>
      <x:c r="C262" s="37" t="str">
        <x:v>Maarif TYT</x:v>
      </x:c>
      <x:c r="D262" s="37" t="str">
        <x:v>Fizik</x:v>
      </x:c>
      <x:c r="E262" s="37"/>
      <x:c r="F262" s="37" t="str">
        <x:v>Soru Bankası</x:v>
      </x:c>
      <x:c r="G262" s="43" t="n">
        <x:v>500</x:v>
      </x:c>
      <x:c r="H262" s="46" t="str">
        <x:f>IF(SUMIFS('İndirimler'!$C$2:$C$110,'İndirimler'!$A$2:$A$110,B262,'İndirimler'!$B$2:$B$110,C262)&gt;0,ROUND(G262*(1-SUMIFS('İndirimler'!$C$2:$C$110,'İndirimler'!$A$2:$A$110,B262,'İndirimler'!$B$2:$B$110,C262)),2),"")</x:f>
      </x:c>
      <x:c r="I262" s="49" t="str">
        <x:f>IF(SUMIFS('İndirimler'!$D$2:$D$110,'İndirimler'!$A$2:$A$110,B262,'İndirimler'!$B$2:$B$110,C262)&gt;0,ROUND(G262*(1-SUMIFS('İndirimler'!$D$2:$D$110,'İndirimler'!$A$2:$A$110,B262,'İndirimler'!$B$2:$B$110,C262)),2),"")</x:f>
      </x:c>
      <x:c r="J262" s="37"/>
    </x:row>
    <x:row r="263" ht="22" customHeight="1">
      <x:c r="A263" s="40" t="str">
        <x:v>9786259026329</x:v>
      </x:c>
      <x:c r="B263" s="37" t="str">
        <x:v>Çap Yayınları</x:v>
      </x:c>
      <x:c r="C263" s="37" t="str">
        <x:v>Maarif TYT</x:v>
      </x:c>
      <x:c r="D263" s="37" t="str">
        <x:v>Fizik</x:v>
      </x:c>
      <x:c r="E263" s="37" t="str">
        <x:v>Tematik</x:v>
      </x:c>
      <x:c r="F263" s="37" t="str">
        <x:v>Soru Bankası</x:v>
      </x:c>
      <x:c r="G263" s="43" t="n">
        <x:v>365</x:v>
      </x:c>
      <x:c r="H263" s="46" t="str">
        <x:f>IF(SUMIFS('İndirimler'!$C$2:$C$110,'İndirimler'!$A$2:$A$110,B263,'İndirimler'!$B$2:$B$110,C263)&gt;0,ROUND(G263*(1-SUMIFS('İndirimler'!$C$2:$C$110,'İndirimler'!$A$2:$A$110,B263,'İndirimler'!$B$2:$B$110,C263)),2),"")</x:f>
      </x:c>
      <x:c r="I263" s="49" t="str">
        <x:f>IF(SUMIFS('İndirimler'!$D$2:$D$110,'İndirimler'!$A$2:$A$110,B263,'İndirimler'!$B$2:$B$110,C263)&gt;0,ROUND(G263*(1-SUMIFS('İndirimler'!$D$2:$D$110,'İndirimler'!$A$2:$A$110,B263,'İndirimler'!$B$2:$B$110,C263)),2),"")</x:f>
      </x:c>
      <x:c r="J263" s="37"/>
    </x:row>
    <x:row r="264" ht="22" customHeight="1">
      <x:c r="A264" s="40" t="str">
        <x:v>9786259534169</x:v>
      </x:c>
      <x:c r="B264" s="37" t="str">
        <x:v>Orbital Yayınları</x:v>
      </x:c>
      <x:c r="C264" s="37" t="str">
        <x:v>9. Sınıf</x:v>
      </x:c>
      <x:c r="D264" s="37" t="str">
        <x:v>Kimya</x:v>
      </x:c>
      <x:c r="E264" s="37" t="str">
        <x:v>Odam</x:v>
      </x:c>
      <x:c r="F264" s="37" t="str">
        <x:v>Fasikül Set</x:v>
      </x:c>
      <x:c r="G264" s="43" t="n">
        <x:v>649</x:v>
      </x:c>
      <x:c r="H264" s="46" t="str">
        <x:f>IF(SUMIFS('İndirimler'!$C$2:$C$110,'İndirimler'!$A$2:$A$110,B264,'İndirimler'!$B$2:$B$110,C264)&gt;0,ROUND(G264*(1-SUMIFS('İndirimler'!$C$2:$C$110,'İndirimler'!$A$2:$A$110,B264,'İndirimler'!$B$2:$B$110,C264)),2),"")</x:f>
      </x:c>
      <x:c r="I264" s="49" t="str">
        <x:f>IF(SUMIFS('İndirimler'!$D$2:$D$110,'İndirimler'!$A$2:$A$110,B264,'İndirimler'!$B$2:$B$110,C264)&gt;0,ROUND(G264*(1-SUMIFS('İndirimler'!$D$2:$D$110,'İndirimler'!$A$2:$A$110,B264,'İndirimler'!$B$2:$B$110,C264)),2),"")</x:f>
      </x:c>
      <x:c r="J264" s="37"/>
    </x:row>
    <x:row r="265" ht="22" customHeight="1">
      <x:c r="A265" s="40" t="str">
        <x:v>9786259205724</x:v>
      </x:c>
      <x:c r="B265" s="37" t="str">
        <x:v>Ulti Yayınları</x:v>
      </x:c>
      <x:c r="C265" s="37" t="str">
        <x:v>9. Sınıf</x:v>
      </x:c>
      <x:c r="D265" s="37" t="str">
        <x:v>Kimya</x:v>
      </x:c>
      <x:c r="E265" s="37"/>
      <x:c r="F265" s="37" t="str">
        <x:v>Fasikül Set</x:v>
      </x:c>
      <x:c r="G265" s="43" t="n">
        <x:v>499</x:v>
      </x:c>
      <x:c r="H265" s="46" t="str">
        <x:f>IF(SUMIFS('İndirimler'!$C$2:$C$110,'İndirimler'!$A$2:$A$110,B265,'İndirimler'!$B$2:$B$110,C265)&gt;0,ROUND(G265*(1-SUMIFS('İndirimler'!$C$2:$C$110,'İndirimler'!$A$2:$A$110,B265,'İndirimler'!$B$2:$B$110,C265)),2),"")</x:f>
      </x:c>
      <x:c r="I265" s="49" t="str">
        <x:f>IF(SUMIFS('İndirimler'!$D$2:$D$110,'İndirimler'!$A$2:$A$110,B265,'İndirimler'!$B$2:$B$110,C265)&gt;0,ROUND(G265*(1-SUMIFS('İndirimler'!$D$2:$D$110,'İndirimler'!$A$2:$A$110,B265,'İndirimler'!$B$2:$B$110,C265)),2),"")</x:f>
      </x:c>
      <x:c r="J265" s="37"/>
    </x:row>
    <x:row r="266" ht="22" customHeight="1">
      <x:c r="A266" s="40" t="str">
        <x:v>9786256040472</x:v>
      </x:c>
      <x:c r="B266" s="37" t="str">
        <x:v>Çap Yayınları</x:v>
      </x:c>
      <x:c r="C266" s="37" t="str">
        <x:v>9. Sınıf</x:v>
      </x:c>
      <x:c r="D266" s="37" t="str">
        <x:v>Kimya</x:v>
      </x:c>
      <x:c r="E266" s="37"/>
      <x:c r="F266" s="37" t="str">
        <x:v>Fasikül Set</x:v>
      </x:c>
      <x:c r="G266" s="43" t="n">
        <x:v>615</x:v>
      </x:c>
      <x:c r="H266" s="46" t="str">
        <x:f>IF(SUMIFS('İndirimler'!$C$2:$C$110,'İndirimler'!$A$2:$A$110,B266,'İndirimler'!$B$2:$B$110,C266)&gt;0,ROUND(G266*(1-SUMIFS('İndirimler'!$C$2:$C$110,'İndirimler'!$A$2:$A$110,B266,'İndirimler'!$B$2:$B$110,C266)),2),"")</x:f>
      </x:c>
      <x:c r="I266" s="49" t="str">
        <x:f>IF(SUMIFS('İndirimler'!$D$2:$D$110,'İndirimler'!$A$2:$A$110,B266,'İndirimler'!$B$2:$B$110,C266)&gt;0,ROUND(G266*(1-SUMIFS('İndirimler'!$D$2:$D$110,'İndirimler'!$A$2:$A$110,B266,'İndirimler'!$B$2:$B$110,C266)),2),"")</x:f>
      </x:c>
      <x:c r="J266" s="37"/>
    </x:row>
    <x:row r="267" ht="22" customHeight="1">
      <x:c r="A267" s="40" t="str">
        <x:v>9786256142053</x:v>
      </x:c>
      <x:c r="B267" s="37" t="str">
        <x:v>Aydın</x:v>
      </x:c>
      <x:c r="C267" s="37" t="str">
        <x:v>9. Sınıf</x:v>
      </x:c>
      <x:c r="D267" s="37" t="str">
        <x:v>Kimya</x:v>
      </x:c>
      <x:c r="E267" s="37" t="str">
        <x:v>Ders İşleyiş Modülleri</x:v>
      </x:c>
      <x:c r="F267" s="37" t="str">
        <x:v>Konu Anlatımlı</x:v>
      </x:c>
      <x:c r="G267" s="43" t="n">
        <x:v>515</x:v>
      </x:c>
      <x:c r="H267" s="46" t="str">
        <x:f>IF(SUMIFS('İndirimler'!$C$2:$C$110,'İndirimler'!$A$2:$A$110,B267,'İndirimler'!$B$2:$B$110,C267)&gt;0,ROUND(G267*(1-SUMIFS('İndirimler'!$C$2:$C$110,'İndirimler'!$A$2:$A$110,B267,'İndirimler'!$B$2:$B$110,C267)),2),"")</x:f>
      </x:c>
      <x:c r="I267" s="49" t="str">
        <x:f>IF(SUMIFS('İndirimler'!$D$2:$D$110,'İndirimler'!$A$2:$A$110,B267,'İndirimler'!$B$2:$B$110,C267)&gt;0,ROUND(G267*(1-SUMIFS('İndirimler'!$D$2:$D$110,'İndirimler'!$A$2:$A$110,B267,'İndirimler'!$B$2:$B$110,C267)),2),"")</x:f>
      </x:c>
      <x:c r="J267" s="37"/>
    </x:row>
    <x:row r="268" ht="22" customHeight="1">
      <x:c r="A268" s="40" t="str">
        <x:v>ORNEK00000034</x:v>
      </x:c>
      <x:c r="B268" s="37" t="str">
        <x:v>Bilgi Sarmal Yayınları</x:v>
      </x:c>
      <x:c r="C268" s="37" t="str">
        <x:v>9. Sınıf</x:v>
      </x:c>
      <x:c r="D268" s="37" t="str">
        <x:v>Kimya</x:v>
      </x:c>
      <x:c r="E268" s="37" t="str">
        <x:v>Tema</x:v>
      </x:c>
      <x:c r="F268" s="37" t="str">
        <x:v>Konu Anlatımlı</x:v>
      </x:c>
      <x:c r="G268" s="43" t="n">
        <x:v>500</x:v>
      </x:c>
      <x:c r="H268" s="46" t="str">
        <x:f>IF(SUMIFS('İndirimler'!$C$2:$C$110,'İndirimler'!$A$2:$A$110,B268,'İndirimler'!$B$2:$B$110,C268)&gt;0,ROUND(G268*(1-SUMIFS('İndirimler'!$C$2:$C$110,'İndirimler'!$A$2:$A$110,B268,'İndirimler'!$B$2:$B$110,C268)),2),"")</x:f>
      </x:c>
      <x:c r="I268" s="49" t="str">
        <x:f>IF(SUMIFS('İndirimler'!$D$2:$D$110,'İndirimler'!$A$2:$A$110,B268,'İndirimler'!$B$2:$B$110,C268)&gt;0,ROUND(G268*(1-SUMIFS('İndirimler'!$D$2:$D$110,'İndirimler'!$A$2:$A$110,B268,'İndirimler'!$B$2:$B$110,C268)),2),"")</x:f>
      </x:c>
      <x:c r="J268" s="37"/>
    </x:row>
    <x:row r="269" ht="22" customHeight="1">
      <x:c r="A269" s="40" t="str">
        <x:v>9786256630444</x:v>
      </x:c>
      <x:c r="B269" s="37" t="str">
        <x:v>Eğitim Vadisi</x:v>
      </x:c>
      <x:c r="C269" s="37" t="str">
        <x:v>9. Sınıf</x:v>
      </x:c>
      <x:c r="D269" s="37" t="str">
        <x:v>Kimya</x:v>
      </x:c>
      <x:c r="E269" s="37" t="str">
        <x:v>TAK Tam Anlatım Kitabı</x:v>
      </x:c>
      <x:c r="F269" s="37" t="str">
        <x:v>Konu Anlatımlı</x:v>
      </x:c>
      <x:c r="G269" s="43" t="n">
        <x:v>376</x:v>
      </x:c>
      <x:c r="H269" s="46" t="str">
        <x:f>IF(SUMIFS('İndirimler'!$C$2:$C$110,'İndirimler'!$A$2:$A$110,B269,'İndirimler'!$B$2:$B$110,C269)&gt;0,ROUND(G269*(1-SUMIFS('İndirimler'!$C$2:$C$110,'İndirimler'!$A$2:$A$110,B269,'İndirimler'!$B$2:$B$110,C269)),2),"")</x:f>
      </x:c>
      <x:c r="I269" s="49" t="str">
        <x:f>IF(SUMIFS('İndirimler'!$D$2:$D$110,'İndirimler'!$A$2:$A$110,B269,'İndirimler'!$B$2:$B$110,C269)&gt;0,ROUND(G269*(1-SUMIFS('İndirimler'!$D$2:$D$110,'İndirimler'!$A$2:$A$110,B269,'İndirimler'!$B$2:$B$110,C269)),2),"")</x:f>
      </x:c>
      <x:c r="J269" s="37" t="str">
        <x:v>https://app.karakok.net/spShowFlip/1548</x:v>
      </x:c>
    </x:row>
    <x:row r="270" ht="22" customHeight="1">
      <x:c r="A270" s="40" t="str">
        <x:v>9786052756652</x:v>
      </x:c>
      <x:c r="B270" s="37" t="str">
        <x:v>Limit</x:v>
      </x:c>
      <x:c r="C270" s="37" t="str">
        <x:v>9. Sınıf</x:v>
      </x:c>
      <x:c r="D270" s="37" t="str">
        <x:v>Kimya</x:v>
      </x:c>
      <x:c r="E270" s="37"/>
      <x:c r="F270" s="37" t="str">
        <x:v>Konu Anlatımlı</x:v>
      </x:c>
      <x:c r="G270" s="43" t="n">
        <x:v>548</x:v>
      </x:c>
      <x:c r="H270" s="46" t="str">
        <x:f>IF(SUMIFS('İndirimler'!$C$2:$C$110,'İndirimler'!$A$2:$A$110,B270,'İndirimler'!$B$2:$B$110,C270)&gt;0,ROUND(G270*(1-SUMIFS('İndirimler'!$C$2:$C$110,'İndirimler'!$A$2:$A$110,B270,'İndirimler'!$B$2:$B$110,C270)),2),"")</x:f>
      </x:c>
      <x:c r="I270" s="49" t="str">
        <x:f>IF(SUMIFS('İndirimler'!$D$2:$D$110,'İndirimler'!$A$2:$A$110,B270,'İndirimler'!$B$2:$B$110,C270)&gt;0,ROUND(G270*(1-SUMIFS('İndirimler'!$D$2:$D$110,'İndirimler'!$A$2:$A$110,B270,'İndirimler'!$B$2:$B$110,C270)),2),"")</x:f>
      </x:c>
      <x:c r="J270" s="37"/>
    </x:row>
    <x:row r="271" ht="22" customHeight="1">
      <x:c r="A271" s="40" t="str">
        <x:v>9786256412743</x:v>
      </x:c>
      <x:c r="B271" s="37" t="str">
        <x:v>Miray</x:v>
      </x:c>
      <x:c r="C271" s="37" t="str">
        <x:v>9. Sınıf</x:v>
      </x:c>
      <x:c r="D271" s="37" t="str">
        <x:v>Kimya</x:v>
      </x:c>
      <x:c r="E271" s="37" t="str">
        <x:v>Ders Anlatım Fasikülleri</x:v>
      </x:c>
      <x:c r="F271" s="37" t="str">
        <x:v>Konu Anlatımlı</x:v>
      </x:c>
      <x:c r="G271" s="43" t="n">
        <x:v>720</x:v>
      </x:c>
      <x:c r="H271" s="46" t="str">
        <x:f>IF(SUMIFS('İndirimler'!$C$2:$C$110,'İndirimler'!$A$2:$A$110,B271,'İndirimler'!$B$2:$B$110,C271)&gt;0,ROUND(G271*(1-SUMIFS('İndirimler'!$C$2:$C$110,'İndirimler'!$A$2:$A$110,B271,'İndirimler'!$B$2:$B$110,C271)),2),"")</x:f>
      </x:c>
      <x:c r="I271" s="49" t="str">
        <x:f>IF(SUMIFS('İndirimler'!$D$2:$D$110,'İndirimler'!$A$2:$A$110,B271,'İndirimler'!$B$2:$B$110,C271)&gt;0,ROUND(G271*(1-SUMIFS('İndirimler'!$D$2:$D$110,'İndirimler'!$A$2:$A$110,B271,'İndirimler'!$B$2:$B$110,C271)),2),"")</x:f>
      </x:c>
      <x:c r="J271" s="37"/>
    </x:row>
    <x:row r="272" ht="22" customHeight="1">
      <x:c r="A272" s="40" t="str">
        <x:v>ORNEK00000101</x:v>
      </x:c>
      <x:c r="B272" s="37" t="str">
        <x:v>Oktet Yayınları</x:v>
      </x:c>
      <x:c r="C272" s="37" t="str">
        <x:v>9. Sınıf</x:v>
      </x:c>
      <x:c r="D272" s="37" t="str">
        <x:v>Kimya</x:v>
      </x:c>
      <x:c r="E272" s="37"/>
      <x:c r="F272" s="37" t="str">
        <x:v>Konu Anlatımlı</x:v>
      </x:c>
      <x:c r="G272" s="43" t="n">
        <x:v>500</x:v>
      </x:c>
      <x:c r="H272" s="46" t="str">
        <x:f>IF(SUMIFS('İndirimler'!$C$2:$C$110,'İndirimler'!$A$2:$A$110,B272,'İndirimler'!$B$2:$B$110,C272)&gt;0,ROUND(G272*(1-SUMIFS('İndirimler'!$C$2:$C$110,'İndirimler'!$A$2:$A$110,B272,'İndirimler'!$B$2:$B$110,C272)),2),"")</x:f>
      </x:c>
      <x:c r="I272" s="49" t="str">
        <x:f>IF(SUMIFS('İndirimler'!$D$2:$D$110,'İndirimler'!$A$2:$A$110,B272,'İndirimler'!$B$2:$B$110,C272)&gt;0,ROUND(G272*(1-SUMIFS('İndirimler'!$D$2:$D$110,'İndirimler'!$A$2:$A$110,B272,'İndirimler'!$B$2:$B$110,C272)),2),"")</x:f>
      </x:c>
      <x:c r="J272" s="37"/>
    </x:row>
    <x:row r="273" ht="22" customHeight="1">
      <x:c r="A273" s="40" t="str">
        <x:v>9786256921573</x:v>
      </x:c>
      <x:c r="B273" s="37" t="str">
        <x:v>4K</x:v>
      </x:c>
      <x:c r="C273" s="37" t="str">
        <x:v>9. Sınıf</x:v>
      </x:c>
      <x:c r="D273" s="37" t="str">
        <x:v>Kimya</x:v>
      </x:c>
      <x:c r="E273" s="37"/>
      <x:c r="F273" s="37" t="str">
        <x:v>Soru Bankası</x:v>
      </x:c>
      <x:c r="G273" s="43" t="n">
        <x:v>366</x:v>
      </x:c>
      <x:c r="H273" s="46" t="str">
        <x:f>IF(SUMIFS('İndirimler'!$C$2:$C$110,'İndirimler'!$A$2:$A$110,B273,'İndirimler'!$B$2:$B$110,C273)&gt;0,ROUND(G273*(1-SUMIFS('İndirimler'!$C$2:$C$110,'İndirimler'!$A$2:$A$110,B273,'İndirimler'!$B$2:$B$110,C273)),2),"")</x:f>
      </x:c>
      <x:c r="I273" s="49" t="str">
        <x:f>IF(SUMIFS('İndirimler'!$D$2:$D$110,'İndirimler'!$A$2:$A$110,B273,'İndirimler'!$B$2:$B$110,C273)&gt;0,ROUND(G273*(1-SUMIFS('İndirimler'!$D$2:$D$110,'İndirimler'!$A$2:$A$110,B273,'İndirimler'!$B$2:$B$110,C273)),2),"")</x:f>
      </x:c>
      <x:c r="J273" s="37" t="str">
        <x:v>https://app.karakok.net/spShowFlip/2142</x:v>
      </x:c>
    </x:row>
    <x:row r="274" ht="22" customHeight="1">
      <x:c r="A274" s="40" t="str">
        <x:v>9786256412675</x:v>
      </x:c>
      <x:c r="B274" s="37" t="str">
        <x:v>Aydın</x:v>
      </x:c>
      <x:c r="C274" s="37" t="str">
        <x:v>9. Sınıf</x:v>
      </x:c>
      <x:c r="D274" s="37" t="str">
        <x:v>Kimya</x:v>
      </x:c>
      <x:c r="E274" s="37"/>
      <x:c r="F274" s="37" t="str">
        <x:v>Soru Bankası</x:v>
      </x:c>
      <x:c r="G274" s="43" t="n">
        <x:v>592</x:v>
      </x:c>
      <x:c r="H274" s="46" t="str">
        <x:f>IF(SUMIFS('İndirimler'!$C$2:$C$110,'İndirimler'!$A$2:$A$110,B274,'İndirimler'!$B$2:$B$110,C274)&gt;0,ROUND(G274*(1-SUMIFS('İndirimler'!$C$2:$C$110,'İndirimler'!$A$2:$A$110,B274,'İndirimler'!$B$2:$B$110,C274)),2),"")</x:f>
      </x:c>
      <x:c r="I274" s="49" t="str">
        <x:f>IF(SUMIFS('İndirimler'!$D$2:$D$110,'İndirimler'!$A$2:$A$110,B274,'İndirimler'!$B$2:$B$110,C274)&gt;0,ROUND(G274*(1-SUMIFS('İndirimler'!$D$2:$D$110,'İndirimler'!$A$2:$A$110,B274,'İndirimler'!$B$2:$B$110,C274)),2),"")</x:f>
      </x:c>
      <x:c r="J274" s="37"/>
    </x:row>
    <x:row r="275" ht="22" customHeight="1">
      <x:c r="A275" s="40" t="str">
        <x:v>9786259800929</x:v>
      </x:c>
      <x:c r="B275" s="37" t="str">
        <x:v>Bilgi Sarmal Yayınları</x:v>
      </x:c>
      <x:c r="C275" s="37" t="str">
        <x:v>9. Sınıf</x:v>
      </x:c>
      <x:c r="D275" s="37" t="str">
        <x:v>Kimya</x:v>
      </x:c>
      <x:c r="E275" s="37"/>
      <x:c r="F275" s="37" t="str">
        <x:v>Soru Bankası</x:v>
      </x:c>
      <x:c r="G275" s="43" t="n">
        <x:v>479</x:v>
      </x:c>
      <x:c r="H275" s="46" t="str">
        <x:f>IF(SUMIFS('İndirimler'!$C$2:$C$110,'İndirimler'!$A$2:$A$110,B275,'İndirimler'!$B$2:$B$110,C275)&gt;0,ROUND(G275*(1-SUMIFS('İndirimler'!$C$2:$C$110,'İndirimler'!$A$2:$A$110,B275,'İndirimler'!$B$2:$B$110,C275)),2),"")</x:f>
      </x:c>
      <x:c r="I275" s="49" t="str">
        <x:f>IF(SUMIFS('İndirimler'!$D$2:$D$110,'İndirimler'!$A$2:$A$110,B275,'İndirimler'!$B$2:$B$110,C275)&gt;0,ROUND(G275*(1-SUMIFS('İndirimler'!$D$2:$D$110,'İndirimler'!$A$2:$A$110,B275,'İndirimler'!$B$2:$B$110,C275)),2),"")</x:f>
      </x:c>
      <x:c r="J275" s="37"/>
    </x:row>
    <x:row r="276" ht="22" customHeight="1">
      <x:c r="A276" s="40" t="str">
        <x:v>9786256630505</x:v>
      </x:c>
      <x:c r="B276" s="37" t="str">
        <x:v>Eğitim Vadisi</x:v>
      </x:c>
      <x:c r="C276" s="37" t="str">
        <x:v>9. Sınıf</x:v>
      </x:c>
      <x:c r="D276" s="37" t="str">
        <x:v>Kimya</x:v>
      </x:c>
      <x:c r="E276" s="37" t="str">
        <x:v>TİK Tam İzleme Kitabı</x:v>
      </x:c>
      <x:c r="F276" s="37" t="str">
        <x:v>Soru Bankası</x:v>
      </x:c>
      <x:c r="G276" s="43" t="n">
        <x:v>274</x:v>
      </x:c>
      <x:c r="H276" s="46" t="str">
        <x:f>IF(SUMIFS('İndirimler'!$C$2:$C$110,'İndirimler'!$A$2:$A$110,B276,'İndirimler'!$B$2:$B$110,C276)&gt;0,ROUND(G276*(1-SUMIFS('İndirimler'!$C$2:$C$110,'İndirimler'!$A$2:$A$110,B276,'İndirimler'!$B$2:$B$110,C276)),2),"")</x:f>
      </x:c>
      <x:c r="I276" s="49" t="str">
        <x:f>IF(SUMIFS('İndirimler'!$D$2:$D$110,'İndirimler'!$A$2:$A$110,B276,'İndirimler'!$B$2:$B$110,C276)&gt;0,ROUND(G276*(1-SUMIFS('İndirimler'!$D$2:$D$110,'İndirimler'!$A$2:$A$110,B276,'İndirimler'!$B$2:$B$110,C276)),2),"")</x:f>
      </x:c>
      <x:c r="J276" s="37" t="str">
        <x:v>https://app.karakok.net/spShowFlip/1555</x:v>
      </x:c>
    </x:row>
    <x:row r="277" ht="22" customHeight="1">
      <x:c r="A277" s="40" t="str">
        <x:v>9786257532747</x:v>
      </x:c>
      <x:c r="B277" s="37" t="str">
        <x:v>Hız ve Renk Yayınları</x:v>
      </x:c>
      <x:c r="C277" s="37" t="str">
        <x:v>9. Sınıf</x:v>
      </x:c>
      <x:c r="D277" s="37" t="str">
        <x:v>Kimya</x:v>
      </x:c>
      <x:c r="E277" s="37" t="str">
        <x:v>HİT</x:v>
      </x:c>
      <x:c r="F277" s="37" t="str">
        <x:v>Soru Bankası</x:v>
      </x:c>
      <x:c r="G277" s="43" t="n">
        <x:v>475</x:v>
      </x:c>
      <x:c r="H277" s="46" t="str">
        <x:f>IF(SUMIFS('İndirimler'!$C$2:$C$110,'İndirimler'!$A$2:$A$110,B277,'İndirimler'!$B$2:$B$110,C277)&gt;0,ROUND(G277*(1-SUMIFS('İndirimler'!$C$2:$C$110,'İndirimler'!$A$2:$A$110,B277,'İndirimler'!$B$2:$B$110,C277)),2),"")</x:f>
      </x:c>
      <x:c r="I277" s="49" t="str">
        <x:f>IF(SUMIFS('İndirimler'!$D$2:$D$110,'İndirimler'!$A$2:$A$110,B277,'İndirimler'!$B$2:$B$110,C277)&gt;0,ROUND(G277*(1-SUMIFS('İndirimler'!$D$2:$D$110,'İndirimler'!$A$2:$A$110,B277,'İndirimler'!$B$2:$B$110,C277)),2),"")</x:f>
      </x:c>
      <x:c r="J277" s="37"/>
    </x:row>
    <x:row r="278" ht="22" customHeight="1">
      <x:c r="A278" s="40" t="str">
        <x:v>9786052756720</x:v>
      </x:c>
      <x:c r="B278" s="37" t="str">
        <x:v>Limit</x:v>
      </x:c>
      <x:c r="C278" s="37" t="str">
        <x:v>9. Sınıf</x:v>
      </x:c>
      <x:c r="D278" s="37" t="str">
        <x:v>Kimya</x:v>
      </x:c>
      <x:c r="E278" s="37"/>
      <x:c r="F278" s="37" t="str">
        <x:v>Soru Bankası</x:v>
      </x:c>
      <x:c r="G278" s="43" t="n">
        <x:v>548</x:v>
      </x:c>
      <x:c r="H278" s="46" t="str">
        <x:f>IF(SUMIFS('İndirimler'!$C$2:$C$110,'İndirimler'!$A$2:$A$110,B278,'İndirimler'!$B$2:$B$110,C278)&gt;0,ROUND(G278*(1-SUMIFS('İndirimler'!$C$2:$C$110,'İndirimler'!$A$2:$A$110,B278,'İndirimler'!$B$2:$B$110,C278)),2),"")</x:f>
      </x:c>
      <x:c r="I278" s="49" t="str">
        <x:f>IF(SUMIFS('İndirimler'!$D$2:$D$110,'İndirimler'!$A$2:$A$110,B278,'İndirimler'!$B$2:$B$110,C278)&gt;0,ROUND(G278*(1-SUMIFS('İndirimler'!$D$2:$D$110,'İndirimler'!$A$2:$A$110,B278,'İndirimler'!$B$2:$B$110,C278)),2),"")</x:f>
      </x:c>
      <x:c r="J278" s="37"/>
    </x:row>
    <x:row r="279" ht="22" customHeight="1">
      <x:c r="A279" s="40" t="str">
        <x:v>9786256412750</x:v>
      </x:c>
      <x:c r="B279" s="37" t="str">
        <x:v>Miray</x:v>
      </x:c>
      <x:c r="C279" s="37" t="str">
        <x:v>9. Sınıf</x:v>
      </x:c>
      <x:c r="D279" s="37" t="str">
        <x:v>Kimya</x:v>
      </x:c>
      <x:c r="E279" s="37" t="str">
        <x:v>Tematik</x:v>
      </x:c>
      <x:c r="F279" s="37" t="str">
        <x:v>Soru Bankası</x:v>
      </x:c>
      <x:c r="G279" s="43" t="n">
        <x:v>510</x:v>
      </x:c>
      <x:c r="H279" s="46" t="str">
        <x:f>IF(SUMIFS('İndirimler'!$C$2:$C$110,'İndirimler'!$A$2:$A$110,B279,'İndirimler'!$B$2:$B$110,C279)&gt;0,ROUND(G279*(1-SUMIFS('İndirimler'!$C$2:$C$110,'İndirimler'!$A$2:$A$110,B279,'İndirimler'!$B$2:$B$110,C279)),2),"")</x:f>
      </x:c>
      <x:c r="I279" s="49" t="str">
        <x:f>IF(SUMIFS('İndirimler'!$D$2:$D$110,'İndirimler'!$A$2:$A$110,B279,'İndirimler'!$B$2:$B$110,C279)&gt;0,ROUND(G279*(1-SUMIFS('İndirimler'!$D$2:$D$110,'İndirimler'!$A$2:$A$110,B279,'İndirimler'!$B$2:$B$110,C279)),2),"")</x:f>
      </x:c>
      <x:c r="J279" s="37"/>
    </x:row>
    <x:row r="280" ht="22" customHeight="1">
      <x:c r="A280" s="40" t="str">
        <x:v>9786259534107</x:v>
      </x:c>
      <x:c r="B280" s="37" t="str">
        <x:v>Orbital Yayınları</x:v>
      </x:c>
      <x:c r="C280" s="37" t="str">
        <x:v>9. Sınıf</x:v>
      </x:c>
      <x:c r="D280" s="37" t="str">
        <x:v>Kimya</x:v>
      </x:c>
      <x:c r="E280" s="37"/>
      <x:c r="F280" s="37" t="str">
        <x:v>Soru Bankası</x:v>
      </x:c>
      <x:c r="G280" s="43" t="n">
        <x:v>449</x:v>
      </x:c>
      <x:c r="H280" s="46" t="str">
        <x:f>IF(SUMIFS('İndirimler'!$C$2:$C$110,'İndirimler'!$A$2:$A$110,B280,'İndirimler'!$B$2:$B$110,C280)&gt;0,ROUND(G280*(1-SUMIFS('İndirimler'!$C$2:$C$110,'İndirimler'!$A$2:$A$110,B280,'İndirimler'!$B$2:$B$110,C280)),2),"")</x:f>
      </x:c>
      <x:c r="I280" s="49" t="str">
        <x:f>IF(SUMIFS('İndirimler'!$D$2:$D$110,'İndirimler'!$A$2:$A$110,B280,'İndirimler'!$B$2:$B$110,C280)&gt;0,ROUND(G280*(1-SUMIFS('İndirimler'!$D$2:$D$110,'İndirimler'!$A$2:$A$110,B280,'İndirimler'!$B$2:$B$110,C280)),2),"")</x:f>
      </x:c>
      <x:c r="J280" s="37"/>
    </x:row>
    <x:row r="281" ht="22" customHeight="1">
      <x:c r="A281" s="40" t="str">
        <x:v>9786256040588</x:v>
      </x:c>
      <x:c r="B281" s="37" t="str">
        <x:v>Çap Yayınları</x:v>
      </x:c>
      <x:c r="C281" s="37" t="str">
        <x:v>9. Sınıf</x:v>
      </x:c>
      <x:c r="D281" s="37" t="str">
        <x:v>Kimya</x:v>
      </x:c>
      <x:c r="E281" s="37" t="str">
        <x:v>Tematik</x:v>
      </x:c>
      <x:c r="F281" s="37" t="str">
        <x:v>Soru Bankası</x:v>
      </x:c>
      <x:c r="G281" s="43" t="n">
        <x:v>345</x:v>
      </x:c>
      <x:c r="H281" s="46" t="str">
        <x:f>IF(SUMIFS('İndirimler'!$C$2:$C$110,'İndirimler'!$A$2:$A$110,B281,'İndirimler'!$B$2:$B$110,C281)&gt;0,ROUND(G281*(1-SUMIFS('İndirimler'!$C$2:$C$110,'İndirimler'!$A$2:$A$110,B281,'İndirimler'!$B$2:$B$110,C281)),2),"")</x:f>
      </x:c>
      <x:c r="I281" s="49" t="str">
        <x:f>IF(SUMIFS('İndirimler'!$D$2:$D$110,'İndirimler'!$A$2:$A$110,B281,'İndirimler'!$B$2:$B$110,C281)&gt;0,ROUND(G281*(1-SUMIFS('İndirimler'!$D$2:$D$110,'İndirimler'!$A$2:$A$110,B281,'İndirimler'!$B$2:$B$110,C281)),2),"")</x:f>
      </x:c>
      <x:c r="J281" s="37"/>
    </x:row>
    <x:row r="282" ht="22" customHeight="1">
      <x:c r="A282" s="40" t="str">
        <x:v>9786258160840</x:v>
      </x:c>
      <x:c r="B282" s="37" t="str">
        <x:v>ENS Yayınları</x:v>
      </x:c>
      <x:c r="C282" s="37" t="str">
        <x:v>9. Sınıf</x:v>
      </x:c>
      <x:c r="D282" s="37" t="str">
        <x:v>Kimya</x:v>
      </x:c>
      <x:c r="E282" s="37"/>
      <x:c r="F282" s="37" t="str">
        <x:v>Etkinlik Kitabı</x:v>
      </x:c>
      <x:c r="G282" s="43" t="n">
        <x:v>409</x:v>
      </x:c>
      <x:c r="H282" s="46" t="str">
        <x:f>IF(SUMIFS('İndirimler'!$C$2:$C$110,'İndirimler'!$A$2:$A$110,B282,'İndirimler'!$B$2:$B$110,C282)&gt;0,ROUND(G282*(1-SUMIFS('İndirimler'!$C$2:$C$110,'İndirimler'!$A$2:$A$110,B282,'İndirimler'!$B$2:$B$110,C282)),2),"")</x:f>
      </x:c>
      <x:c r="I282" s="49" t="str">
        <x:f>IF(SUMIFS('İndirimler'!$D$2:$D$110,'İndirimler'!$A$2:$A$110,B282,'İndirimler'!$B$2:$B$110,C282)&gt;0,ROUND(G282*(1-SUMIFS('İndirimler'!$D$2:$D$110,'İndirimler'!$A$2:$A$110,B282,'İndirimler'!$B$2:$B$110,C282)),2),"")</x:f>
      </x:c>
      <x:c r="J282" s="37"/>
    </x:row>
    <x:row r="283" ht="22" customHeight="1">
      <x:c r="A283" s="40" t="str">
        <x:v>9786259677828</x:v>
      </x:c>
      <x:c r="B283" s="37" t="str">
        <x:v>Orbital Yayınları</x:v>
      </x:c>
      <x:c r="C283" s="37" t="str">
        <x:v>10. Sınıf</x:v>
      </x:c>
      <x:c r="D283" s="37" t="str">
        <x:v>Kimya</x:v>
      </x:c>
      <x:c r="E283" s="37" t="str">
        <x:v>Odam</x:v>
      </x:c>
      <x:c r="F283" s="37" t="str">
        <x:v>Fasikül Set</x:v>
      </x:c>
      <x:c r="G283" s="43" t="n">
        <x:v>625</x:v>
      </x:c>
      <x:c r="H283" s="46" t="str">
        <x:f>IF(SUMIFS('İndirimler'!$C$2:$C$110,'İndirimler'!$A$2:$A$110,B283,'İndirimler'!$B$2:$B$110,C283)&gt;0,ROUND(G283*(1-SUMIFS('İndirimler'!$C$2:$C$110,'İndirimler'!$A$2:$A$110,B283,'İndirimler'!$B$2:$B$110,C283)),2),"")</x:f>
      </x:c>
      <x:c r="I283" s="49" t="str">
        <x:f>IF(SUMIFS('İndirimler'!$D$2:$D$110,'İndirimler'!$A$2:$A$110,B283,'İndirimler'!$B$2:$B$110,C283)&gt;0,ROUND(G283*(1-SUMIFS('İndirimler'!$D$2:$D$110,'İndirimler'!$A$2:$A$110,B283,'İndirimler'!$B$2:$B$110,C283)),2),"")</x:f>
      </x:c>
      <x:c r="J283" s="37"/>
    </x:row>
    <x:row r="284" ht="22" customHeight="1">
      <x:c r="A284" s="40" t="str">
        <x:v>9786259205717</x:v>
      </x:c>
      <x:c r="B284" s="37" t="str">
        <x:v>Ulti Yayınları</x:v>
      </x:c>
      <x:c r="C284" s="37" t="str">
        <x:v>10. Sınıf</x:v>
      </x:c>
      <x:c r="D284" s="37" t="str">
        <x:v>Kimya</x:v>
      </x:c>
      <x:c r="E284" s="37"/>
      <x:c r="F284" s="37" t="str">
        <x:v>Fasikül Set</x:v>
      </x:c>
      <x:c r="G284" s="43" t="n">
        <x:v>499</x:v>
      </x:c>
      <x:c r="H284" s="46" t="str">
        <x:f>IF(SUMIFS('İndirimler'!$C$2:$C$110,'İndirimler'!$A$2:$A$110,B284,'İndirimler'!$B$2:$B$110,C284)&gt;0,ROUND(G284*(1-SUMIFS('İndirimler'!$C$2:$C$110,'İndirimler'!$A$2:$A$110,B284,'İndirimler'!$B$2:$B$110,C284)),2),"")</x:f>
      </x:c>
      <x:c r="I284" s="49" t="str">
        <x:f>IF(SUMIFS('İndirimler'!$D$2:$D$110,'İndirimler'!$A$2:$A$110,B284,'İndirimler'!$B$2:$B$110,C284)&gt;0,ROUND(G284*(1-SUMIFS('İndirimler'!$D$2:$D$110,'İndirimler'!$A$2:$A$110,B284,'İndirimler'!$B$2:$B$110,C284)),2),"")</x:f>
      </x:c>
      <x:c r="J284" s="37"/>
    </x:row>
    <x:row r="285" ht="22" customHeight="1">
      <x:c r="A285" s="40" t="str">
        <x:v>9786256040984</x:v>
      </x:c>
      <x:c r="B285" s="37" t="str">
        <x:v>Çap Yayınları</x:v>
      </x:c>
      <x:c r="C285" s="37" t="str">
        <x:v>10. Sınıf</x:v>
      </x:c>
      <x:c r="D285" s="37" t="str">
        <x:v>Kimya</x:v>
      </x:c>
      <x:c r="E285" s="37"/>
      <x:c r="F285" s="37" t="str">
        <x:v>Fasikül Set</x:v>
      </x:c>
      <x:c r="G285" s="43" t="n">
        <x:v>635</x:v>
      </x:c>
      <x:c r="H285" s="46" t="str">
        <x:f>IF(SUMIFS('İndirimler'!$C$2:$C$110,'İndirimler'!$A$2:$A$110,B285,'İndirimler'!$B$2:$B$110,C285)&gt;0,ROUND(G285*(1-SUMIFS('İndirimler'!$C$2:$C$110,'İndirimler'!$A$2:$A$110,B285,'İndirimler'!$B$2:$B$110,C285)),2),"")</x:f>
      </x:c>
      <x:c r="I285" s="49" t="str">
        <x:f>IF(SUMIFS('İndirimler'!$D$2:$D$110,'İndirimler'!$A$2:$A$110,B285,'İndirimler'!$B$2:$B$110,C285)&gt;0,ROUND(G285*(1-SUMIFS('İndirimler'!$D$2:$D$110,'İndirimler'!$A$2:$A$110,B285,'İndirimler'!$B$2:$B$110,C285)),2),"")</x:f>
      </x:c>
      <x:c r="J285" s="37"/>
    </x:row>
    <x:row r="286" ht="22" customHeight="1">
      <x:c r="A286" s="40" t="str">
        <x:v>9786256142060</x:v>
      </x:c>
      <x:c r="B286" s="37" t="str">
        <x:v>Aydın</x:v>
      </x:c>
      <x:c r="C286" s="37" t="str">
        <x:v>10. Sınıf</x:v>
      </x:c>
      <x:c r="D286" s="37" t="str">
        <x:v>Kimya</x:v>
      </x:c>
      <x:c r="E286" s="37" t="str">
        <x:v>Ders İşleyiş Modülleri</x:v>
      </x:c>
      <x:c r="F286" s="37" t="str">
        <x:v>Konu Anlatımlı</x:v>
      </x:c>
      <x:c r="G286" s="43" t="n">
        <x:v>552</x:v>
      </x:c>
      <x:c r="H286" s="46" t="str">
        <x:f>IF(SUMIFS('İndirimler'!$C$2:$C$110,'İndirimler'!$A$2:$A$110,B286,'İndirimler'!$B$2:$B$110,C286)&gt;0,ROUND(G286*(1-SUMIFS('İndirimler'!$C$2:$C$110,'İndirimler'!$A$2:$A$110,B286,'İndirimler'!$B$2:$B$110,C286)),2),"")</x:f>
      </x:c>
      <x:c r="I286" s="49" t="str">
        <x:f>IF(SUMIFS('İndirimler'!$D$2:$D$110,'İndirimler'!$A$2:$A$110,B286,'İndirimler'!$B$2:$B$110,C286)&gt;0,ROUND(G286*(1-SUMIFS('İndirimler'!$D$2:$D$110,'İndirimler'!$A$2:$A$110,B286,'İndirimler'!$B$2:$B$110,C286)),2),"")</x:f>
      </x:c>
      <x:c r="J286" s="37"/>
    </x:row>
    <x:row r="287" ht="22" customHeight="1">
      <x:c r="A287" s="40" t="str">
        <x:v>ORNEK00000038</x:v>
      </x:c>
      <x:c r="B287" s="37" t="str">
        <x:v>Bilgi Sarmal Yayınları</x:v>
      </x:c>
      <x:c r="C287" s="37" t="str">
        <x:v>10. Sınıf</x:v>
      </x:c>
      <x:c r="D287" s="37" t="str">
        <x:v>Kimya</x:v>
      </x:c>
      <x:c r="E287" s="37" t="str">
        <x:v>Tema</x:v>
      </x:c>
      <x:c r="F287" s="37" t="str">
        <x:v>Konu Anlatımlı</x:v>
      </x:c>
      <x:c r="G287" s="43" t="n">
        <x:v>500</x:v>
      </x:c>
      <x:c r="H287" s="46" t="str">
        <x:f>IF(SUMIFS('İndirimler'!$C$2:$C$110,'İndirimler'!$A$2:$A$110,B287,'İndirimler'!$B$2:$B$110,C287)&gt;0,ROUND(G287*(1-SUMIFS('İndirimler'!$C$2:$C$110,'İndirimler'!$A$2:$A$110,B287,'İndirimler'!$B$2:$B$110,C287)),2),"")</x:f>
      </x:c>
      <x:c r="I287" s="49" t="str">
        <x:f>IF(SUMIFS('İndirimler'!$D$2:$D$110,'İndirimler'!$A$2:$A$110,B287,'İndirimler'!$B$2:$B$110,C287)&gt;0,ROUND(G287*(1-SUMIFS('İndirimler'!$D$2:$D$110,'İndirimler'!$A$2:$A$110,B287,'İndirimler'!$B$2:$B$110,C287)),2),"")</x:f>
      </x:c>
      <x:c r="J287" s="37"/>
    </x:row>
    <x:row r="288" ht="22" customHeight="1">
      <x:c r="A288" s="40" t="str">
        <x:v>9786256457577</x:v>
      </x:c>
      <x:c r="B288" s="37" t="str">
        <x:v>Eğitim Vadisi</x:v>
      </x:c>
      <x:c r="C288" s="37" t="str">
        <x:v>10. Sınıf</x:v>
      </x:c>
      <x:c r="D288" s="37" t="str">
        <x:v>Kimya</x:v>
      </x:c>
      <x:c r="E288" s="37" t="str">
        <x:v>TAK Tam Anlatım Kitabı</x:v>
      </x:c>
      <x:c r="F288" s="37" t="str">
        <x:v>Konu Anlatımlı</x:v>
      </x:c>
      <x:c r="G288" s="43" t="n">
        <x:v>376</x:v>
      </x:c>
      <x:c r="H288" s="46" t="str">
        <x:f>IF(SUMIFS('İndirimler'!$C$2:$C$110,'İndirimler'!$A$2:$A$110,B288,'İndirimler'!$B$2:$B$110,C288)&gt;0,ROUND(G288*(1-SUMIFS('İndirimler'!$C$2:$C$110,'İndirimler'!$A$2:$A$110,B288,'İndirimler'!$B$2:$B$110,C288)),2),"")</x:f>
      </x:c>
      <x:c r="I288" s="49" t="str">
        <x:f>IF(SUMIFS('İndirimler'!$D$2:$D$110,'İndirimler'!$A$2:$A$110,B288,'İndirimler'!$B$2:$B$110,C288)&gt;0,ROUND(G288*(1-SUMIFS('İndirimler'!$D$2:$D$110,'İndirimler'!$A$2:$A$110,B288,'İndirimler'!$B$2:$B$110,C288)),2),"")</x:f>
      </x:c>
      <x:c r="J288" s="37" t="str">
        <x:v>https://app.karakok.net/spShowFlip/2158</x:v>
      </x:c>
    </x:row>
    <x:row r="289" ht="22" customHeight="1">
      <x:c r="A289" s="40" t="str">
        <x:v>9786052757666</x:v>
      </x:c>
      <x:c r="B289" s="37" t="str">
        <x:v>Limit</x:v>
      </x:c>
      <x:c r="C289" s="37" t="str">
        <x:v>10. Sınıf</x:v>
      </x:c>
      <x:c r="D289" s="37" t="str">
        <x:v>Kimya</x:v>
      </x:c>
      <x:c r="E289" s="37"/>
      <x:c r="F289" s="37" t="str">
        <x:v>Konu Anlatımlı</x:v>
      </x:c>
      <x:c r="G289" s="43" t="n">
        <x:v>620</x:v>
      </x:c>
      <x:c r="H289" s="46" t="str">
        <x:f>IF(SUMIFS('İndirimler'!$C$2:$C$110,'İndirimler'!$A$2:$A$110,B289,'İndirimler'!$B$2:$B$110,C289)&gt;0,ROUND(G289*(1-SUMIFS('İndirimler'!$C$2:$C$110,'İndirimler'!$A$2:$A$110,B289,'İndirimler'!$B$2:$B$110,C289)),2),"")</x:f>
      </x:c>
      <x:c r="I289" s="49" t="str">
        <x:f>IF(SUMIFS('İndirimler'!$D$2:$D$110,'İndirimler'!$A$2:$A$110,B289,'İndirimler'!$B$2:$B$110,C289)&gt;0,ROUND(G289*(1-SUMIFS('İndirimler'!$D$2:$D$110,'İndirimler'!$A$2:$A$110,B289,'İndirimler'!$B$2:$B$110,C289)),2),"")</x:f>
      </x:c>
      <x:c r="J289" s="37"/>
    </x:row>
    <x:row r="290" ht="22" customHeight="1">
      <x:c r="A290" s="40" t="str">
        <x:v>9786256142084</x:v>
      </x:c>
      <x:c r="B290" s="37" t="str">
        <x:v>Miray</x:v>
      </x:c>
      <x:c r="C290" s="37" t="str">
        <x:v>10. Sınıf</x:v>
      </x:c>
      <x:c r="D290" s="37" t="str">
        <x:v>Kimya</x:v>
      </x:c>
      <x:c r="E290" s="37" t="str">
        <x:v>Ders Anlatım Fasikülleri</x:v>
      </x:c>
      <x:c r="F290" s="37" t="str">
        <x:v>Konu Anlatımlı</x:v>
      </x:c>
      <x:c r="G290" s="43" t="n">
        <x:v>580</x:v>
      </x:c>
      <x:c r="H290" s="46" t="str">
        <x:f>IF(SUMIFS('İndirimler'!$C$2:$C$110,'İndirimler'!$A$2:$A$110,B290,'İndirimler'!$B$2:$B$110,C290)&gt;0,ROUND(G290*(1-SUMIFS('İndirimler'!$C$2:$C$110,'İndirimler'!$A$2:$A$110,B290,'İndirimler'!$B$2:$B$110,C290)),2),"")</x:f>
      </x:c>
      <x:c r="I290" s="49" t="str">
        <x:f>IF(SUMIFS('İndirimler'!$D$2:$D$110,'İndirimler'!$A$2:$A$110,B290,'İndirimler'!$B$2:$B$110,C290)&gt;0,ROUND(G290*(1-SUMIFS('İndirimler'!$D$2:$D$110,'İndirimler'!$A$2:$A$110,B290,'İndirimler'!$B$2:$B$110,C290)),2),"")</x:f>
      </x:c>
      <x:c r="J290" s="37"/>
    </x:row>
    <x:row r="291" ht="22" customHeight="1">
      <x:c r="A291" s="40" t="str">
        <x:v>ORNEK00000102</x:v>
      </x:c>
      <x:c r="B291" s="37" t="str">
        <x:v>Oktet Yayınları</x:v>
      </x:c>
      <x:c r="C291" s="37" t="str">
        <x:v>10. Sınıf</x:v>
      </x:c>
      <x:c r="D291" s="37" t="str">
        <x:v>Kimya</x:v>
      </x:c>
      <x:c r="E291" s="37"/>
      <x:c r="F291" s="37" t="str">
        <x:v>Konu Anlatımlı</x:v>
      </x:c>
      <x:c r="G291" s="43" t="n">
        <x:v>500</x:v>
      </x:c>
      <x:c r="H291" s="46" t="str">
        <x:f>IF(SUMIFS('İndirimler'!$C$2:$C$110,'İndirimler'!$A$2:$A$110,B291,'İndirimler'!$B$2:$B$110,C291)&gt;0,ROUND(G291*(1-SUMIFS('İndirimler'!$C$2:$C$110,'İndirimler'!$A$2:$A$110,B291,'İndirimler'!$B$2:$B$110,C291)),2),"")</x:f>
      </x:c>
      <x:c r="I291" s="49" t="str">
        <x:f>IF(SUMIFS('İndirimler'!$D$2:$D$110,'İndirimler'!$A$2:$A$110,B291,'İndirimler'!$B$2:$B$110,C291)&gt;0,ROUND(G291*(1-SUMIFS('İndirimler'!$D$2:$D$110,'İndirimler'!$A$2:$A$110,B291,'İndirimler'!$B$2:$B$110,C291)),2),"")</x:f>
      </x:c>
      <x:c r="J291" s="37"/>
    </x:row>
    <x:row r="292" ht="22" customHeight="1">
      <x:c r="A292" s="40" t="str">
        <x:v>9786256921702</x:v>
      </x:c>
      <x:c r="B292" s="37" t="str">
        <x:v>4K</x:v>
      </x:c>
      <x:c r="C292" s="37" t="str">
        <x:v>10. Sınıf</x:v>
      </x:c>
      <x:c r="D292" s="37" t="str">
        <x:v>Kimya</x:v>
      </x:c>
      <x:c r="E292" s="37"/>
      <x:c r="F292" s="37" t="str">
        <x:v>Soru Bankası</x:v>
      </x:c>
      <x:c r="G292" s="43" t="n">
        <x:v>328</x:v>
      </x:c>
      <x:c r="H292" s="46" t="str">
        <x:f>IF(SUMIFS('İndirimler'!$C$2:$C$110,'İndirimler'!$A$2:$A$110,B292,'İndirimler'!$B$2:$B$110,C292)&gt;0,ROUND(G292*(1-SUMIFS('İndirimler'!$C$2:$C$110,'İndirimler'!$A$2:$A$110,B292,'İndirimler'!$B$2:$B$110,C292)),2),"")</x:f>
      </x:c>
      <x:c r="I292" s="49" t="str">
        <x:f>IF(SUMIFS('İndirimler'!$D$2:$D$110,'İndirimler'!$A$2:$A$110,B292,'İndirimler'!$B$2:$B$110,C292)&gt;0,ROUND(G292*(1-SUMIFS('İndirimler'!$D$2:$D$110,'İndirimler'!$A$2:$A$110,B292,'İndirimler'!$B$2:$B$110,C292)),2),"")</x:f>
      </x:c>
      <x:c r="J292" s="37" t="str">
        <x:v>https://app.karakok.net/spShowFlip/1920</x:v>
      </x:c>
    </x:row>
    <x:row r="293" ht="22" customHeight="1">
      <x:c r="A293" s="40" t="str">
        <x:v>9786256142077</x:v>
      </x:c>
      <x:c r="B293" s="37" t="str">
        <x:v>Aydın</x:v>
      </x:c>
      <x:c r="C293" s="37" t="str">
        <x:v>10. Sınıf</x:v>
      </x:c>
      <x:c r="D293" s="37" t="str">
        <x:v>Kimya</x:v>
      </x:c>
      <x:c r="E293" s="37"/>
      <x:c r="F293" s="37" t="str">
        <x:v>Soru Bankası</x:v>
      </x:c>
      <x:c r="G293" s="43" t="n">
        <x:v>560</x:v>
      </x:c>
      <x:c r="H293" s="46" t="str">
        <x:f>IF(SUMIFS('İndirimler'!$C$2:$C$110,'İndirimler'!$A$2:$A$110,B293,'İndirimler'!$B$2:$B$110,C293)&gt;0,ROUND(G293*(1-SUMIFS('İndirimler'!$C$2:$C$110,'İndirimler'!$A$2:$A$110,B293,'İndirimler'!$B$2:$B$110,C293)),2),"")</x:f>
      </x:c>
      <x:c r="I293" s="49" t="str">
        <x:f>IF(SUMIFS('İndirimler'!$D$2:$D$110,'İndirimler'!$A$2:$A$110,B293,'İndirimler'!$B$2:$B$110,C293)&gt;0,ROUND(G293*(1-SUMIFS('İndirimler'!$D$2:$D$110,'İndirimler'!$A$2:$A$110,B293,'İndirimler'!$B$2:$B$110,C293)),2),"")</x:f>
      </x:c>
      <x:c r="J293" s="37"/>
    </x:row>
    <x:row r="294" ht="22" customHeight="1">
      <x:c r="A294" s="40" t="str">
        <x:v>9786256712393</x:v>
      </x:c>
      <x:c r="B294" s="37" t="str">
        <x:v>Bilgi Sarmal Yayınları</x:v>
      </x:c>
      <x:c r="C294" s="37" t="str">
        <x:v>10. Sınıf</x:v>
      </x:c>
      <x:c r="D294" s="37" t="str">
        <x:v>Kimya</x:v>
      </x:c>
      <x:c r="E294" s="37"/>
      <x:c r="F294" s="37" t="str">
        <x:v>Soru Bankası</x:v>
      </x:c>
      <x:c r="G294" s="43" t="n">
        <x:v>519</x:v>
      </x:c>
      <x:c r="H294" s="46" t="str">
        <x:f>IF(SUMIFS('İndirimler'!$C$2:$C$110,'İndirimler'!$A$2:$A$110,B294,'İndirimler'!$B$2:$B$110,C294)&gt;0,ROUND(G294*(1-SUMIFS('İndirimler'!$C$2:$C$110,'İndirimler'!$A$2:$A$110,B294,'İndirimler'!$B$2:$B$110,C294)),2),"")</x:f>
      </x:c>
      <x:c r="I294" s="49" t="str">
        <x:f>IF(SUMIFS('İndirimler'!$D$2:$D$110,'İndirimler'!$A$2:$A$110,B294,'İndirimler'!$B$2:$B$110,C294)&gt;0,ROUND(G294*(1-SUMIFS('İndirimler'!$D$2:$D$110,'İndirimler'!$A$2:$A$110,B294,'İndirimler'!$B$2:$B$110,C294)),2),"")</x:f>
      </x:c>
      <x:c r="J294" s="37"/>
    </x:row>
    <x:row r="295" ht="22" customHeight="1">
      <x:c r="A295" s="40" t="str">
        <x:v>9786256911925</x:v>
      </x:c>
      <x:c r="B295" s="37" t="str">
        <x:v>Eğitim Vadisi</x:v>
      </x:c>
      <x:c r="C295" s="37" t="str">
        <x:v>10. Sınıf</x:v>
      </x:c>
      <x:c r="D295" s="37" t="str">
        <x:v>Kimya</x:v>
      </x:c>
      <x:c r="E295" s="37" t="str">
        <x:v>TİK Tam İzleme Kitabı</x:v>
      </x:c>
      <x:c r="F295" s="37" t="str">
        <x:v>Soru Bankası</x:v>
      </x:c>
      <x:c r="G295" s="43" t="n">
        <x:v>274</x:v>
      </x:c>
      <x:c r="H295" s="46" t="str">
        <x:f>IF(SUMIFS('İndirimler'!$C$2:$C$110,'İndirimler'!$A$2:$A$110,B295,'İndirimler'!$B$2:$B$110,C295)&gt;0,ROUND(G295*(1-SUMIFS('İndirimler'!$C$2:$C$110,'İndirimler'!$A$2:$A$110,B295,'İndirimler'!$B$2:$B$110,C295)),2),"")</x:f>
      </x:c>
      <x:c r="I295" s="49" t="str">
        <x:f>IF(SUMIFS('İndirimler'!$D$2:$D$110,'İndirimler'!$A$2:$A$110,B295,'İndirimler'!$B$2:$B$110,C295)&gt;0,ROUND(G295*(1-SUMIFS('İndirimler'!$D$2:$D$110,'İndirimler'!$A$2:$A$110,B295,'İndirimler'!$B$2:$B$110,C295)),2),"")</x:f>
      </x:c>
      <x:c r="J295" s="37" t="str">
        <x:v>https://app.karakok.net/spShowFlip/2164</x:v>
      </x:c>
    </x:row>
    <x:row r="296" ht="22" customHeight="1">
      <x:c r="A296" s="40" t="str">
        <x:v>9786257532891</x:v>
      </x:c>
      <x:c r="B296" s="37" t="str">
        <x:v>Hız ve Renk Yayınları</x:v>
      </x:c>
      <x:c r="C296" s="37" t="str">
        <x:v>10. Sınıf</x:v>
      </x:c>
      <x:c r="D296" s="37" t="str">
        <x:v>Kimya</x:v>
      </x:c>
      <x:c r="E296" s="37" t="str">
        <x:v>HİT</x:v>
      </x:c>
      <x:c r="F296" s="37" t="str">
        <x:v>Soru Bankası</x:v>
      </x:c>
      <x:c r="G296" s="43" t="n">
        <x:v>475</x:v>
      </x:c>
      <x:c r="H296" s="46" t="str">
        <x:f>IF(SUMIFS('İndirimler'!$C$2:$C$110,'İndirimler'!$A$2:$A$110,B296,'İndirimler'!$B$2:$B$110,C296)&gt;0,ROUND(G296*(1-SUMIFS('İndirimler'!$C$2:$C$110,'İndirimler'!$A$2:$A$110,B296,'İndirimler'!$B$2:$B$110,C296)),2),"")</x:f>
      </x:c>
      <x:c r="I296" s="49" t="str">
        <x:f>IF(SUMIFS('İndirimler'!$D$2:$D$110,'İndirimler'!$A$2:$A$110,B296,'İndirimler'!$B$2:$B$110,C296)&gt;0,ROUND(G296*(1-SUMIFS('İndirimler'!$D$2:$D$110,'İndirimler'!$A$2:$A$110,B296,'İndirimler'!$B$2:$B$110,C296)),2),"")</x:f>
      </x:c>
      <x:c r="J296" s="37"/>
    </x:row>
    <x:row r="297" ht="22" customHeight="1">
      <x:c r="A297" s="40" t="str">
        <x:v>9786052757673</x:v>
      </x:c>
      <x:c r="B297" s="37" t="str">
        <x:v>Limit</x:v>
      </x:c>
      <x:c r="C297" s="37" t="str">
        <x:v>10. Sınıf</x:v>
      </x:c>
      <x:c r="D297" s="37" t="str">
        <x:v>Kimya</x:v>
      </x:c>
      <x:c r="E297" s="37"/>
      <x:c r="F297" s="37" t="str">
        <x:v>Soru Bankası</x:v>
      </x:c>
      <x:c r="G297" s="43" t="n">
        <x:v>578</x:v>
      </x:c>
      <x:c r="H297" s="46" t="str">
        <x:f>IF(SUMIFS('İndirimler'!$C$2:$C$110,'İndirimler'!$A$2:$A$110,B297,'İndirimler'!$B$2:$B$110,C297)&gt;0,ROUND(G297*(1-SUMIFS('İndirimler'!$C$2:$C$110,'İndirimler'!$A$2:$A$110,B297,'İndirimler'!$B$2:$B$110,C297)),2),"")</x:f>
      </x:c>
      <x:c r="I297" s="49" t="str">
        <x:f>IF(SUMIFS('İndirimler'!$D$2:$D$110,'İndirimler'!$A$2:$A$110,B297,'İndirimler'!$B$2:$B$110,C297)&gt;0,ROUND(G297*(1-SUMIFS('İndirimler'!$D$2:$D$110,'İndirimler'!$A$2:$A$110,B297,'İndirimler'!$B$2:$B$110,C297)),2),"")</x:f>
      </x:c>
      <x:c r="J297" s="37"/>
    </x:row>
    <x:row r="298" ht="22" customHeight="1">
      <x:c r="A298" s="40" t="str">
        <x:v>9786256142091</x:v>
      </x:c>
      <x:c r="B298" s="37" t="str">
        <x:v>Miray</x:v>
      </x:c>
      <x:c r="C298" s="37" t="str">
        <x:v>10. Sınıf</x:v>
      </x:c>
      <x:c r="D298" s="37" t="str">
        <x:v>Kimya</x:v>
      </x:c>
      <x:c r="E298" s="37" t="str">
        <x:v>Tematik</x:v>
      </x:c>
      <x:c r="F298" s="37" t="str">
        <x:v>Soru Bankası</x:v>
      </x:c>
      <x:c r="G298" s="43" t="n">
        <x:v>422</x:v>
      </x:c>
      <x:c r="H298" s="46" t="str">
        <x:f>IF(SUMIFS('İndirimler'!$C$2:$C$110,'İndirimler'!$A$2:$A$110,B298,'İndirimler'!$B$2:$B$110,C298)&gt;0,ROUND(G298*(1-SUMIFS('İndirimler'!$C$2:$C$110,'İndirimler'!$A$2:$A$110,B298,'İndirimler'!$B$2:$B$110,C298)),2),"")</x:f>
      </x:c>
      <x:c r="I298" s="49" t="str">
        <x:f>IF(SUMIFS('İndirimler'!$D$2:$D$110,'İndirimler'!$A$2:$A$110,B298,'İndirimler'!$B$2:$B$110,C298)&gt;0,ROUND(G298*(1-SUMIFS('İndirimler'!$D$2:$D$110,'İndirimler'!$A$2:$A$110,B298,'İndirimler'!$B$2:$B$110,C298)),2),"")</x:f>
      </x:c>
      <x:c r="J298" s="37"/>
    </x:row>
    <x:row r="299" ht="22" customHeight="1">
      <x:c r="A299" s="40" t="str">
        <x:v>9786259677811</x:v>
      </x:c>
      <x:c r="B299" s="37" t="str">
        <x:v>Orbital Yayınları</x:v>
      </x:c>
      <x:c r="C299" s="37" t="str">
        <x:v>10. Sınıf</x:v>
      </x:c>
      <x:c r="D299" s="37" t="str">
        <x:v>Kimya</x:v>
      </x:c>
      <x:c r="E299" s="37"/>
      <x:c r="F299" s="37" t="str">
        <x:v>Soru Bankası</x:v>
      </x:c>
      <x:c r="G299" s="43" t="n">
        <x:v>439</x:v>
      </x:c>
      <x:c r="H299" s="46" t="str">
        <x:f>IF(SUMIFS('İndirimler'!$C$2:$C$110,'İndirimler'!$A$2:$A$110,B299,'İndirimler'!$B$2:$B$110,C299)&gt;0,ROUND(G299*(1-SUMIFS('İndirimler'!$C$2:$C$110,'İndirimler'!$A$2:$A$110,B299,'İndirimler'!$B$2:$B$110,C299)),2),"")</x:f>
      </x:c>
      <x:c r="I299" s="49" t="str">
        <x:f>IF(SUMIFS('İndirimler'!$D$2:$D$110,'İndirimler'!$A$2:$A$110,B299,'İndirimler'!$B$2:$B$110,C299)&gt;0,ROUND(G299*(1-SUMIFS('İndirimler'!$D$2:$D$110,'İndirimler'!$A$2:$A$110,B299,'İndirimler'!$B$2:$B$110,C299)),2),"")</x:f>
      </x:c>
      <x:c r="J299" s="37"/>
    </x:row>
    <x:row r="300" ht="22" customHeight="1">
      <x:c r="A300" s="40" t="str">
        <x:v>9786256040861</x:v>
      </x:c>
      <x:c r="B300" s="37" t="str">
        <x:v>Çap Yayınları</x:v>
      </x:c>
      <x:c r="C300" s="37" t="str">
        <x:v>10. Sınıf</x:v>
      </x:c>
      <x:c r="D300" s="37" t="str">
        <x:v>Kimya</x:v>
      </x:c>
      <x:c r="E300" s="37" t="str">
        <x:v>Tematik</x:v>
      </x:c>
      <x:c r="F300" s="37" t="str">
        <x:v>Soru Bankası</x:v>
      </x:c>
      <x:c r="G300" s="43" t="n">
        <x:v>345</x:v>
      </x:c>
      <x:c r="H300" s="46" t="str">
        <x:f>IF(SUMIFS('İndirimler'!$C$2:$C$110,'İndirimler'!$A$2:$A$110,B300,'İndirimler'!$B$2:$B$110,C300)&gt;0,ROUND(G300*(1-SUMIFS('İndirimler'!$C$2:$C$110,'İndirimler'!$A$2:$A$110,B300,'İndirimler'!$B$2:$B$110,C300)),2),"")</x:f>
      </x:c>
      <x:c r="I300" s="49" t="str">
        <x:f>IF(SUMIFS('İndirimler'!$D$2:$D$110,'İndirimler'!$A$2:$A$110,B300,'İndirimler'!$B$2:$B$110,C300)&gt;0,ROUND(G300*(1-SUMIFS('İndirimler'!$D$2:$D$110,'İndirimler'!$A$2:$A$110,B300,'İndirimler'!$B$2:$B$110,C300)),2),"")</x:f>
      </x:c>
      <x:c r="J300" s="37"/>
    </x:row>
    <x:row r="301" ht="22" customHeight="1">
      <x:c r="A301" s="40" t="str">
        <x:v>9786258160789</x:v>
      </x:c>
      <x:c r="B301" s="37" t="str">
        <x:v>ENS Yayınları</x:v>
      </x:c>
      <x:c r="C301" s="37" t="str">
        <x:v>10. Sınıf</x:v>
      </x:c>
      <x:c r="D301" s="37" t="str">
        <x:v>Kimya</x:v>
      </x:c>
      <x:c r="E301" s="37"/>
      <x:c r="F301" s="37" t="str">
        <x:v>Etkinlik Kitabı</x:v>
      </x:c>
      <x:c r="G301" s="43" t="n">
        <x:v>409</x:v>
      </x:c>
      <x:c r="H301" s="46" t="str">
        <x:f>IF(SUMIFS('İndirimler'!$C$2:$C$110,'İndirimler'!$A$2:$A$110,B301,'İndirimler'!$B$2:$B$110,C301)&gt;0,ROUND(G301*(1-SUMIFS('İndirimler'!$C$2:$C$110,'İndirimler'!$A$2:$A$110,B301,'İndirimler'!$B$2:$B$110,C301)),2),"")</x:f>
      </x:c>
      <x:c r="I301" s="49" t="str">
        <x:f>IF(SUMIFS('İndirimler'!$D$2:$D$110,'İndirimler'!$A$2:$A$110,B301,'İndirimler'!$B$2:$B$110,C301)&gt;0,ROUND(G301*(1-SUMIFS('İndirimler'!$D$2:$D$110,'İndirimler'!$A$2:$A$110,B301,'İndirimler'!$B$2:$B$110,C301)),2),"")</x:f>
      </x:c>
      <x:c r="J301" s="37"/>
    </x:row>
    <x:row r="302" ht="22" customHeight="1">
      <x:c r="A302" s="40" t="str">
        <x:v>ORNEK00000104</x:v>
      </x:c>
      <x:c r="B302" s="37" t="str">
        <x:v>Orbital Yayınları</x:v>
      </x:c>
      <x:c r="C302" s="37" t="str">
        <x:v>11. Sınıf</x:v>
      </x:c>
      <x:c r="D302" s="37" t="str">
        <x:v>Kimya</x:v>
      </x:c>
      <x:c r="E302" s="37" t="str">
        <x:v>Odam</x:v>
      </x:c>
      <x:c r="F302" s="37" t="str">
        <x:v>Fasikül Set</x:v>
      </x:c>
      <x:c r="G302" s="43" t="n">
        <x:v>700</x:v>
      </x:c>
      <x:c r="H302" s="46" t="str">
        <x:f>IF(SUMIFS('İndirimler'!$C$2:$C$110,'İndirimler'!$A$2:$A$110,B302,'İndirimler'!$B$2:$B$110,C302)&gt;0,ROUND(G302*(1-SUMIFS('İndirimler'!$C$2:$C$110,'İndirimler'!$A$2:$A$110,B302,'İndirimler'!$B$2:$B$110,C302)),2),"")</x:f>
      </x:c>
      <x:c r="I302" s="49" t="str">
        <x:f>IF(SUMIFS('İndirimler'!$D$2:$D$110,'İndirimler'!$A$2:$A$110,B302,'İndirimler'!$B$2:$B$110,C302)&gt;0,ROUND(G302*(1-SUMIFS('İndirimler'!$D$2:$D$110,'İndirimler'!$A$2:$A$110,B302,'İndirimler'!$B$2:$B$110,C302)),2),"")</x:f>
      </x:c>
      <x:c r="J302" s="37"/>
    </x:row>
    <x:row r="303" ht="22" customHeight="1">
      <x:c r="A303" s="40" t="str">
        <x:v>ORNEK00000057</x:v>
      </x:c>
      <x:c r="B303" s="37" t="str">
        <x:v>Çap Yayınları</x:v>
      </x:c>
      <x:c r="C303" s="37" t="str">
        <x:v>11. Sınıf</x:v>
      </x:c>
      <x:c r="D303" s="37" t="str">
        <x:v>Kimya</x:v>
      </x:c>
      <x:c r="E303" s="37"/>
      <x:c r="F303" s="37" t="str">
        <x:v>Fasikül Set</x:v>
      </x:c>
      <x:c r="G303" s="43" t="n">
        <x:v>800</x:v>
      </x:c>
      <x:c r="H303" s="46" t="str">
        <x:f>IF(SUMIFS('İndirimler'!$C$2:$C$110,'İndirimler'!$A$2:$A$110,B303,'İndirimler'!$B$2:$B$110,C303)&gt;0,ROUND(G303*(1-SUMIFS('İndirimler'!$C$2:$C$110,'İndirimler'!$A$2:$A$110,B303,'İndirimler'!$B$2:$B$110,C303)),2),"")</x:f>
      </x:c>
      <x:c r="I303" s="49" t="str">
        <x:f>IF(SUMIFS('İndirimler'!$D$2:$D$110,'İndirimler'!$A$2:$A$110,B303,'İndirimler'!$B$2:$B$110,C303)&gt;0,ROUND(G303*(1-SUMIFS('İndirimler'!$D$2:$D$110,'İndirimler'!$A$2:$A$110,B303,'İndirimler'!$B$2:$B$110,C303)),2),"")</x:f>
      </x:c>
      <x:c r="J303" s="37"/>
    </x:row>
    <x:row r="304" ht="22" customHeight="1">
      <x:c r="A304" s="40" t="str">
        <x:v>9786057710154</x:v>
      </x:c>
      <x:c r="B304" s="37" t="str">
        <x:v>Aydın</x:v>
      </x:c>
      <x:c r="C304" s="37" t="str">
        <x:v>11. Sınıf</x:v>
      </x:c>
      <x:c r="D304" s="37" t="str">
        <x:v>Kimya</x:v>
      </x:c>
      <x:c r="E304" s="37" t="str">
        <x:v>Ders İşleyiş Modülleri</x:v>
      </x:c>
      <x:c r="F304" s="37" t="str">
        <x:v>Konu Anlatımlı</x:v>
      </x:c>
      <x:c r="G304" s="43" t="n">
        <x:v>589</x:v>
      </x:c>
      <x:c r="H304" s="46" t="str">
        <x:f>IF(SUMIFS('İndirimler'!$C$2:$C$110,'İndirimler'!$A$2:$A$110,B304,'İndirimler'!$B$2:$B$110,C304)&gt;0,ROUND(G304*(1-SUMIFS('İndirimler'!$C$2:$C$110,'İndirimler'!$A$2:$A$110,B304,'İndirimler'!$B$2:$B$110,C304)),2),"")</x:f>
      </x:c>
      <x:c r="I304" s="49" t="str">
        <x:f>IF(SUMIFS('İndirimler'!$D$2:$D$110,'İndirimler'!$A$2:$A$110,B304,'İndirimler'!$B$2:$B$110,C304)&gt;0,ROUND(G304*(1-SUMIFS('İndirimler'!$D$2:$D$110,'İndirimler'!$A$2:$A$110,B304,'İndirimler'!$B$2:$B$110,C304)),2),"")</x:f>
      </x:c>
      <x:c r="J304" s="37"/>
    </x:row>
    <x:row r="305" ht="22" customHeight="1">
      <x:c r="A305" s="40" t="str">
        <x:v>ORNEK00000043</x:v>
      </x:c>
      <x:c r="B305" s="37" t="str">
        <x:v>Bilgi Sarmal Yayınları</x:v>
      </x:c>
      <x:c r="C305" s="37" t="str">
        <x:v>11. Sınıf</x:v>
      </x:c>
      <x:c r="D305" s="37" t="str">
        <x:v>Kimya</x:v>
      </x:c>
      <x:c r="E305" s="37" t="str">
        <x:v>Tema</x:v>
      </x:c>
      <x:c r="F305" s="37" t="str">
        <x:v>Konu Anlatımlı</x:v>
      </x:c>
      <x:c r="G305" s="43" t="n">
        <x:v>500</x:v>
      </x:c>
      <x:c r="H305" s="46" t="str">
        <x:f>IF(SUMIFS('İndirimler'!$C$2:$C$110,'İndirimler'!$A$2:$A$110,B305,'İndirimler'!$B$2:$B$110,C305)&gt;0,ROUND(G305*(1-SUMIFS('İndirimler'!$C$2:$C$110,'İndirimler'!$A$2:$A$110,B305,'İndirimler'!$B$2:$B$110,C305)),2),"")</x:f>
      </x:c>
      <x:c r="I305" s="49" t="str">
        <x:f>IF(SUMIFS('İndirimler'!$D$2:$D$110,'İndirimler'!$A$2:$A$110,B305,'İndirimler'!$B$2:$B$110,C305)&gt;0,ROUND(G305*(1-SUMIFS('İndirimler'!$D$2:$D$110,'İndirimler'!$A$2:$A$110,B305,'İndirimler'!$B$2:$B$110,C305)),2),"")</x:f>
      </x:c>
      <x:c r="J305" s="37"/>
    </x:row>
    <x:row r="306" ht="22" customHeight="1">
      <x:c r="A306" s="40" t="str">
        <x:v>ORNEK00000075</x:v>
      </x:c>
      <x:c r="B306" s="37" t="str">
        <x:v>ENS Yayınları</x:v>
      </x:c>
      <x:c r="C306" s="37" t="str">
        <x:v>11. Sınıf</x:v>
      </x:c>
      <x:c r="D306" s="37" t="str">
        <x:v>Kimya</x:v>
      </x:c>
      <x:c r="E306" s="37" t="str">
        <x:v>Defter</x:v>
      </x:c>
      <x:c r="F306" s="37" t="str">
        <x:v>Konu Anlatımlı</x:v>
      </x:c>
      <x:c r="G306" s="43" t="n">
        <x:v>500</x:v>
      </x:c>
      <x:c r="H306" s="46" t="str">
        <x:f>IF(SUMIFS('İndirimler'!$C$2:$C$110,'İndirimler'!$A$2:$A$110,B306,'İndirimler'!$B$2:$B$110,C306)&gt;0,ROUND(G306*(1-SUMIFS('İndirimler'!$C$2:$C$110,'İndirimler'!$A$2:$A$110,B306,'İndirimler'!$B$2:$B$110,C306)),2),"")</x:f>
      </x:c>
      <x:c r="I306" s="49" t="str">
        <x:f>IF(SUMIFS('İndirimler'!$D$2:$D$110,'İndirimler'!$A$2:$A$110,B306,'İndirimler'!$B$2:$B$110,C306)&gt;0,ROUND(G306*(1-SUMIFS('İndirimler'!$D$2:$D$110,'İndirimler'!$A$2:$A$110,B306,'İndirimler'!$B$2:$B$110,C306)),2),"")</x:f>
      </x:c>
      <x:c r="J306" s="37"/>
    </x:row>
    <x:row r="307" ht="22" customHeight="1">
      <x:c r="A307" s="40" t="str">
        <x:v>9786052754153</x:v>
      </x:c>
      <x:c r="B307" s="37" t="str">
        <x:v>Limit</x:v>
      </x:c>
      <x:c r="C307" s="37" t="str">
        <x:v>11. Sınıf</x:v>
      </x:c>
      <x:c r="D307" s="37" t="str">
        <x:v>Kimya</x:v>
      </x:c>
      <x:c r="E307" s="37"/>
      <x:c r="F307" s="37" t="str">
        <x:v>Konu Anlatımlı</x:v>
      </x:c>
      <x:c r="G307" s="43" t="n">
        <x:v>490</x:v>
      </x:c>
      <x:c r="H307" s="46" t="str">
        <x:f>IF(SUMIFS('İndirimler'!$C$2:$C$110,'İndirimler'!$A$2:$A$110,B307,'İndirimler'!$B$2:$B$110,C307)&gt;0,ROUND(G307*(1-SUMIFS('İndirimler'!$C$2:$C$110,'İndirimler'!$A$2:$A$110,B307,'İndirimler'!$B$2:$B$110,C307)),2),"")</x:f>
      </x:c>
      <x:c r="I307" s="49" t="str">
        <x:f>IF(SUMIFS('İndirimler'!$D$2:$D$110,'İndirimler'!$A$2:$A$110,B307,'İndirimler'!$B$2:$B$110,C307)&gt;0,ROUND(G307*(1-SUMIFS('İndirimler'!$D$2:$D$110,'İndirimler'!$A$2:$A$110,B307,'İndirimler'!$B$2:$B$110,C307)),2),"")</x:f>
      </x:c>
      <x:c r="J307" s="37"/>
    </x:row>
    <x:row r="308" ht="22" customHeight="1">
      <x:c r="A308" s="40" t="str">
        <x:v>9786256142565</x:v>
      </x:c>
      <x:c r="B308" s="37" t="str">
        <x:v>Miray</x:v>
      </x:c>
      <x:c r="C308" s="37" t="str">
        <x:v>11. Sınıf</x:v>
      </x:c>
      <x:c r="D308" s="37" t="str">
        <x:v>Kimya</x:v>
      </x:c>
      <x:c r="E308" s="37" t="str">
        <x:v>Ders Anlatım Fasikülleri</x:v>
      </x:c>
      <x:c r="F308" s="37" t="str">
        <x:v>Konu Anlatımlı</x:v>
      </x:c>
      <x:c r="G308" s="43" t="n">
        <x:v>580</x:v>
      </x:c>
      <x:c r="H308" s="46" t="str">
        <x:f>IF(SUMIFS('İndirimler'!$C$2:$C$110,'İndirimler'!$A$2:$A$110,B308,'İndirimler'!$B$2:$B$110,C308)&gt;0,ROUND(G308*(1-SUMIFS('İndirimler'!$C$2:$C$110,'İndirimler'!$A$2:$A$110,B308,'İndirimler'!$B$2:$B$110,C308)),2),"")</x:f>
      </x:c>
      <x:c r="I308" s="49" t="str">
        <x:f>IF(SUMIFS('İndirimler'!$D$2:$D$110,'İndirimler'!$A$2:$A$110,B308,'İndirimler'!$B$2:$B$110,C308)&gt;0,ROUND(G308*(1-SUMIFS('İndirimler'!$D$2:$D$110,'İndirimler'!$A$2:$A$110,B308,'İndirimler'!$B$2:$B$110,C308)),2),"")</x:f>
      </x:c>
      <x:c r="J308" s="37"/>
    </x:row>
    <x:row r="309" ht="22" customHeight="1">
      <x:c r="A309" s="40" t="str">
        <x:v>ORNEK00000103</x:v>
      </x:c>
      <x:c r="B309" s="37" t="str">
        <x:v>Oktet Yayınları</x:v>
      </x:c>
      <x:c r="C309" s="37" t="str">
        <x:v>11. Sınıf</x:v>
      </x:c>
      <x:c r="D309" s="37" t="str">
        <x:v>Kimya</x:v>
      </x:c>
      <x:c r="E309" s="37"/>
      <x:c r="F309" s="37" t="str">
        <x:v>Konu Anlatımlı</x:v>
      </x:c>
      <x:c r="G309" s="43" t="n">
        <x:v>500</x:v>
      </x:c>
      <x:c r="H309" s="46" t="str">
        <x:f>IF(SUMIFS('İndirimler'!$C$2:$C$110,'İndirimler'!$A$2:$A$110,B309,'İndirimler'!$B$2:$B$110,C309)&gt;0,ROUND(G309*(1-SUMIFS('İndirimler'!$C$2:$C$110,'İndirimler'!$A$2:$A$110,B309,'İndirimler'!$B$2:$B$110,C309)),2),"")</x:f>
      </x:c>
      <x:c r="I309" s="49" t="str">
        <x:f>IF(SUMIFS('İndirimler'!$D$2:$D$110,'İndirimler'!$A$2:$A$110,B309,'İndirimler'!$B$2:$B$110,C309)&gt;0,ROUND(G309*(1-SUMIFS('İndirimler'!$D$2:$D$110,'İndirimler'!$A$2:$A$110,B309,'İndirimler'!$B$2:$B$110,C309)),2),"")</x:f>
      </x:c>
      <x:c r="J309" s="37"/>
    </x:row>
    <x:row r="310" ht="22" customHeight="1">
      <x:c r="A310" s="40" t="str">
        <x:v>9786256921986</x:v>
      </x:c>
      <x:c r="B310" s="37" t="str">
        <x:v>4K</x:v>
      </x:c>
      <x:c r="C310" s="37" t="str">
        <x:v>11. Sınıf</x:v>
      </x:c>
      <x:c r="D310" s="37" t="str">
        <x:v>Kimya</x:v>
      </x:c>
      <x:c r="E310" s="37"/>
      <x:c r="F310" s="37" t="str">
        <x:v>Soru Bankası</x:v>
      </x:c>
      <x:c r="G310" s="43" t="n">
        <x:v>328</x:v>
      </x:c>
      <x:c r="H310" s="46" t="str">
        <x:f>IF(SUMIFS('İndirimler'!$C$2:$C$110,'İndirimler'!$A$2:$A$110,B310,'İndirimler'!$B$2:$B$110,C310)&gt;0,ROUND(G310*(1-SUMIFS('İndirimler'!$C$2:$C$110,'İndirimler'!$A$2:$A$110,B310,'İndirimler'!$B$2:$B$110,C310)),2),"")</x:f>
      </x:c>
      <x:c r="I310" s="49" t="str">
        <x:f>IF(SUMIFS('İndirimler'!$D$2:$D$110,'İndirimler'!$A$2:$A$110,B310,'İndirimler'!$B$2:$B$110,C310)&gt;0,ROUND(G310*(1-SUMIFS('İndirimler'!$D$2:$D$110,'İndirimler'!$A$2:$A$110,B310,'İndirimler'!$B$2:$B$110,C310)),2),"")</x:f>
      </x:c>
      <x:c r="J310" s="37"/>
    </x:row>
    <x:row r="311" ht="22" customHeight="1">
      <x:c r="A311" s="40" t="str">
        <x:v>9786057710161</x:v>
      </x:c>
      <x:c r="B311" s="37" t="str">
        <x:v>Aydın</x:v>
      </x:c>
      <x:c r="C311" s="37" t="str">
        <x:v>11. Sınıf</x:v>
      </x:c>
      <x:c r="D311" s="37" t="str">
        <x:v>Kimya</x:v>
      </x:c>
      <x:c r="E311" s="37"/>
      <x:c r="F311" s="37" t="str">
        <x:v>Soru Bankası</x:v>
      </x:c>
      <x:c r="G311" s="43" t="n">
        <x:v>464</x:v>
      </x:c>
      <x:c r="H311" s="46" t="str">
        <x:f>IF(SUMIFS('İndirimler'!$C$2:$C$110,'İndirimler'!$A$2:$A$110,B311,'İndirimler'!$B$2:$B$110,C311)&gt;0,ROUND(G311*(1-SUMIFS('İndirimler'!$C$2:$C$110,'İndirimler'!$A$2:$A$110,B311,'İndirimler'!$B$2:$B$110,C311)),2),"")</x:f>
      </x:c>
      <x:c r="I311" s="49" t="str">
        <x:f>IF(SUMIFS('İndirimler'!$D$2:$D$110,'İndirimler'!$A$2:$A$110,B311,'İndirimler'!$B$2:$B$110,C311)&gt;0,ROUND(G311*(1-SUMIFS('İndirimler'!$D$2:$D$110,'İndirimler'!$A$2:$A$110,B311,'İndirimler'!$B$2:$B$110,C311)),2),"")</x:f>
      </x:c>
      <x:c r="J311" s="37"/>
    </x:row>
    <x:row r="312" ht="22" customHeight="1">
      <x:c r="A312" s="40" t="str">
        <x:v>ORNEK00000021</x:v>
      </x:c>
      <x:c r="B312" s="37" t="str">
        <x:v>Bilgi Sarmal Yayınları</x:v>
      </x:c>
      <x:c r="C312" s="37" t="str">
        <x:v>11. Sınıf</x:v>
      </x:c>
      <x:c r="D312" s="37" t="str">
        <x:v>Kimya</x:v>
      </x:c>
      <x:c r="E312" s="37"/>
      <x:c r="F312" s="37" t="str">
        <x:v>Soru Bankası</x:v>
      </x:c>
      <x:c r="G312" s="43" t="n">
        <x:v>500</x:v>
      </x:c>
      <x:c r="H312" s="46" t="str">
        <x:f>IF(SUMIFS('İndirimler'!$C$2:$C$110,'İndirimler'!$A$2:$A$110,B312,'İndirimler'!$B$2:$B$110,C312)&gt;0,ROUND(G312*(1-SUMIFS('İndirimler'!$C$2:$C$110,'İndirimler'!$A$2:$A$110,B312,'İndirimler'!$B$2:$B$110,C312)),2),"")</x:f>
      </x:c>
      <x:c r="I312" s="49" t="str">
        <x:f>IF(SUMIFS('İndirimler'!$D$2:$D$110,'İndirimler'!$A$2:$A$110,B312,'İndirimler'!$B$2:$B$110,C312)&gt;0,ROUND(G312*(1-SUMIFS('İndirimler'!$D$2:$D$110,'İndirimler'!$A$2:$A$110,B312,'İndirimler'!$B$2:$B$110,C312)),2),"")</x:f>
      </x:c>
      <x:c r="J312" s="37"/>
    </x:row>
    <x:row r="313" ht="22" customHeight="1">
      <x:c r="A313" s="40" t="str">
        <x:v>ORNEK00000097</x:v>
      </x:c>
      <x:c r="B313" s="37" t="str">
        <x:v>Hız ve Renk Yayınları</x:v>
      </x:c>
      <x:c r="C313" s="37" t="str">
        <x:v>11. Sınıf</x:v>
      </x:c>
      <x:c r="D313" s="37" t="str">
        <x:v>Kimya</x:v>
      </x:c>
      <x:c r="E313" s="37" t="str">
        <x:v>HİT</x:v>
      </x:c>
      <x:c r="F313" s="37" t="str">
        <x:v>Soru Bankası</x:v>
      </x:c>
      <x:c r="G313" s="43" t="n">
        <x:v>500</x:v>
      </x:c>
      <x:c r="H313" s="46" t="str">
        <x:f>IF(SUMIFS('İndirimler'!$C$2:$C$110,'İndirimler'!$A$2:$A$110,B313,'İndirimler'!$B$2:$B$110,C313)&gt;0,ROUND(G313*(1-SUMIFS('İndirimler'!$C$2:$C$110,'İndirimler'!$A$2:$A$110,B313,'İndirimler'!$B$2:$B$110,C313)),2),"")</x:f>
      </x:c>
      <x:c r="I313" s="49" t="str">
        <x:f>IF(SUMIFS('İndirimler'!$D$2:$D$110,'İndirimler'!$A$2:$A$110,B313,'İndirimler'!$B$2:$B$110,C313)&gt;0,ROUND(G313*(1-SUMIFS('İndirimler'!$D$2:$D$110,'İndirimler'!$A$2:$A$110,B313,'İndirimler'!$B$2:$B$110,C313)),2),"")</x:f>
      </x:c>
      <x:c r="J313" s="37"/>
    </x:row>
    <x:row r="314" ht="22" customHeight="1">
      <x:c r="A314" s="40" t="str">
        <x:v>9786052753989</x:v>
      </x:c>
      <x:c r="B314" s="37" t="str">
        <x:v>Limit</x:v>
      </x:c>
      <x:c r="C314" s="37" t="str">
        <x:v>11. Sınıf</x:v>
      </x:c>
      <x:c r="D314" s="37" t="str">
        <x:v>Kimya</x:v>
      </x:c>
      <x:c r="E314" s="37"/>
      <x:c r="F314" s="37" t="str">
        <x:v>Soru Bankası</x:v>
      </x:c>
      <x:c r="G314" s="43" t="n">
        <x:v>448</x:v>
      </x:c>
      <x:c r="H314" s="46" t="str">
        <x:f>IF(SUMIFS('İndirimler'!$C$2:$C$110,'İndirimler'!$A$2:$A$110,B314,'İndirimler'!$B$2:$B$110,C314)&gt;0,ROUND(G314*(1-SUMIFS('İndirimler'!$C$2:$C$110,'İndirimler'!$A$2:$A$110,B314,'İndirimler'!$B$2:$B$110,C314)),2),"")</x:f>
      </x:c>
      <x:c r="I314" s="49" t="str">
        <x:f>IF(SUMIFS('İndirimler'!$D$2:$D$110,'İndirimler'!$A$2:$A$110,B314,'İndirimler'!$B$2:$B$110,C314)&gt;0,ROUND(G314*(1-SUMIFS('İndirimler'!$D$2:$D$110,'İndirimler'!$A$2:$A$110,B314,'İndirimler'!$B$2:$B$110,C314)),2),"")</x:f>
      </x:c>
      <x:c r="J314" s="37"/>
    </x:row>
    <x:row r="315" ht="22" customHeight="1">
      <x:c r="A315" s="40" t="str">
        <x:v>9786256142572</x:v>
      </x:c>
      <x:c r="B315" s="37" t="str">
        <x:v>Miray</x:v>
      </x:c>
      <x:c r="C315" s="37" t="str">
        <x:v>11. Sınıf</x:v>
      </x:c>
      <x:c r="D315" s="37" t="str">
        <x:v>Kimya</x:v>
      </x:c>
      <x:c r="E315" s="37" t="str">
        <x:v>Tematik</x:v>
      </x:c>
      <x:c r="F315" s="37" t="str">
        <x:v>Soru Bankası</x:v>
      </x:c>
      <x:c r="G315" s="43" t="n">
        <x:v>458</x:v>
      </x:c>
      <x:c r="H315" s="46" t="str">
        <x:f>IF(SUMIFS('İndirimler'!$C$2:$C$110,'İndirimler'!$A$2:$A$110,B315,'İndirimler'!$B$2:$B$110,C315)&gt;0,ROUND(G315*(1-SUMIFS('İndirimler'!$C$2:$C$110,'İndirimler'!$A$2:$A$110,B315,'İndirimler'!$B$2:$B$110,C315)),2),"")</x:f>
      </x:c>
      <x:c r="I315" s="49" t="str">
        <x:f>IF(SUMIFS('İndirimler'!$D$2:$D$110,'İndirimler'!$A$2:$A$110,B315,'İndirimler'!$B$2:$B$110,C315)&gt;0,ROUND(G315*(1-SUMIFS('İndirimler'!$D$2:$D$110,'İndirimler'!$A$2:$A$110,B315,'İndirimler'!$B$2:$B$110,C315)),2),"")</x:f>
      </x:c>
      <x:c r="J315" s="37"/>
    </x:row>
    <x:row r="316" ht="22" customHeight="1">
      <x:c r="A316" s="40" t="str">
        <x:v>ORNEK00000066</x:v>
      </x:c>
      <x:c r="B316" s="37" t="str">
        <x:v>Çap Yayınları</x:v>
      </x:c>
      <x:c r="C316" s="37" t="str">
        <x:v>11. Sınıf</x:v>
      </x:c>
      <x:c r="D316" s="37" t="str">
        <x:v>Kimya</x:v>
      </x:c>
      <x:c r="E316" s="37"/>
      <x:c r="F316" s="37" t="str">
        <x:v>Soru Bankası</x:v>
      </x:c>
      <x:c r="G316" s="43" t="n">
        <x:v>500</x:v>
      </x:c>
      <x:c r="H316" s="46" t="str">
        <x:f>IF(SUMIFS('İndirimler'!$C$2:$C$110,'İndirimler'!$A$2:$A$110,B316,'İndirimler'!$B$2:$B$110,C316)&gt;0,ROUND(G316*(1-SUMIFS('İndirimler'!$C$2:$C$110,'İndirimler'!$A$2:$A$110,B316,'İndirimler'!$B$2:$B$110,C316)),2),"")</x:f>
      </x:c>
      <x:c r="I316" s="49" t="str">
        <x:f>IF(SUMIFS('İndirimler'!$D$2:$D$110,'İndirimler'!$A$2:$A$110,B316,'İndirimler'!$B$2:$B$110,C316)&gt;0,ROUND(G316*(1-SUMIFS('İndirimler'!$D$2:$D$110,'İndirimler'!$A$2:$A$110,B316,'İndirimler'!$B$2:$B$110,C316)),2),"")</x:f>
      </x:c>
      <x:c r="J316" s="37"/>
    </x:row>
    <x:row r="317" ht="22" customHeight="1">
      <x:c r="A317" s="40" t="str">
        <x:v>ORNEK00000083</x:v>
      </x:c>
      <x:c r="B317" s="37" t="str">
        <x:v>ENS Yayınları</x:v>
      </x:c>
      <x:c r="C317" s="37" t="str">
        <x:v>11. Sınıf</x:v>
      </x:c>
      <x:c r="D317" s="37" t="str">
        <x:v>Kimya</x:v>
      </x:c>
      <x:c r="E317" s="37"/>
      <x:c r="F317" s="37" t="str">
        <x:v>Etkinlik Kitabı</x:v>
      </x:c>
      <x:c r="G317" s="43" t="n">
        <x:v>500</x:v>
      </x:c>
      <x:c r="H317" s="46" t="str">
        <x:f>IF(SUMIFS('İndirimler'!$C$2:$C$110,'İndirimler'!$A$2:$A$110,B317,'İndirimler'!$B$2:$B$110,C317)&gt;0,ROUND(G317*(1-SUMIFS('İndirimler'!$C$2:$C$110,'İndirimler'!$A$2:$A$110,B317,'İndirimler'!$B$2:$B$110,C317)),2),"")</x:f>
      </x:c>
      <x:c r="I317" s="49" t="str">
        <x:f>IF(SUMIFS('İndirimler'!$D$2:$D$110,'İndirimler'!$A$2:$A$110,B317,'İndirimler'!$B$2:$B$110,C317)&gt;0,ROUND(G317*(1-SUMIFS('İndirimler'!$D$2:$D$110,'İndirimler'!$A$2:$A$110,B317,'İndirimler'!$B$2:$B$110,C317)),2),"")</x:f>
      </x:c>
      <x:c r="J317" s="37"/>
    </x:row>
    <x:row r="318" ht="22" customHeight="1">
      <x:c r="A318" s="40" t="str">
        <x:v>9786257732574</x:v>
      </x:c>
      <x:c r="B318" s="37" t="str">
        <x:v>Çap Yayınları</x:v>
      </x:c>
      <x:c r="C318" s="37" t="str">
        <x:v>12. Sınıf</x:v>
      </x:c>
      <x:c r="D318" s="37" t="str">
        <x:v>Kimya</x:v>
      </x:c>
      <x:c r="E318" s="37" t="str">
        <x:v>Anadolu</x:v>
      </x:c>
      <x:c r="F318" s="37" t="str">
        <x:v>Fasikül Set</x:v>
      </x:c>
      <x:c r="G318" s="43" t="n">
        <x:v>615</x:v>
      </x:c>
      <x:c r="H318" s="46" t="str">
        <x:f>IF(SUMIFS('İndirimler'!$C$2:$C$110,'İndirimler'!$A$2:$A$110,B318,'İndirimler'!$B$2:$B$110,C318)&gt;0,ROUND(G318*(1-SUMIFS('İndirimler'!$C$2:$C$110,'İndirimler'!$A$2:$A$110,B318,'İndirimler'!$B$2:$B$110,C318)),2),"")</x:f>
      </x:c>
      <x:c r="I318" s="49" t="str">
        <x:f>IF(SUMIFS('İndirimler'!$D$2:$D$110,'İndirimler'!$A$2:$A$110,B318,'İndirimler'!$B$2:$B$110,C318)&gt;0,ROUND(G318*(1-SUMIFS('İndirimler'!$D$2:$D$110,'İndirimler'!$A$2:$A$110,B318,'İndirimler'!$B$2:$B$110,C318)),2),"")</x:f>
      </x:c>
      <x:c r="J318" s="37"/>
    </x:row>
    <x:row r="319" ht="22" customHeight="1">
      <x:c r="A319" s="40" t="str">
        <x:v>9786258139648</x:v>
      </x:c>
      <x:c r="B319" s="37" t="str">
        <x:v>Çap Yayınları</x:v>
      </x:c>
      <x:c r="C319" s="37" t="str">
        <x:v>12. Sınıf</x:v>
      </x:c>
      <x:c r="D319" s="37" t="str">
        <x:v>Kimya</x:v>
      </x:c>
      <x:c r="E319" s="37" t="str">
        <x:v>Fen Lisesi</x:v>
      </x:c>
      <x:c r="F319" s="37" t="str">
        <x:v>Fasikül Set</x:v>
      </x:c>
      <x:c r="G319" s="43" t="n">
        <x:v>615</x:v>
      </x:c>
      <x:c r="H319" s="46" t="str">
        <x:f>IF(SUMIFS('İndirimler'!$C$2:$C$110,'İndirimler'!$A$2:$A$110,B319,'İndirimler'!$B$2:$B$110,C319)&gt;0,ROUND(G319*(1-SUMIFS('İndirimler'!$C$2:$C$110,'İndirimler'!$A$2:$A$110,B319,'İndirimler'!$B$2:$B$110,C319)),2),"")</x:f>
      </x:c>
      <x:c r="I319" s="49" t="str">
        <x:f>IF(SUMIFS('İndirimler'!$D$2:$D$110,'İndirimler'!$A$2:$A$110,B319,'İndirimler'!$B$2:$B$110,C319)&gt;0,ROUND(G319*(1-SUMIFS('İndirimler'!$D$2:$D$110,'İndirimler'!$A$2:$A$110,B319,'İndirimler'!$B$2:$B$110,C319)),2),"")</x:f>
      </x:c>
      <x:c r="J319" s="37"/>
    </x:row>
    <x:row r="320" ht="22" customHeight="1">
      <x:c r="A320" s="40" t="str">
        <x:v>9786258104486</x:v>
      </x:c>
      <x:c r="B320" s="37" t="str">
        <x:v>Aydın</x:v>
      </x:c>
      <x:c r="C320" s="37" t="str">
        <x:v>12. Sınıf</x:v>
      </x:c>
      <x:c r="D320" s="37" t="str">
        <x:v>Kimya</x:v>
      </x:c>
      <x:c r="E320" s="37" t="str">
        <x:v>Ders İşleyiş Modülleri</x:v>
      </x:c>
      <x:c r="F320" s="37" t="str">
        <x:v>Konu Anlatımlı</x:v>
      </x:c>
      <x:c r="G320" s="43" t="n">
        <x:v>358</x:v>
      </x:c>
      <x:c r="H320" s="46" t="str">
        <x:f>IF(SUMIFS('İndirimler'!$C$2:$C$110,'İndirimler'!$A$2:$A$110,B320,'İndirimler'!$B$2:$B$110,C320)&gt;0,ROUND(G320*(1-SUMIFS('İndirimler'!$C$2:$C$110,'İndirimler'!$A$2:$A$110,B320,'İndirimler'!$B$2:$B$110,C320)),2),"")</x:f>
      </x:c>
      <x:c r="I320" s="49" t="str">
        <x:f>IF(SUMIFS('İndirimler'!$D$2:$D$110,'İndirimler'!$A$2:$A$110,B320,'İndirimler'!$B$2:$B$110,C320)&gt;0,ROUND(G320*(1-SUMIFS('İndirimler'!$D$2:$D$110,'İndirimler'!$A$2:$A$110,B320,'İndirimler'!$B$2:$B$110,C320)),2),"")</x:f>
      </x:c>
      <x:c r="J320" s="37"/>
    </x:row>
    <x:row r="321" ht="22" customHeight="1">
      <x:c r="A321" s="40" t="str">
        <x:v>9786258104547</x:v>
      </x:c>
      <x:c r="B321" s="37" t="str">
        <x:v>Miray</x:v>
      </x:c>
      <x:c r="C321" s="37" t="str">
        <x:v>12. Sınıf</x:v>
      </x:c>
      <x:c r="D321" s="37" t="str">
        <x:v>Kimya</x:v>
      </x:c>
      <x:c r="E321" s="37" t="str">
        <x:v>Ders Anlatım Fasikülleri</x:v>
      </x:c>
      <x:c r="F321" s="37" t="str">
        <x:v>Konu Anlatımlı</x:v>
      </x:c>
      <x:c r="G321" s="43" t="n">
        <x:v>634</x:v>
      </x:c>
      <x:c r="H321" s="46" t="str">
        <x:f>IF(SUMIFS('İndirimler'!$C$2:$C$110,'İndirimler'!$A$2:$A$110,B321,'İndirimler'!$B$2:$B$110,C321)&gt;0,ROUND(G321*(1-SUMIFS('İndirimler'!$C$2:$C$110,'İndirimler'!$A$2:$A$110,B321,'İndirimler'!$B$2:$B$110,C321)),2),"")</x:f>
      </x:c>
      <x:c r="I321" s="49" t="str">
        <x:f>IF(SUMIFS('İndirimler'!$D$2:$D$110,'İndirimler'!$A$2:$A$110,B321,'İndirimler'!$B$2:$B$110,C321)&gt;0,ROUND(G321*(1-SUMIFS('İndirimler'!$D$2:$D$110,'İndirimler'!$A$2:$A$110,B321,'İndirimler'!$B$2:$B$110,C321)),2),"")</x:f>
      </x:c>
      <x:c r="J321" s="37"/>
    </x:row>
    <x:row r="322" ht="22" customHeight="1">
      <x:c r="A322" s="40" t="str">
        <x:v>9786057323408</x:v>
      </x:c>
      <x:c r="B322" s="37" t="str">
        <x:v>Orbital Yayınları</x:v>
      </x:c>
      <x:c r="C322" s="37" t="str">
        <x:v>12. Sınıf</x:v>
      </x:c>
      <x:c r="D322" s="37" t="str">
        <x:v>Kimya</x:v>
      </x:c>
      <x:c r="E322" s="37" t="str">
        <x:v>Odam</x:v>
      </x:c>
      <x:c r="F322" s="37" t="str">
        <x:v>Konu Anlatımlı</x:v>
      </x:c>
      <x:c r="G322" s="43" t="n">
        <x:v>275</x:v>
      </x:c>
      <x:c r="H322" s="46" t="str">
        <x:f>IF(SUMIFS('İndirimler'!$C$2:$C$110,'İndirimler'!$A$2:$A$110,B322,'İndirimler'!$B$2:$B$110,C322)&gt;0,ROUND(G322*(1-SUMIFS('İndirimler'!$C$2:$C$110,'İndirimler'!$A$2:$A$110,B322,'İndirimler'!$B$2:$B$110,C322)),2),"")</x:f>
      </x:c>
      <x:c r="I322" s="49" t="str">
        <x:f>IF(SUMIFS('İndirimler'!$D$2:$D$110,'İndirimler'!$A$2:$A$110,B322,'İndirimler'!$B$2:$B$110,C322)&gt;0,ROUND(G322*(1-SUMIFS('İndirimler'!$D$2:$D$110,'İndirimler'!$A$2:$A$110,B322,'İndirimler'!$B$2:$B$110,C322)),2),"")</x:f>
      </x:c>
      <x:c r="J322" s="37"/>
    </x:row>
    <x:row r="323" ht="22" customHeight="1">
      <x:c r="A323" s="40" t="str">
        <x:v>9786057323415</x:v>
      </x:c>
      <x:c r="B323" s="37" t="str">
        <x:v>Orbital Yayınları</x:v>
      </x:c>
      <x:c r="C323" s="37" t="str">
        <x:v>12. Sınıf</x:v>
      </x:c>
      <x:c r="D323" s="37" t="str">
        <x:v>Kimya</x:v>
      </x:c>
      <x:c r="E323" s="37" t="str">
        <x:v>Odam</x:v>
      </x:c>
      <x:c r="F323" s="37" t="str">
        <x:v>Konu Anlatımlı</x:v>
      </x:c>
      <x:c r="G323" s="43" t="n">
        <x:v>305</x:v>
      </x:c>
      <x:c r="H323" s="46" t="str">
        <x:f>IF(SUMIFS('İndirimler'!$C$2:$C$110,'İndirimler'!$A$2:$A$110,B323,'İndirimler'!$B$2:$B$110,C323)&gt;0,ROUND(G323*(1-SUMIFS('İndirimler'!$C$2:$C$110,'İndirimler'!$A$2:$A$110,B323,'İndirimler'!$B$2:$B$110,C323)),2),"")</x:f>
      </x:c>
      <x:c r="I323" s="49" t="str">
        <x:f>IF(SUMIFS('İndirimler'!$D$2:$D$110,'İndirimler'!$A$2:$A$110,B323,'İndirimler'!$B$2:$B$110,C323)&gt;0,ROUND(G323*(1-SUMIFS('İndirimler'!$D$2:$D$110,'İndirimler'!$A$2:$A$110,B323,'İndirimler'!$B$2:$B$110,C323)),2),"")</x:f>
      </x:c>
      <x:c r="J323" s="37"/>
    </x:row>
    <x:row r="324" ht="22" customHeight="1">
      <x:c r="A324" s="40" t="str">
        <x:v>9786256412453</x:v>
      </x:c>
      <x:c r="B324" s="37" t="str">
        <x:v>Miray</x:v>
      </x:c>
      <x:c r="C324" s="37" t="str">
        <x:v>12. Sınıf</x:v>
      </x:c>
      <x:c r="D324" s="37" t="str">
        <x:v>Kimya</x:v>
      </x:c>
      <x:c r="E324" s="37"/>
      <x:c r="F324" s="37" t="str">
        <x:v>Soru Bankası</x:v>
      </x:c>
      <x:c r="G324" s="43" t="n">
        <x:v>275</x:v>
      </x:c>
      <x:c r="H324" s="46" t="str">
        <x:f>IF(SUMIFS('İndirimler'!$C$2:$C$110,'İndirimler'!$A$2:$A$110,B324,'İndirimler'!$B$2:$B$110,C324)&gt;0,ROUND(G324*(1-SUMIFS('İndirimler'!$C$2:$C$110,'İndirimler'!$A$2:$A$110,B324,'İndirimler'!$B$2:$B$110,C324)),2),"")</x:f>
      </x:c>
      <x:c r="I324" s="49" t="str">
        <x:f>IF(SUMIFS('İndirimler'!$D$2:$D$110,'İndirimler'!$A$2:$A$110,B324,'İndirimler'!$B$2:$B$110,C324)&gt;0,ROUND(G324*(1-SUMIFS('İndirimler'!$D$2:$D$110,'İndirimler'!$A$2:$A$110,B324,'İndirimler'!$B$2:$B$110,C324)),2),"")</x:f>
      </x:c>
      <x:c r="J324" s="37"/>
    </x:row>
    <x:row r="325" ht="22" customHeight="1">
      <x:c r="A325" s="40" t="str">
        <x:v>9786256142428</x:v>
      </x:c>
      <x:c r="B325" s="37" t="str">
        <x:v>Aydın</x:v>
      </x:c>
      <x:c r="C325" s="37" t="str">
        <x:v>Maarif TYT</x:v>
      </x:c>
      <x:c r="D325" s="37" t="str">
        <x:v>Kimya</x:v>
      </x:c>
      <x:c r="E325" s="37"/>
      <x:c r="F325" s="37" t="str">
        <x:v>Soru Bankası</x:v>
      </x:c>
      <x:c r="G325" s="43" t="n">
        <x:v>655</x:v>
      </x:c>
      <x:c r="H325" s="46" t="str">
        <x:f>IF(SUMIFS('İndirimler'!$C$2:$C$110,'İndirimler'!$A$2:$A$110,B325,'İndirimler'!$B$2:$B$110,C325)&gt;0,ROUND(G325*(1-SUMIFS('İndirimler'!$C$2:$C$110,'İndirimler'!$A$2:$A$110,B325,'İndirimler'!$B$2:$B$110,C325)),2),"")</x:f>
      </x:c>
      <x:c r="I325" s="49" t="str">
        <x:f>IF(SUMIFS('İndirimler'!$D$2:$D$110,'İndirimler'!$A$2:$A$110,B325,'İndirimler'!$B$2:$B$110,C325)&gt;0,ROUND(G325*(1-SUMIFS('İndirimler'!$D$2:$D$110,'İndirimler'!$A$2:$A$110,B325,'İndirimler'!$B$2:$B$110,C325)),2),"")</x:f>
      </x:c>
      <x:c r="J325" s="37"/>
    </x:row>
    <x:row r="326" ht="22" customHeight="1">
      <x:c r="A326" s="40" t="str">
        <x:v>9786256712577</x:v>
      </x:c>
      <x:c r="B326" s="37" t="str">
        <x:v>Bilgi Sarmal Yayınları</x:v>
      </x:c>
      <x:c r="C326" s="37" t="str">
        <x:v>Maarif TYT</x:v>
      </x:c>
      <x:c r="D326" s="37" t="str">
        <x:v>Kimya</x:v>
      </x:c>
      <x:c r="E326" s="37"/>
      <x:c r="F326" s="37" t="str">
        <x:v>Soru Bankası</x:v>
      </x:c>
      <x:c r="G326" s="43" t="n">
        <x:v>479</x:v>
      </x:c>
      <x:c r="H326" s="46" t="str">
        <x:f>IF(SUMIFS('İndirimler'!$C$2:$C$110,'İndirimler'!$A$2:$A$110,B326,'İndirimler'!$B$2:$B$110,C326)&gt;0,ROUND(G326*(1-SUMIFS('İndirimler'!$C$2:$C$110,'İndirimler'!$A$2:$A$110,B326,'İndirimler'!$B$2:$B$110,C326)),2),"")</x:f>
      </x:c>
      <x:c r="I326" s="49" t="str">
        <x:f>IF(SUMIFS('İndirimler'!$D$2:$D$110,'İndirimler'!$A$2:$A$110,B326,'İndirimler'!$B$2:$B$110,C326)&gt;0,ROUND(G326*(1-SUMIFS('İndirimler'!$D$2:$D$110,'İndirimler'!$A$2:$A$110,B326,'İndirimler'!$B$2:$B$110,C326)),2),"")</x:f>
      </x:c>
      <x:c r="J326" s="37"/>
    </x:row>
    <x:row r="327" ht="22" customHeight="1">
      <x:c r="A327" s="40" t="str">
        <x:v>9786052758922</x:v>
      </x:c>
      <x:c r="B327" s="37" t="str">
        <x:v>Limit</x:v>
      </x:c>
      <x:c r="C327" s="37" t="str">
        <x:v>Maarif TYT</x:v>
      </x:c>
      <x:c r="D327" s="37" t="str">
        <x:v>Kimya</x:v>
      </x:c>
      <x:c r="E327" s="37"/>
      <x:c r="F327" s="37" t="str">
        <x:v>Soru Bankası</x:v>
      </x:c>
      <x:c r="G327" s="43" t="n">
        <x:v>465</x:v>
      </x:c>
      <x:c r="H327" s="46" t="str">
        <x:f>IF(SUMIFS('İndirimler'!$C$2:$C$110,'İndirimler'!$A$2:$A$110,B327,'İndirimler'!$B$2:$B$110,C327)&gt;0,ROUND(G327*(1-SUMIFS('İndirimler'!$C$2:$C$110,'İndirimler'!$A$2:$A$110,B327,'İndirimler'!$B$2:$B$110,C327)),2),"")</x:f>
      </x:c>
      <x:c r="I327" s="49" t="str">
        <x:f>IF(SUMIFS('İndirimler'!$D$2:$D$110,'İndirimler'!$A$2:$A$110,B327,'İndirimler'!$B$2:$B$110,C327)&gt;0,ROUND(G327*(1-SUMIFS('İndirimler'!$D$2:$D$110,'İndirimler'!$A$2:$A$110,B327,'İndirimler'!$B$2:$B$110,C327)),2),"")</x:f>
      </x:c>
      <x:c r="J327" s="37"/>
    </x:row>
    <x:row r="328" ht="22" customHeight="1">
      <x:c r="A328" s="40" t="str">
        <x:v>9786256142527</x:v>
      </x:c>
      <x:c r="B328" s="37" t="str">
        <x:v>Miray</x:v>
      </x:c>
      <x:c r="C328" s="37" t="str">
        <x:v>Maarif TYT</x:v>
      </x:c>
      <x:c r="D328" s="37" t="str">
        <x:v>Kimya</x:v>
      </x:c>
      <x:c r="E328" s="37"/>
      <x:c r="F328" s="37" t="str">
        <x:v>Soru Bankası</x:v>
      </x:c>
      <x:c r="G328" s="43" t="n">
        <x:v>538</x:v>
      </x:c>
      <x:c r="H328" s="46" t="str">
        <x:f>IF(SUMIFS('İndirimler'!$C$2:$C$110,'İndirimler'!$A$2:$A$110,B328,'İndirimler'!$B$2:$B$110,C328)&gt;0,ROUND(G328*(1-SUMIFS('İndirimler'!$C$2:$C$110,'İndirimler'!$A$2:$A$110,B328,'İndirimler'!$B$2:$B$110,C328)),2),"")</x:f>
      </x:c>
      <x:c r="I328" s="49" t="str">
        <x:f>IF(SUMIFS('İndirimler'!$D$2:$D$110,'İndirimler'!$A$2:$A$110,B328,'İndirimler'!$B$2:$B$110,C328)&gt;0,ROUND(G328*(1-SUMIFS('İndirimler'!$D$2:$D$110,'İndirimler'!$A$2:$A$110,B328,'İndirimler'!$B$2:$B$110,C328)),2),"")</x:f>
      </x:c>
      <x:c r="J328" s="37"/>
    </x:row>
    <x:row r="329" ht="22" customHeight="1">
      <x:c r="A329" s="40" t="str">
        <x:v>ORNEK00000100</x:v>
      </x:c>
      <x:c r="B329" s="37" t="str">
        <x:v>Oktet Yayınları</x:v>
      </x:c>
      <x:c r="C329" s="37" t="str">
        <x:v>Maarif TYT</x:v>
      </x:c>
      <x:c r="D329" s="37" t="str">
        <x:v>Kimya</x:v>
      </x:c>
      <x:c r="E329" s="37"/>
      <x:c r="F329" s="37" t="str">
        <x:v>Soru Bankası</x:v>
      </x:c>
      <x:c r="G329" s="43" t="n">
        <x:v>500</x:v>
      </x:c>
      <x:c r="H329" s="46" t="str">
        <x:f>IF(SUMIFS('İndirimler'!$C$2:$C$110,'İndirimler'!$A$2:$A$110,B329,'İndirimler'!$B$2:$B$110,C329)&gt;0,ROUND(G329*(1-SUMIFS('İndirimler'!$C$2:$C$110,'İndirimler'!$A$2:$A$110,B329,'İndirimler'!$B$2:$B$110,C329)),2),"")</x:f>
      </x:c>
      <x:c r="I329" s="49" t="str">
        <x:f>IF(SUMIFS('İndirimler'!$D$2:$D$110,'İndirimler'!$A$2:$A$110,B329,'İndirimler'!$B$2:$B$110,C329)&gt;0,ROUND(G329*(1-SUMIFS('İndirimler'!$D$2:$D$110,'İndirimler'!$A$2:$A$110,B329,'İndirimler'!$B$2:$B$110,C329)),2),"")</x:f>
      </x:c>
      <x:c r="J329" s="37"/>
    </x:row>
    <x:row r="330" ht="22" customHeight="1">
      <x:c r="A330" s="40" t="str">
        <x:v>9786259677873</x:v>
      </x:c>
      <x:c r="B330" s="37" t="str">
        <x:v>Orbital Yayınları</x:v>
      </x:c>
      <x:c r="C330" s="37" t="str">
        <x:v>Maarif TYT</x:v>
      </x:c>
      <x:c r="D330" s="37" t="str">
        <x:v>Kimya</x:v>
      </x:c>
      <x:c r="E330" s="37"/>
      <x:c r="F330" s="37" t="str">
        <x:v>Soru Bankası</x:v>
      </x:c>
      <x:c r="G330" s="43" t="n">
        <x:v>599</x:v>
      </x:c>
      <x:c r="H330" s="46" t="str">
        <x:f>IF(SUMIFS('İndirimler'!$C$2:$C$110,'İndirimler'!$A$2:$A$110,B330,'İndirimler'!$B$2:$B$110,C330)&gt;0,ROUND(G330*(1-SUMIFS('İndirimler'!$C$2:$C$110,'İndirimler'!$A$2:$A$110,B330,'İndirimler'!$B$2:$B$110,C330)),2),"")</x:f>
      </x:c>
      <x:c r="I330" s="49" t="str">
        <x:f>IF(SUMIFS('İndirimler'!$D$2:$D$110,'İndirimler'!$A$2:$A$110,B330,'İndirimler'!$B$2:$B$110,C330)&gt;0,ROUND(G330*(1-SUMIFS('İndirimler'!$D$2:$D$110,'İndirimler'!$A$2:$A$110,B330,'İndirimler'!$B$2:$B$110,C330)),2),"")</x:f>
      </x:c>
      <x:c r="J330" s="37"/>
    </x:row>
    <x:row r="331" ht="22" customHeight="1">
      <x:c r="A331" s="40" t="str">
        <x:v>9786259026312</x:v>
      </x:c>
      <x:c r="B331" s="37" t="str">
        <x:v>Çap Yayınları</x:v>
      </x:c>
      <x:c r="C331" s="37" t="str">
        <x:v>Maarif TYT</x:v>
      </x:c>
      <x:c r="D331" s="37" t="str">
        <x:v>Kimya</x:v>
      </x:c>
      <x:c r="E331" s="37" t="str">
        <x:v>Tematik</x:v>
      </x:c>
      <x:c r="F331" s="37" t="str">
        <x:v>Soru Bankası</x:v>
      </x:c>
      <x:c r="G331" s="43" t="n">
        <x:v>395</x:v>
      </x:c>
      <x:c r="H331" s="46" t="str">
        <x:f>IF(SUMIFS('İndirimler'!$C$2:$C$110,'İndirimler'!$A$2:$A$110,B331,'İndirimler'!$B$2:$B$110,C331)&gt;0,ROUND(G331*(1-SUMIFS('İndirimler'!$C$2:$C$110,'İndirimler'!$A$2:$A$110,B331,'İndirimler'!$B$2:$B$110,C331)),2),"")</x:f>
      </x:c>
      <x:c r="I331" s="49" t="str">
        <x:f>IF(SUMIFS('İndirimler'!$D$2:$D$110,'İndirimler'!$A$2:$A$110,B331,'İndirimler'!$B$2:$B$110,C331)&gt;0,ROUND(G331*(1-SUMIFS('İndirimler'!$D$2:$D$110,'İndirimler'!$A$2:$A$110,B331,'İndirimler'!$B$2:$B$110,C331)),2),"")</x:f>
      </x:c>
      <x:c r="J331" s="37"/>
    </x:row>
    <x:row r="332" ht="22" customHeight="1">
      <x:c r="A332" s="40" t="str">
        <x:v>9786259205731</x:v>
      </x:c>
      <x:c r="B332" s="37" t="str">
        <x:v>Ulti Yayınları</x:v>
      </x:c>
      <x:c r="C332" s="37" t="str">
        <x:v>9. Sınıf</x:v>
      </x:c>
      <x:c r="D332" s="37" t="str">
        <x:v>Biyoloji</x:v>
      </x:c>
      <x:c r="E332" s="37"/>
      <x:c r="F332" s="37" t="str">
        <x:v>Fasikül Set</x:v>
      </x:c>
      <x:c r="G332" s="43" t="n">
        <x:v>549</x:v>
      </x:c>
      <x:c r="H332" s="46" t="str">
        <x:f>IF(SUMIFS('İndirimler'!$C$2:$C$110,'İndirimler'!$A$2:$A$110,B332,'İndirimler'!$B$2:$B$110,C332)&gt;0,ROUND(G332*(1-SUMIFS('İndirimler'!$C$2:$C$110,'İndirimler'!$A$2:$A$110,B332,'İndirimler'!$B$2:$B$110,C332)),2),"")</x:f>
      </x:c>
      <x:c r="I332" s="49" t="str">
        <x:f>IF(SUMIFS('İndirimler'!$D$2:$D$110,'İndirimler'!$A$2:$A$110,B332,'İndirimler'!$B$2:$B$110,C332)&gt;0,ROUND(G332*(1-SUMIFS('İndirimler'!$D$2:$D$110,'İndirimler'!$A$2:$A$110,B332,'İndirimler'!$B$2:$B$110,C332)),2),"")</x:f>
      </x:c>
      <x:c r="J332" s="37"/>
    </x:row>
    <x:row r="333" ht="22" customHeight="1">
      <x:c r="A333" s="40" t="str">
        <x:v>9786256040298</x:v>
      </x:c>
      <x:c r="B333" s="37" t="str">
        <x:v>Çap Yayınları</x:v>
      </x:c>
      <x:c r="C333" s="37" t="str">
        <x:v>9. Sınıf</x:v>
      </x:c>
      <x:c r="D333" s="37" t="str">
        <x:v>Biyoloji</x:v>
      </x:c>
      <x:c r="E333" s="37"/>
      <x:c r="F333" s="37" t="str">
        <x:v>Fasikül Set</x:v>
      </x:c>
      <x:c r="G333" s="43" t="n">
        <x:v>755</x:v>
      </x:c>
      <x:c r="H333" s="46" t="str">
        <x:f>IF(SUMIFS('İndirimler'!$C$2:$C$110,'İndirimler'!$A$2:$A$110,B333,'İndirimler'!$B$2:$B$110,C333)&gt;0,ROUND(G333*(1-SUMIFS('İndirimler'!$C$2:$C$110,'İndirimler'!$A$2:$A$110,B333,'İndirimler'!$B$2:$B$110,C333)),2),"")</x:f>
      </x:c>
      <x:c r="I333" s="49" t="str">
        <x:f>IF(SUMIFS('İndirimler'!$D$2:$D$110,'İndirimler'!$A$2:$A$110,B333,'İndirimler'!$B$2:$B$110,C333)&gt;0,ROUND(G333*(1-SUMIFS('İndirimler'!$D$2:$D$110,'İndirimler'!$A$2:$A$110,B333,'İndirimler'!$B$2:$B$110,C333)),2),"")</x:f>
      </x:c>
      <x:c r="J333" s="37"/>
    </x:row>
    <x:row r="334" ht="22" customHeight="1">
      <x:c r="A334" s="40" t="str">
        <x:v>ORNEK00000035</x:v>
      </x:c>
      <x:c r="B334" s="37" t="str">
        <x:v>Bilgi Sarmal Yayınları</x:v>
      </x:c>
      <x:c r="C334" s="37" t="str">
        <x:v>9. Sınıf</x:v>
      </x:c>
      <x:c r="D334" s="37" t="str">
        <x:v>Biyoloji</x:v>
      </x:c>
      <x:c r="E334" s="37" t="str">
        <x:v>Tema</x:v>
      </x:c>
      <x:c r="F334" s="37" t="str">
        <x:v>Konu Anlatımlı</x:v>
      </x:c>
      <x:c r="G334" s="43" t="n">
        <x:v>500</x:v>
      </x:c>
      <x:c r="H334" s="46" t="str">
        <x:f>IF(SUMIFS('İndirimler'!$C$2:$C$110,'İndirimler'!$A$2:$A$110,B334,'İndirimler'!$B$2:$B$110,C334)&gt;0,ROUND(G334*(1-SUMIFS('İndirimler'!$C$2:$C$110,'İndirimler'!$A$2:$A$110,B334,'İndirimler'!$B$2:$B$110,C334)),2),"")</x:f>
      </x:c>
      <x:c r="I334" s="49" t="str">
        <x:f>IF(SUMIFS('İndirimler'!$D$2:$D$110,'İndirimler'!$A$2:$A$110,B334,'İndirimler'!$B$2:$B$110,C334)&gt;0,ROUND(G334*(1-SUMIFS('İndirimler'!$D$2:$D$110,'İndirimler'!$A$2:$A$110,B334,'İndirimler'!$B$2:$B$110,C334)),2),"")</x:f>
      </x:c>
      <x:c r="J334" s="37"/>
    </x:row>
    <x:row r="335" ht="22" customHeight="1">
      <x:c r="A335" s="40" t="str">
        <x:v>9786057361967</x:v>
      </x:c>
      <x:c r="B335" s="37" t="str">
        <x:v>Biyotik Yayınları</x:v>
      </x:c>
      <x:c r="C335" s="37" t="str">
        <x:v>9. Sınıf</x:v>
      </x:c>
      <x:c r="D335" s="37" t="str">
        <x:v>Biyoloji</x:v>
      </x:c>
      <x:c r="E335" s="37"/>
      <x:c r="F335" s="37" t="str">
        <x:v>Konu Anlatımlı</x:v>
      </x:c>
      <x:c r="G335" s="43" t="n">
        <x:v>499</x:v>
      </x:c>
      <x:c r="H335" s="46" t="str">
        <x:f>IF(SUMIFS('İndirimler'!$C$2:$C$110,'İndirimler'!$A$2:$A$110,B335,'İndirimler'!$B$2:$B$110,C335)&gt;0,ROUND(G335*(1-SUMIFS('İndirimler'!$C$2:$C$110,'İndirimler'!$A$2:$A$110,B335,'İndirimler'!$B$2:$B$110,C335)),2),"")</x:f>
      </x:c>
      <x:c r="I335" s="49" t="str">
        <x:f>IF(SUMIFS('İndirimler'!$D$2:$D$110,'İndirimler'!$A$2:$A$110,B335,'İndirimler'!$B$2:$B$110,C335)&gt;0,ROUND(G335*(1-SUMIFS('İndirimler'!$D$2:$D$110,'İndirimler'!$A$2:$A$110,B335,'İndirimler'!$B$2:$B$110,C335)),2),"")</x:f>
      </x:c>
      <x:c r="J335" s="37"/>
    </x:row>
    <x:row r="336" ht="22" customHeight="1">
      <x:c r="A336" s="40" t="str">
        <x:v>9786259188904</x:v>
      </x:c>
      <x:c r="B336" s="37" t="str">
        <x:v>Biyotik Yayınları</x:v>
      </x:c>
      <x:c r="C336" s="37" t="str">
        <x:v>9. Sınıf</x:v>
      </x:c>
      <x:c r="D336" s="37" t="str">
        <x:v>Biyoloji</x:v>
      </x:c>
      <x:c r="E336" s="37"/>
      <x:c r="F336" s="37" t="str">
        <x:v>Konu Anlatımlı</x:v>
      </x:c>
      <x:c r="G336" s="43" t="n">
        <x:v>499</x:v>
      </x:c>
      <x:c r="H336" s="46" t="str">
        <x:f>IF(SUMIFS('İndirimler'!$C$2:$C$110,'İndirimler'!$A$2:$A$110,B336,'İndirimler'!$B$2:$B$110,C336)&gt;0,ROUND(G336*(1-SUMIFS('İndirimler'!$C$2:$C$110,'İndirimler'!$A$2:$A$110,B336,'İndirimler'!$B$2:$B$110,C336)),2),"")</x:f>
      </x:c>
      <x:c r="I336" s="49" t="str">
        <x:f>IF(SUMIFS('İndirimler'!$D$2:$D$110,'İndirimler'!$A$2:$A$110,B336,'İndirimler'!$B$2:$B$110,C336)&gt;0,ROUND(G336*(1-SUMIFS('İndirimler'!$D$2:$D$110,'İndirimler'!$A$2:$A$110,B336,'İndirimler'!$B$2:$B$110,C336)),2),"")</x:f>
      </x:c>
      <x:c r="J336" s="37"/>
    </x:row>
    <x:row r="337" ht="22" customHeight="1">
      <x:c r="A337" s="40" t="str">
        <x:v>9786256630451</x:v>
      </x:c>
      <x:c r="B337" s="37" t="str">
        <x:v>Eğitim Vadisi</x:v>
      </x:c>
      <x:c r="C337" s="37" t="str">
        <x:v>9. Sınıf</x:v>
      </x:c>
      <x:c r="D337" s="37" t="str">
        <x:v>Biyoloji</x:v>
      </x:c>
      <x:c r="E337" s="37" t="str">
        <x:v>TAK Tam Anlatım Kitabı</x:v>
      </x:c>
      <x:c r="F337" s="37" t="str">
        <x:v>Konu Anlatımlı</x:v>
      </x:c>
      <x:c r="G337" s="43" t="n">
        <x:v>376</x:v>
      </x:c>
      <x:c r="H337" s="46" t="str">
        <x:f>IF(SUMIFS('İndirimler'!$C$2:$C$110,'İndirimler'!$A$2:$A$110,B337,'İndirimler'!$B$2:$B$110,C337)&gt;0,ROUND(G337*(1-SUMIFS('İndirimler'!$C$2:$C$110,'İndirimler'!$A$2:$A$110,B337,'İndirimler'!$B$2:$B$110,C337)),2),"")</x:f>
      </x:c>
      <x:c r="I337" s="49" t="str">
        <x:f>IF(SUMIFS('İndirimler'!$D$2:$D$110,'İndirimler'!$A$2:$A$110,B337,'İndirimler'!$B$2:$B$110,C337)&gt;0,ROUND(G337*(1-SUMIFS('İndirimler'!$D$2:$D$110,'İndirimler'!$A$2:$A$110,B337,'İndirimler'!$B$2:$B$110,C337)),2),"")</x:f>
      </x:c>
      <x:c r="J337" s="37" t="str">
        <x:v>https://app.karakok.net/spShowFlip/1544</x:v>
      </x:c>
    </x:row>
    <x:row r="338" ht="22" customHeight="1">
      <x:c r="A338" s="40" t="str">
        <x:v>9786052756669</x:v>
      </x:c>
      <x:c r="B338" s="37" t="str">
        <x:v>Limit</x:v>
      </x:c>
      <x:c r="C338" s="37" t="str">
        <x:v>9. Sınıf</x:v>
      </x:c>
      <x:c r="D338" s="37" t="str">
        <x:v>Biyoloji</x:v>
      </x:c>
      <x:c r="E338" s="37"/>
      <x:c r="F338" s="37" t="str">
        <x:v>Konu Anlatımlı</x:v>
      </x:c>
      <x:c r="G338" s="43" t="n">
        <x:v>520</x:v>
      </x:c>
      <x:c r="H338" s="46" t="str">
        <x:f>IF(SUMIFS('İndirimler'!$C$2:$C$110,'İndirimler'!$A$2:$A$110,B338,'İndirimler'!$B$2:$B$110,C338)&gt;0,ROUND(G338*(1-SUMIFS('İndirimler'!$C$2:$C$110,'İndirimler'!$A$2:$A$110,B338,'İndirimler'!$B$2:$B$110,C338)),2),"")</x:f>
      </x:c>
      <x:c r="I338" s="49" t="str">
        <x:f>IF(SUMIFS('İndirimler'!$D$2:$D$110,'İndirimler'!$A$2:$A$110,B338,'İndirimler'!$B$2:$B$110,C338)&gt;0,ROUND(G338*(1-SUMIFS('İndirimler'!$D$2:$D$110,'İndirimler'!$A$2:$A$110,B338,'İndirimler'!$B$2:$B$110,C338)),2),"")</x:f>
      </x:c>
      <x:c r="J338" s="37"/>
    </x:row>
    <x:row r="339" ht="22" customHeight="1">
      <x:c r="A339" s="40" t="str">
        <x:v>9786256412781</x:v>
      </x:c>
      <x:c r="B339" s="37" t="str">
        <x:v>Miray</x:v>
      </x:c>
      <x:c r="C339" s="37" t="str">
        <x:v>9. Sınıf</x:v>
      </x:c>
      <x:c r="D339" s="37" t="str">
        <x:v>Biyoloji</x:v>
      </x:c>
      <x:c r="E339" s="37" t="str">
        <x:v>Ders Anlatım Fasikülleri</x:v>
      </x:c>
      <x:c r="F339" s="37" t="str">
        <x:v>Konu Anlatımlı</x:v>
      </x:c>
      <x:c r="G339" s="43" t="n">
        <x:v>500</x:v>
      </x:c>
      <x:c r="H339" s="46" t="str">
        <x:f>IF(SUMIFS('İndirimler'!$C$2:$C$110,'İndirimler'!$A$2:$A$110,B339,'İndirimler'!$B$2:$B$110,C339)&gt;0,ROUND(G339*(1-SUMIFS('İndirimler'!$C$2:$C$110,'İndirimler'!$A$2:$A$110,B339,'İndirimler'!$B$2:$B$110,C339)),2),"")</x:f>
      </x:c>
      <x:c r="I339" s="49" t="str">
        <x:f>IF(SUMIFS('İndirimler'!$D$2:$D$110,'İndirimler'!$A$2:$A$110,B339,'İndirimler'!$B$2:$B$110,C339)&gt;0,ROUND(G339*(1-SUMIFS('İndirimler'!$D$2:$D$110,'İndirimler'!$A$2:$A$110,B339,'İndirimler'!$B$2:$B$110,C339)),2),"")</x:f>
      </x:c>
      <x:c r="J339" s="37"/>
    </x:row>
    <x:row r="340" ht="22" customHeight="1">
      <x:c r="A340" s="40" t="str">
        <x:v>9786256921597</x:v>
      </x:c>
      <x:c r="B340" s="37" t="str">
        <x:v>4K</x:v>
      </x:c>
      <x:c r="C340" s="37" t="str">
        <x:v>9. Sınıf</x:v>
      </x:c>
      <x:c r="D340" s="37" t="str">
        <x:v>Biyoloji</x:v>
      </x:c>
      <x:c r="E340" s="37"/>
      <x:c r="F340" s="37" t="str">
        <x:v>Soru Bankası</x:v>
      </x:c>
      <x:c r="G340" s="43" t="n">
        <x:v>366</x:v>
      </x:c>
      <x:c r="H340" s="46" t="str">
        <x:f>IF(SUMIFS('İndirimler'!$C$2:$C$110,'İndirimler'!$A$2:$A$110,B340,'İndirimler'!$B$2:$B$110,C340)&gt;0,ROUND(G340*(1-SUMIFS('İndirimler'!$C$2:$C$110,'İndirimler'!$A$2:$A$110,B340,'İndirimler'!$B$2:$B$110,C340)),2),"")</x:f>
      </x:c>
      <x:c r="I340" s="49" t="str">
        <x:f>IF(SUMIFS('İndirimler'!$D$2:$D$110,'İndirimler'!$A$2:$A$110,B340,'İndirimler'!$B$2:$B$110,C340)&gt;0,ROUND(G340*(1-SUMIFS('İndirimler'!$D$2:$D$110,'İndirimler'!$A$2:$A$110,B340,'İndirimler'!$B$2:$B$110,C340)),2),"")</x:f>
      </x:c>
      <x:c r="J340" s="37" t="str">
        <x:v>https://app.karakok.net/spShowFlip/2138</x:v>
      </x:c>
    </x:row>
    <x:row r="341" ht="22" customHeight="1">
      <x:c r="A341" s="40" t="str">
        <x:v>9786256412828</x:v>
      </x:c>
      <x:c r="B341" s="37" t="str">
        <x:v>Aydın</x:v>
      </x:c>
      <x:c r="C341" s="37" t="str">
        <x:v>9. Sınıf</x:v>
      </x:c>
      <x:c r="D341" s="37" t="str">
        <x:v>Biyoloji</x:v>
      </x:c>
      <x:c r="E341" s="37"/>
      <x:c r="F341" s="37" t="str">
        <x:v>Soru Bankası</x:v>
      </x:c>
      <x:c r="G341" s="43" t="n">
        <x:v>480</x:v>
      </x:c>
      <x:c r="H341" s="46" t="str">
        <x:f>IF(SUMIFS('İndirimler'!$C$2:$C$110,'İndirimler'!$A$2:$A$110,B341,'İndirimler'!$B$2:$B$110,C341)&gt;0,ROUND(G341*(1-SUMIFS('İndirimler'!$C$2:$C$110,'İndirimler'!$A$2:$A$110,B341,'İndirimler'!$B$2:$B$110,C341)),2),"")</x:f>
      </x:c>
      <x:c r="I341" s="49" t="str">
        <x:f>IF(SUMIFS('İndirimler'!$D$2:$D$110,'İndirimler'!$A$2:$A$110,B341,'İndirimler'!$B$2:$B$110,C341)&gt;0,ROUND(G341*(1-SUMIFS('İndirimler'!$D$2:$D$110,'İndirimler'!$A$2:$A$110,B341,'İndirimler'!$B$2:$B$110,C341)),2),"")</x:f>
      </x:c>
      <x:c r="J341" s="37"/>
    </x:row>
    <x:row r="342" ht="22" customHeight="1">
      <x:c r="A342" s="40" t="str">
        <x:v>9786259800936</x:v>
      </x:c>
      <x:c r="B342" s="37" t="str">
        <x:v>Bilgi Sarmal Yayınları</x:v>
      </x:c>
      <x:c r="C342" s="37" t="str">
        <x:v>9. Sınıf</x:v>
      </x:c>
      <x:c r="D342" s="37" t="str">
        <x:v>Biyoloji</x:v>
      </x:c>
      <x:c r="E342" s="37"/>
      <x:c r="F342" s="37" t="str">
        <x:v>Soru Bankası</x:v>
      </x:c>
      <x:c r="G342" s="43" t="n">
        <x:v>359</x:v>
      </x:c>
      <x:c r="H342" s="46" t="str">
        <x:f>IF(SUMIFS('İndirimler'!$C$2:$C$110,'İndirimler'!$A$2:$A$110,B342,'İndirimler'!$B$2:$B$110,C342)&gt;0,ROUND(G342*(1-SUMIFS('İndirimler'!$C$2:$C$110,'İndirimler'!$A$2:$A$110,B342,'İndirimler'!$B$2:$B$110,C342)),2),"")</x:f>
      </x:c>
      <x:c r="I342" s="49" t="str">
        <x:f>IF(SUMIFS('İndirimler'!$D$2:$D$110,'İndirimler'!$A$2:$A$110,B342,'İndirimler'!$B$2:$B$110,C342)&gt;0,ROUND(G342*(1-SUMIFS('İndirimler'!$D$2:$D$110,'İndirimler'!$A$2:$A$110,B342,'İndirimler'!$B$2:$B$110,C342)),2),"")</x:f>
      </x:c>
      <x:c r="J342" s="37"/>
    </x:row>
    <x:row r="343" ht="22" customHeight="1">
      <x:c r="A343" s="40" t="str">
        <x:v>9786057361950</x:v>
      </x:c>
      <x:c r="B343" s="37" t="str">
        <x:v>Biyotik Yayınları</x:v>
      </x:c>
      <x:c r="C343" s="37" t="str">
        <x:v>9. Sınıf</x:v>
      </x:c>
      <x:c r="D343" s="37" t="str">
        <x:v>Biyoloji</x:v>
      </x:c>
      <x:c r="E343" s="37"/>
      <x:c r="F343" s="37" t="str">
        <x:v>Soru Bankası</x:v>
      </x:c>
      <x:c r="G343" s="43" t="n">
        <x:v>449</x:v>
      </x:c>
      <x:c r="H343" s="46" t="str">
        <x:f>IF(SUMIFS('İndirimler'!$C$2:$C$110,'İndirimler'!$A$2:$A$110,B343,'İndirimler'!$B$2:$B$110,C343)&gt;0,ROUND(G343*(1-SUMIFS('İndirimler'!$C$2:$C$110,'İndirimler'!$A$2:$A$110,B343,'İndirimler'!$B$2:$B$110,C343)),2),"")</x:f>
      </x:c>
      <x:c r="I343" s="49" t="str">
        <x:f>IF(SUMIFS('İndirimler'!$D$2:$D$110,'İndirimler'!$A$2:$A$110,B343,'İndirimler'!$B$2:$B$110,C343)&gt;0,ROUND(G343*(1-SUMIFS('İndirimler'!$D$2:$D$110,'İndirimler'!$A$2:$A$110,B343,'İndirimler'!$B$2:$B$110,C343)),2),"")</x:f>
      </x:c>
      <x:c r="J343" s="37"/>
    </x:row>
    <x:row r="344" ht="22" customHeight="1">
      <x:c r="A344" s="40" t="str">
        <x:v>9786259674773</x:v>
      </x:c>
      <x:c r="B344" s="37" t="str">
        <x:v>Biyotik Yayınları</x:v>
      </x:c>
      <x:c r="C344" s="37" t="str">
        <x:v>9. Sınıf</x:v>
      </x:c>
      <x:c r="D344" s="37" t="str">
        <x:v>Biyoloji</x:v>
      </x:c>
      <x:c r="E344" s="37"/>
      <x:c r="F344" s="37" t="str">
        <x:v>Soru Bankası</x:v>
      </x:c>
      <x:c r="G344" s="43" t="n">
        <x:v>449</x:v>
      </x:c>
      <x:c r="H344" s="46" t="str">
        <x:f>IF(SUMIFS('İndirimler'!$C$2:$C$110,'İndirimler'!$A$2:$A$110,B344,'İndirimler'!$B$2:$B$110,C344)&gt;0,ROUND(G344*(1-SUMIFS('İndirimler'!$C$2:$C$110,'İndirimler'!$A$2:$A$110,B344,'İndirimler'!$B$2:$B$110,C344)),2),"")</x:f>
      </x:c>
      <x:c r="I344" s="49" t="str">
        <x:f>IF(SUMIFS('İndirimler'!$D$2:$D$110,'İndirimler'!$A$2:$A$110,B344,'İndirimler'!$B$2:$B$110,C344)&gt;0,ROUND(G344*(1-SUMIFS('İndirimler'!$D$2:$D$110,'İndirimler'!$A$2:$A$110,B344,'İndirimler'!$B$2:$B$110,C344)),2),"")</x:f>
      </x:c>
      <x:c r="J344" s="37"/>
    </x:row>
    <x:row r="345" ht="22" customHeight="1">
      <x:c r="A345" s="40" t="str">
        <x:v>9786057361974</x:v>
      </x:c>
      <x:c r="B345" s="37" t="str">
        <x:v>Biyotik Yayınları</x:v>
      </x:c>
      <x:c r="C345" s="37" t="str">
        <x:v>9. Sınıf</x:v>
      </x:c>
      <x:c r="D345" s="37" t="str">
        <x:v>Biyoloji</x:v>
      </x:c>
      <x:c r="E345" s="37" t="str">
        <x:v>İnteraktif</x:v>
      </x:c>
      <x:c r="F345" s="37" t="str">
        <x:v>Soru Bankası</x:v>
      </x:c>
      <x:c r="G345" s="43" t="n">
        <x:v>449</x:v>
      </x:c>
      <x:c r="H345" s="46" t="str">
        <x:f>IF(SUMIFS('İndirimler'!$C$2:$C$110,'İndirimler'!$A$2:$A$110,B345,'İndirimler'!$B$2:$B$110,C345)&gt;0,ROUND(G345*(1-SUMIFS('İndirimler'!$C$2:$C$110,'İndirimler'!$A$2:$A$110,B345,'İndirimler'!$B$2:$B$110,C345)),2),"")</x:f>
      </x:c>
      <x:c r="I345" s="49" t="str">
        <x:f>IF(SUMIFS('İndirimler'!$D$2:$D$110,'İndirimler'!$A$2:$A$110,B345,'İndirimler'!$B$2:$B$110,C345)&gt;0,ROUND(G345*(1-SUMIFS('İndirimler'!$D$2:$D$110,'İndirimler'!$A$2:$A$110,B345,'İndirimler'!$B$2:$B$110,C345)),2),"")</x:f>
      </x:c>
      <x:c r="J345" s="37"/>
    </x:row>
    <x:row r="346" ht="22" customHeight="1">
      <x:c r="A346" s="40" t="str">
        <x:v>9786259188928</x:v>
      </x:c>
      <x:c r="B346" s="37" t="str">
        <x:v>Biyotik Yayınları</x:v>
      </x:c>
      <x:c r="C346" s="37" t="str">
        <x:v>9. Sınıf</x:v>
      </x:c>
      <x:c r="D346" s="37" t="str">
        <x:v>Biyoloji</x:v>
      </x:c>
      <x:c r="E346" s="37" t="str">
        <x:v>İnteraktif</x:v>
      </x:c>
      <x:c r="F346" s="37" t="str">
        <x:v>Soru Bankası</x:v>
      </x:c>
      <x:c r="G346" s="43" t="n">
        <x:v>449</x:v>
      </x:c>
      <x:c r="H346" s="46" t="str">
        <x:f>IF(SUMIFS('İndirimler'!$C$2:$C$110,'İndirimler'!$A$2:$A$110,B346,'İndirimler'!$B$2:$B$110,C346)&gt;0,ROUND(G346*(1-SUMIFS('İndirimler'!$C$2:$C$110,'İndirimler'!$A$2:$A$110,B346,'İndirimler'!$B$2:$B$110,C346)),2),"")</x:f>
      </x:c>
      <x:c r="I346" s="49" t="str">
        <x:f>IF(SUMIFS('İndirimler'!$D$2:$D$110,'İndirimler'!$A$2:$A$110,B346,'İndirimler'!$B$2:$B$110,C346)&gt;0,ROUND(G346*(1-SUMIFS('İndirimler'!$D$2:$D$110,'İndirimler'!$A$2:$A$110,B346,'İndirimler'!$B$2:$B$110,C346)),2),"")</x:f>
      </x:c>
      <x:c r="J346" s="37"/>
    </x:row>
    <x:row r="347" ht="22" customHeight="1">
      <x:c r="A347" s="40" t="str">
        <x:v>9786256630512</x:v>
      </x:c>
      <x:c r="B347" s="37" t="str">
        <x:v>Eğitim Vadisi</x:v>
      </x:c>
      <x:c r="C347" s="37" t="str">
        <x:v>9. Sınıf</x:v>
      </x:c>
      <x:c r="D347" s="37" t="str">
        <x:v>Biyoloji</x:v>
      </x:c>
      <x:c r="E347" s="37" t="str">
        <x:v>TİK Tam İzleme Kitabı</x:v>
      </x:c>
      <x:c r="F347" s="37" t="str">
        <x:v>Soru Bankası</x:v>
      </x:c>
      <x:c r="G347" s="43" t="n">
        <x:v>274</x:v>
      </x:c>
      <x:c r="H347" s="46" t="str">
        <x:f>IF(SUMIFS('İndirimler'!$C$2:$C$110,'İndirimler'!$A$2:$A$110,B347,'İndirimler'!$B$2:$B$110,C347)&gt;0,ROUND(G347*(1-SUMIFS('İndirimler'!$C$2:$C$110,'İndirimler'!$A$2:$A$110,B347,'İndirimler'!$B$2:$B$110,C347)),2),"")</x:f>
      </x:c>
      <x:c r="I347" s="49" t="str">
        <x:f>IF(SUMIFS('İndirimler'!$D$2:$D$110,'İndirimler'!$A$2:$A$110,B347,'İndirimler'!$B$2:$B$110,C347)&gt;0,ROUND(G347*(1-SUMIFS('İndirimler'!$D$2:$D$110,'İndirimler'!$A$2:$A$110,B347,'İndirimler'!$B$2:$B$110,C347)),2),"")</x:f>
      </x:c>
      <x:c r="J347" s="37" t="str">
        <x:v>https://app.karakok.net/spShowFlip/1551</x:v>
      </x:c>
    </x:row>
    <x:row r="348" ht="22" customHeight="1">
      <x:c r="A348" s="40" t="str">
        <x:v>9786257532907</x:v>
      </x:c>
      <x:c r="B348" s="37" t="str">
        <x:v>Hız ve Renk Yayınları</x:v>
      </x:c>
      <x:c r="C348" s="37" t="str">
        <x:v>9. Sınıf</x:v>
      </x:c>
      <x:c r="D348" s="37" t="str">
        <x:v>Biyoloji</x:v>
      </x:c>
      <x:c r="E348" s="37" t="str">
        <x:v>HİT</x:v>
      </x:c>
      <x:c r="F348" s="37" t="str">
        <x:v>Soru Bankası</x:v>
      </x:c>
      <x:c r="G348" s="43" t="n">
        <x:v>449</x:v>
      </x:c>
      <x:c r="H348" s="46" t="str">
        <x:f>IF(SUMIFS('İndirimler'!$C$2:$C$110,'İndirimler'!$A$2:$A$110,B348,'İndirimler'!$B$2:$B$110,C348)&gt;0,ROUND(G348*(1-SUMIFS('İndirimler'!$C$2:$C$110,'İndirimler'!$A$2:$A$110,B348,'İndirimler'!$B$2:$B$110,C348)),2),"")</x:f>
      </x:c>
      <x:c r="I348" s="49" t="str">
        <x:f>IF(SUMIFS('İndirimler'!$D$2:$D$110,'İndirimler'!$A$2:$A$110,B348,'İndirimler'!$B$2:$B$110,C348)&gt;0,ROUND(G348*(1-SUMIFS('İndirimler'!$D$2:$D$110,'İndirimler'!$A$2:$A$110,B348,'İndirimler'!$B$2:$B$110,C348)),2),"")</x:f>
      </x:c>
      <x:c r="J348" s="37"/>
    </x:row>
    <x:row r="349" ht="22" customHeight="1">
      <x:c r="A349" s="40" t="str">
        <x:v>9786052756737</x:v>
      </x:c>
      <x:c r="B349" s="37" t="str">
        <x:v>Limit</x:v>
      </x:c>
      <x:c r="C349" s="37" t="str">
        <x:v>9. Sınıf</x:v>
      </x:c>
      <x:c r="D349" s="37" t="str">
        <x:v>Biyoloji</x:v>
      </x:c>
      <x:c r="E349" s="37"/>
      <x:c r="F349" s="37" t="str">
        <x:v>Soru Bankası</x:v>
      </x:c>
      <x:c r="G349" s="43" t="n">
        <x:v>580</x:v>
      </x:c>
      <x:c r="H349" s="46" t="str">
        <x:f>IF(SUMIFS('İndirimler'!$C$2:$C$110,'İndirimler'!$A$2:$A$110,B349,'İndirimler'!$B$2:$B$110,C349)&gt;0,ROUND(G349*(1-SUMIFS('İndirimler'!$C$2:$C$110,'İndirimler'!$A$2:$A$110,B349,'İndirimler'!$B$2:$B$110,C349)),2),"")</x:f>
      </x:c>
      <x:c r="I349" s="49" t="str">
        <x:f>IF(SUMIFS('İndirimler'!$D$2:$D$110,'İndirimler'!$A$2:$A$110,B349,'İndirimler'!$B$2:$B$110,C349)&gt;0,ROUND(G349*(1-SUMIFS('İndirimler'!$D$2:$D$110,'İndirimler'!$A$2:$A$110,B349,'İndirimler'!$B$2:$B$110,C349)),2),"")</x:f>
      </x:c>
      <x:c r="J349" s="37"/>
    </x:row>
    <x:row r="350" ht="22" customHeight="1">
      <x:c r="A350" s="40" t="str">
        <x:v>9786256412798</x:v>
      </x:c>
      <x:c r="B350" s="37" t="str">
        <x:v>Miray</x:v>
      </x:c>
      <x:c r="C350" s="37" t="str">
        <x:v>9. Sınıf</x:v>
      </x:c>
      <x:c r="D350" s="37" t="str">
        <x:v>Biyoloji</x:v>
      </x:c>
      <x:c r="E350" s="37" t="str">
        <x:v>Tematik</x:v>
      </x:c>
      <x:c r="F350" s="37" t="str">
        <x:v>Soru Bankası</x:v>
      </x:c>
      <x:c r="G350" s="43" t="n">
        <x:v>475</x:v>
      </x:c>
      <x:c r="H350" s="46" t="str">
        <x:f>IF(SUMIFS('İndirimler'!$C$2:$C$110,'İndirimler'!$A$2:$A$110,B350,'İndirimler'!$B$2:$B$110,C350)&gt;0,ROUND(G350*(1-SUMIFS('İndirimler'!$C$2:$C$110,'İndirimler'!$A$2:$A$110,B350,'İndirimler'!$B$2:$B$110,C350)),2),"")</x:f>
      </x:c>
      <x:c r="I350" s="49" t="str">
        <x:f>IF(SUMIFS('İndirimler'!$D$2:$D$110,'İndirimler'!$A$2:$A$110,B350,'İndirimler'!$B$2:$B$110,C350)&gt;0,ROUND(G350*(1-SUMIFS('İndirimler'!$D$2:$D$110,'İndirimler'!$A$2:$A$110,B350,'İndirimler'!$B$2:$B$110,C350)),2),"")</x:f>
      </x:c>
      <x:c r="J350" s="37"/>
    </x:row>
    <x:row r="351" ht="22" customHeight="1">
      <x:c r="A351" s="40" t="str">
        <x:v>9786259473925</x:v>
      </x:c>
      <x:c r="B351" s="37" t="str">
        <x:v>Ritim Biyoloji Yayınları</x:v>
      </x:c>
      <x:c r="C351" s="37" t="str">
        <x:v>9. Sınıf</x:v>
      </x:c>
      <x:c r="D351" s="37" t="str">
        <x:v>Biyoloji</x:v>
      </x:c>
      <x:c r="E351" s="37"/>
      <x:c r="F351" s="37" t="str">
        <x:v>Soru Bankası</x:v>
      </x:c>
      <x:c r="G351" s="43" t="n">
        <x:v>329</x:v>
      </x:c>
      <x:c r="H351" s="46" t="str">
        <x:f>IF(SUMIFS('İndirimler'!$C$2:$C$110,'İndirimler'!$A$2:$A$110,B351,'İndirimler'!$B$2:$B$110,C351)&gt;0,ROUND(G351*(1-SUMIFS('İndirimler'!$C$2:$C$110,'İndirimler'!$A$2:$A$110,B351,'İndirimler'!$B$2:$B$110,C351)),2),"")</x:f>
      </x:c>
      <x:c r="I351" s="49" t="str">
        <x:f>IF(SUMIFS('İndirimler'!$D$2:$D$110,'İndirimler'!$A$2:$A$110,B351,'İndirimler'!$B$2:$B$110,C351)&gt;0,ROUND(G351*(1-SUMIFS('İndirimler'!$D$2:$D$110,'İndirimler'!$A$2:$A$110,B351,'İndirimler'!$B$2:$B$110,C351)),2),"")</x:f>
      </x:c>
      <x:c r="J351" s="37"/>
    </x:row>
    <x:row r="352" ht="22" customHeight="1">
      <x:c r="A352" s="40" t="str">
        <x:v>9786256040625</x:v>
      </x:c>
      <x:c r="B352" s="37" t="str">
        <x:v>Çap Yayınları</x:v>
      </x:c>
      <x:c r="C352" s="37" t="str">
        <x:v>9. Sınıf</x:v>
      </x:c>
      <x:c r="D352" s="37" t="str">
        <x:v>Biyoloji</x:v>
      </x:c>
      <x:c r="E352" s="37" t="str">
        <x:v>Tematik</x:v>
      </x:c>
      <x:c r="F352" s="37" t="str">
        <x:v>Soru Bankası</x:v>
      </x:c>
      <x:c r="G352" s="43" t="n">
        <x:v>359</x:v>
      </x:c>
      <x:c r="H352" s="46" t="str">
        <x:f>IF(SUMIFS('İndirimler'!$C$2:$C$110,'İndirimler'!$A$2:$A$110,B352,'İndirimler'!$B$2:$B$110,C352)&gt;0,ROUND(G352*(1-SUMIFS('İndirimler'!$C$2:$C$110,'İndirimler'!$A$2:$A$110,B352,'İndirimler'!$B$2:$B$110,C352)),2),"")</x:f>
      </x:c>
      <x:c r="I352" s="49" t="str">
        <x:f>IF(SUMIFS('İndirimler'!$D$2:$D$110,'İndirimler'!$A$2:$A$110,B352,'İndirimler'!$B$2:$B$110,C352)&gt;0,ROUND(G352*(1-SUMIFS('İndirimler'!$D$2:$D$110,'İndirimler'!$A$2:$A$110,B352,'İndirimler'!$B$2:$B$110,C352)),2),"")</x:f>
      </x:c>
      <x:c r="J352" s="37"/>
    </x:row>
    <x:row r="353" ht="22" customHeight="1">
      <x:c r="A353" s="40" t="str">
        <x:v>9786258160802</x:v>
      </x:c>
      <x:c r="B353" s="37" t="str">
        <x:v>ENS Yayınları</x:v>
      </x:c>
      <x:c r="C353" s="37" t="str">
        <x:v>9. Sınıf</x:v>
      </x:c>
      <x:c r="D353" s="37" t="str">
        <x:v>Biyoloji</x:v>
      </x:c>
      <x:c r="E353" s="37"/>
      <x:c r="F353" s="37" t="str">
        <x:v>Etkinlik Kitabı</x:v>
      </x:c>
      <x:c r="G353" s="43" t="n">
        <x:v>359</x:v>
      </x:c>
      <x:c r="H353" s="46" t="str">
        <x:f>IF(SUMIFS('İndirimler'!$C$2:$C$110,'İndirimler'!$A$2:$A$110,B353,'İndirimler'!$B$2:$B$110,C353)&gt;0,ROUND(G353*(1-SUMIFS('İndirimler'!$C$2:$C$110,'İndirimler'!$A$2:$A$110,B353,'İndirimler'!$B$2:$B$110,C353)),2),"")</x:f>
      </x:c>
      <x:c r="I353" s="49" t="str">
        <x:f>IF(SUMIFS('İndirimler'!$D$2:$D$110,'İndirimler'!$A$2:$A$110,B353,'İndirimler'!$B$2:$B$110,C353)&gt;0,ROUND(G353*(1-SUMIFS('İndirimler'!$D$2:$D$110,'İndirimler'!$A$2:$A$110,B353,'İndirimler'!$B$2:$B$110,C353)),2),"")</x:f>
      </x:c>
      <x:c r="J353" s="37"/>
    </x:row>
    <x:row r="354" ht="22" customHeight="1">
      <x:c r="A354" s="40" t="str">
        <x:v>9786259205793</x:v>
      </x:c>
      <x:c r="B354" s="37" t="str">
        <x:v>Ulti Yayınları</x:v>
      </x:c>
      <x:c r="C354" s="37" t="str">
        <x:v>10. Sınıf</x:v>
      </x:c>
      <x:c r="D354" s="37" t="str">
        <x:v>Biyoloji</x:v>
      </x:c>
      <x:c r="E354" s="37"/>
      <x:c r="F354" s="37" t="str">
        <x:v>Fasikül Set</x:v>
      </x:c>
      <x:c r="G354" s="43" t="n">
        <x:v>629</x:v>
      </x:c>
      <x:c r="H354" s="46" t="str">
        <x:f>IF(SUMIFS('İndirimler'!$C$2:$C$110,'İndirimler'!$A$2:$A$110,B354,'İndirimler'!$B$2:$B$110,C354)&gt;0,ROUND(G354*(1-SUMIFS('İndirimler'!$C$2:$C$110,'İndirimler'!$A$2:$A$110,B354,'İndirimler'!$B$2:$B$110,C354)),2),"")</x:f>
      </x:c>
      <x:c r="I354" s="49" t="str">
        <x:f>IF(SUMIFS('İndirimler'!$D$2:$D$110,'İndirimler'!$A$2:$A$110,B354,'İndirimler'!$B$2:$B$110,C354)&gt;0,ROUND(G354*(1-SUMIFS('İndirimler'!$D$2:$D$110,'İndirimler'!$A$2:$A$110,B354,'İndirimler'!$B$2:$B$110,C354)),2),"")</x:f>
      </x:c>
      <x:c r="J354" s="37"/>
    </x:row>
    <x:row r="355" ht="22" customHeight="1">
      <x:c r="A355" s="40" t="str">
        <x:v>9786255801067</x:v>
      </x:c>
      <x:c r="B355" s="37" t="str">
        <x:v>Çap Yayınları</x:v>
      </x:c>
      <x:c r="C355" s="37" t="str">
        <x:v>10. Sınıf</x:v>
      </x:c>
      <x:c r="D355" s="37" t="str">
        <x:v>Biyoloji</x:v>
      </x:c>
      <x:c r="E355" s="37"/>
      <x:c r="F355" s="37" t="str">
        <x:v>Fasikül Set</x:v>
      </x:c>
      <x:c r="G355" s="43" t="n">
        <x:v>729</x:v>
      </x:c>
      <x:c r="H355" s="46" t="str">
        <x:f>IF(SUMIFS('İndirimler'!$C$2:$C$110,'İndirimler'!$A$2:$A$110,B355,'İndirimler'!$B$2:$B$110,C355)&gt;0,ROUND(G355*(1-SUMIFS('İndirimler'!$C$2:$C$110,'İndirimler'!$A$2:$A$110,B355,'İndirimler'!$B$2:$B$110,C355)),2),"")</x:f>
      </x:c>
      <x:c r="I355" s="49" t="str">
        <x:f>IF(SUMIFS('İndirimler'!$D$2:$D$110,'İndirimler'!$A$2:$A$110,B355,'İndirimler'!$B$2:$B$110,C355)&gt;0,ROUND(G355*(1-SUMIFS('İndirimler'!$D$2:$D$110,'İndirimler'!$A$2:$A$110,B355,'İndirimler'!$B$2:$B$110,C355)),2),"")</x:f>
      </x:c>
      <x:c r="J355" s="37"/>
    </x:row>
    <x:row r="356" ht="22" customHeight="1">
      <x:c r="A356" s="40" t="str">
        <x:v>ORNEK00000039</x:v>
      </x:c>
      <x:c r="B356" s="37" t="str">
        <x:v>Bilgi Sarmal Yayınları</x:v>
      </x:c>
      <x:c r="C356" s="37" t="str">
        <x:v>10. Sınıf</x:v>
      </x:c>
      <x:c r="D356" s="37" t="str">
        <x:v>Biyoloji</x:v>
      </x:c>
      <x:c r="E356" s="37" t="str">
        <x:v>Tema</x:v>
      </x:c>
      <x:c r="F356" s="37" t="str">
        <x:v>Konu Anlatımlı</x:v>
      </x:c>
      <x:c r="G356" s="43" t="n">
        <x:v>500</x:v>
      </x:c>
      <x:c r="H356" s="46" t="str">
        <x:f>IF(SUMIFS('İndirimler'!$C$2:$C$110,'İndirimler'!$A$2:$A$110,B356,'İndirimler'!$B$2:$B$110,C356)&gt;0,ROUND(G356*(1-SUMIFS('İndirimler'!$C$2:$C$110,'İndirimler'!$A$2:$A$110,B356,'İndirimler'!$B$2:$B$110,C356)),2),"")</x:f>
      </x:c>
      <x:c r="I356" s="49" t="str">
        <x:f>IF(SUMIFS('İndirimler'!$D$2:$D$110,'İndirimler'!$A$2:$A$110,B356,'İndirimler'!$B$2:$B$110,C356)&gt;0,ROUND(G356*(1-SUMIFS('İndirimler'!$D$2:$D$110,'İndirimler'!$A$2:$A$110,B356,'İndirimler'!$B$2:$B$110,C356)),2),"")</x:f>
      </x:c>
      <x:c r="J356" s="37"/>
    </x:row>
    <x:row r="357" ht="22" customHeight="1">
      <x:c r="A357" s="40" t="str">
        <x:v>9786057361998</x:v>
      </x:c>
      <x:c r="B357" s="37" t="str">
        <x:v>Biyotik Yayınları</x:v>
      </x:c>
      <x:c r="C357" s="37" t="str">
        <x:v>10. Sınıf</x:v>
      </x:c>
      <x:c r="D357" s="37" t="str">
        <x:v>Biyoloji</x:v>
      </x:c>
      <x:c r="E357" s="37"/>
      <x:c r="F357" s="37" t="str">
        <x:v>Konu Anlatımlı</x:v>
      </x:c>
      <x:c r="G357" s="43" t="n">
        <x:v>499</x:v>
      </x:c>
      <x:c r="H357" s="46" t="str">
        <x:f>IF(SUMIFS('İndirimler'!$C$2:$C$110,'İndirimler'!$A$2:$A$110,B357,'İndirimler'!$B$2:$B$110,C357)&gt;0,ROUND(G357*(1-SUMIFS('İndirimler'!$C$2:$C$110,'İndirimler'!$A$2:$A$110,B357,'İndirimler'!$B$2:$B$110,C357)),2),"")</x:f>
      </x:c>
      <x:c r="I357" s="49" t="str">
        <x:f>IF(SUMIFS('İndirimler'!$D$2:$D$110,'İndirimler'!$A$2:$A$110,B357,'İndirimler'!$B$2:$B$110,C357)&gt;0,ROUND(G357*(1-SUMIFS('İndirimler'!$D$2:$D$110,'İndirimler'!$A$2:$A$110,B357,'İndirimler'!$B$2:$B$110,C357)),2),"")</x:f>
      </x:c>
      <x:c r="J357" s="37"/>
    </x:row>
    <x:row r="358" ht="22" customHeight="1">
      <x:c r="A358" s="40" t="str">
        <x:v>9786259188911</x:v>
      </x:c>
      <x:c r="B358" s="37" t="str">
        <x:v>Biyotik Yayınları</x:v>
      </x:c>
      <x:c r="C358" s="37" t="str">
        <x:v>10. Sınıf</x:v>
      </x:c>
      <x:c r="D358" s="37" t="str">
        <x:v>Biyoloji</x:v>
      </x:c>
      <x:c r="E358" s="37"/>
      <x:c r="F358" s="37" t="str">
        <x:v>Konu Anlatımlı</x:v>
      </x:c>
      <x:c r="G358" s="43" t="n">
        <x:v>499</x:v>
      </x:c>
      <x:c r="H358" s="46" t="str">
        <x:f>IF(SUMIFS('İndirimler'!$C$2:$C$110,'İndirimler'!$A$2:$A$110,B358,'İndirimler'!$B$2:$B$110,C358)&gt;0,ROUND(G358*(1-SUMIFS('İndirimler'!$C$2:$C$110,'İndirimler'!$A$2:$A$110,B358,'İndirimler'!$B$2:$B$110,C358)),2),"")</x:f>
      </x:c>
      <x:c r="I358" s="49" t="str">
        <x:f>IF(SUMIFS('İndirimler'!$D$2:$D$110,'İndirimler'!$A$2:$A$110,B358,'İndirimler'!$B$2:$B$110,C358)&gt;0,ROUND(G358*(1-SUMIFS('İndirimler'!$D$2:$D$110,'İndirimler'!$A$2:$A$110,B358,'İndirimler'!$B$2:$B$110,C358)),2),"")</x:f>
      </x:c>
      <x:c r="J358" s="37"/>
    </x:row>
    <x:row r="359" ht="22" customHeight="1">
      <x:c r="A359" s="40" t="str">
        <x:v>9786256457300</x:v>
      </x:c>
      <x:c r="B359" s="37" t="str">
        <x:v>Eğitim Vadisi</x:v>
      </x:c>
      <x:c r="C359" s="37" t="str">
        <x:v>10. Sınıf</x:v>
      </x:c>
      <x:c r="D359" s="37" t="str">
        <x:v>Biyoloji</x:v>
      </x:c>
      <x:c r="E359" s="37" t="str">
        <x:v>TAK Tam Anlatım Kitabı</x:v>
      </x:c>
      <x:c r="F359" s="37" t="str">
        <x:v>Konu Anlatımlı</x:v>
      </x:c>
      <x:c r="G359" s="43" t="n">
        <x:v>346</x:v>
      </x:c>
      <x:c r="H359" s="46" t="str">
        <x:f>IF(SUMIFS('İndirimler'!$C$2:$C$110,'İndirimler'!$A$2:$A$110,B359,'İndirimler'!$B$2:$B$110,C359)&gt;0,ROUND(G359*(1-SUMIFS('İndirimler'!$C$2:$C$110,'İndirimler'!$A$2:$A$110,B359,'İndirimler'!$B$2:$B$110,C359)),2),"")</x:f>
      </x:c>
      <x:c r="I359" s="49" t="str">
        <x:f>IF(SUMIFS('İndirimler'!$D$2:$D$110,'İndirimler'!$A$2:$A$110,B359,'İndirimler'!$B$2:$B$110,C359)&gt;0,ROUND(G359*(1-SUMIFS('İndirimler'!$D$2:$D$110,'İndirimler'!$A$2:$A$110,B359,'İndirimler'!$B$2:$B$110,C359)),2),"")</x:f>
      </x:c>
      <x:c r="J359" s="37" t="str">
        <x:v>https://app.karakok.net/spShowFlip/2248</x:v>
      </x:c>
    </x:row>
    <x:row r="360" ht="22" customHeight="1">
      <x:c r="A360" s="40" t="str">
        <x:v>9786052757680</x:v>
      </x:c>
      <x:c r="B360" s="37" t="str">
        <x:v>Limit</x:v>
      </x:c>
      <x:c r="C360" s="37" t="str">
        <x:v>10. Sınıf</x:v>
      </x:c>
      <x:c r="D360" s="37" t="str">
        <x:v>Biyoloji</x:v>
      </x:c>
      <x:c r="E360" s="37"/>
      <x:c r="F360" s="37" t="str">
        <x:v>Konu Anlatımlı</x:v>
      </x:c>
      <x:c r="G360" s="43" t="n">
        <x:v>608</x:v>
      </x:c>
      <x:c r="H360" s="46" t="str">
        <x:f>IF(SUMIFS('İndirimler'!$C$2:$C$110,'İndirimler'!$A$2:$A$110,B360,'İndirimler'!$B$2:$B$110,C360)&gt;0,ROUND(G360*(1-SUMIFS('İndirimler'!$C$2:$C$110,'İndirimler'!$A$2:$A$110,B360,'İndirimler'!$B$2:$B$110,C360)),2),"")</x:f>
      </x:c>
      <x:c r="I360" s="49" t="str">
        <x:f>IF(SUMIFS('İndirimler'!$D$2:$D$110,'İndirimler'!$A$2:$A$110,B360,'İndirimler'!$B$2:$B$110,C360)&gt;0,ROUND(G360*(1-SUMIFS('İndirimler'!$D$2:$D$110,'İndirimler'!$A$2:$A$110,B360,'İndirimler'!$B$2:$B$110,C360)),2),"")</x:f>
      </x:c>
      <x:c r="J360" s="37"/>
    </x:row>
    <x:row r="361" ht="22" customHeight="1">
      <x:c r="A361" s="40" t="str">
        <x:v>9786256142114</x:v>
      </x:c>
      <x:c r="B361" s="37" t="str">
        <x:v>Miray</x:v>
      </x:c>
      <x:c r="C361" s="37" t="str">
        <x:v>10. Sınıf</x:v>
      </x:c>
      <x:c r="D361" s="37" t="str">
        <x:v>Biyoloji</x:v>
      </x:c>
      <x:c r="E361" s="37" t="str">
        <x:v>Ders Anlatım Fasikülleri</x:v>
      </x:c>
      <x:c r="F361" s="37" t="str">
        <x:v>Konu Anlatımlı</x:v>
      </x:c>
      <x:c r="G361" s="43" t="n">
        <x:v>540</x:v>
      </x:c>
      <x:c r="H361" s="46" t="str">
        <x:f>IF(SUMIFS('İndirimler'!$C$2:$C$110,'İndirimler'!$A$2:$A$110,B361,'İndirimler'!$B$2:$B$110,C361)&gt;0,ROUND(G361*(1-SUMIFS('İndirimler'!$C$2:$C$110,'İndirimler'!$A$2:$A$110,B361,'İndirimler'!$B$2:$B$110,C361)),2),"")</x:f>
      </x:c>
      <x:c r="I361" s="49" t="str">
        <x:f>IF(SUMIFS('İndirimler'!$D$2:$D$110,'İndirimler'!$A$2:$A$110,B361,'İndirimler'!$B$2:$B$110,C361)&gt;0,ROUND(G361*(1-SUMIFS('İndirimler'!$D$2:$D$110,'İndirimler'!$A$2:$A$110,B361,'İndirimler'!$B$2:$B$110,C361)),2),"")</x:f>
      </x:c>
      <x:c r="J361" s="37"/>
    </x:row>
    <x:row r="362" ht="22" customHeight="1">
      <x:c r="A362" s="40" t="str">
        <x:v>9786256921719</x:v>
      </x:c>
      <x:c r="B362" s="37" t="str">
        <x:v>4K</x:v>
      </x:c>
      <x:c r="C362" s="37" t="str">
        <x:v>10. Sınıf</x:v>
      </x:c>
      <x:c r="D362" s="37" t="str">
        <x:v>Biyoloji</x:v>
      </x:c>
      <x:c r="E362" s="37"/>
      <x:c r="F362" s="37" t="str">
        <x:v>Soru Bankası</x:v>
      </x:c>
      <x:c r="G362" s="43" t="n">
        <x:v>366</x:v>
      </x:c>
      <x:c r="H362" s="46" t="str">
        <x:f>IF(SUMIFS('İndirimler'!$C$2:$C$110,'İndirimler'!$A$2:$A$110,B362,'İndirimler'!$B$2:$B$110,C362)&gt;0,ROUND(G362*(1-SUMIFS('İndirimler'!$C$2:$C$110,'İndirimler'!$A$2:$A$110,B362,'İndirimler'!$B$2:$B$110,C362)),2),"")</x:f>
      </x:c>
      <x:c r="I362" s="49" t="str">
        <x:f>IF(SUMIFS('İndirimler'!$D$2:$D$110,'İndirimler'!$A$2:$A$110,B362,'İndirimler'!$B$2:$B$110,C362)&gt;0,ROUND(G362*(1-SUMIFS('İndirimler'!$D$2:$D$110,'İndirimler'!$A$2:$A$110,B362,'İndirimler'!$B$2:$B$110,C362)),2),"")</x:f>
      </x:c>
      <x:c r="J362" s="37" t="str">
        <x:v>https://app.karakok.net/spShowFlip/1915</x:v>
      </x:c>
    </x:row>
    <x:row r="363" ht="22" customHeight="1">
      <x:c r="A363" s="40" t="str">
        <x:v>9786256142107</x:v>
      </x:c>
      <x:c r="B363" s="37" t="str">
        <x:v>Aydın</x:v>
      </x:c>
      <x:c r="C363" s="37" t="str">
        <x:v>10. Sınıf</x:v>
      </x:c>
      <x:c r="D363" s="37" t="str">
        <x:v>Biyoloji</x:v>
      </x:c>
      <x:c r="E363" s="37"/>
      <x:c r="F363" s="37" t="str">
        <x:v>Soru Bankası</x:v>
      </x:c>
      <x:c r="G363" s="43" t="n">
        <x:v>496</x:v>
      </x:c>
      <x:c r="H363" s="46" t="str">
        <x:f>IF(SUMIFS('İndirimler'!$C$2:$C$110,'İndirimler'!$A$2:$A$110,B363,'İndirimler'!$B$2:$B$110,C363)&gt;0,ROUND(G363*(1-SUMIFS('İndirimler'!$C$2:$C$110,'İndirimler'!$A$2:$A$110,B363,'İndirimler'!$B$2:$B$110,C363)),2),"")</x:f>
      </x:c>
      <x:c r="I363" s="49" t="str">
        <x:f>IF(SUMIFS('İndirimler'!$D$2:$D$110,'İndirimler'!$A$2:$A$110,B363,'İndirimler'!$B$2:$B$110,C363)&gt;0,ROUND(G363*(1-SUMIFS('İndirimler'!$D$2:$D$110,'İndirimler'!$A$2:$A$110,B363,'İndirimler'!$B$2:$B$110,C363)),2),"")</x:f>
      </x:c>
      <x:c r="J363" s="37"/>
    </x:row>
    <x:row r="364" ht="22" customHeight="1">
      <x:c r="A364" s="40" t="str">
        <x:v>9786256712379</x:v>
      </x:c>
      <x:c r="B364" s="37" t="str">
        <x:v>Bilgi Sarmal Yayınları</x:v>
      </x:c>
      <x:c r="C364" s="37" t="str">
        <x:v>10. Sınıf</x:v>
      </x:c>
      <x:c r="D364" s="37" t="str">
        <x:v>Biyoloji</x:v>
      </x:c>
      <x:c r="E364" s="37"/>
      <x:c r="F364" s="37" t="str">
        <x:v>Soru Bankası</x:v>
      </x:c>
      <x:c r="G364" s="43" t="n">
        <x:v>359</x:v>
      </x:c>
      <x:c r="H364" s="46" t="str">
        <x:f>IF(SUMIFS('İndirimler'!$C$2:$C$110,'İndirimler'!$A$2:$A$110,B364,'İndirimler'!$B$2:$B$110,C364)&gt;0,ROUND(G364*(1-SUMIFS('İndirimler'!$C$2:$C$110,'İndirimler'!$A$2:$A$110,B364,'İndirimler'!$B$2:$B$110,C364)),2),"")</x:f>
      </x:c>
      <x:c r="I364" s="49" t="str">
        <x:f>IF(SUMIFS('İndirimler'!$D$2:$D$110,'İndirimler'!$A$2:$A$110,B364,'İndirimler'!$B$2:$B$110,C364)&gt;0,ROUND(G364*(1-SUMIFS('İndirimler'!$D$2:$D$110,'İndirimler'!$A$2:$A$110,B364,'İndirimler'!$B$2:$B$110,C364)),2),"")</x:f>
      </x:c>
      <x:c r="J364" s="37"/>
    </x:row>
    <x:row r="365" ht="22" customHeight="1">
      <x:c r="A365" s="40" t="str">
        <x:v>9786057361981</x:v>
      </x:c>
      <x:c r="B365" s="37" t="str">
        <x:v>Biyotik Yayınları</x:v>
      </x:c>
      <x:c r="C365" s="37" t="str">
        <x:v>10. Sınıf</x:v>
      </x:c>
      <x:c r="D365" s="37" t="str">
        <x:v>Biyoloji</x:v>
      </x:c>
      <x:c r="E365" s="37"/>
      <x:c r="F365" s="37" t="str">
        <x:v>Soru Bankası</x:v>
      </x:c>
      <x:c r="G365" s="43" t="n">
        <x:v>449</x:v>
      </x:c>
      <x:c r="H365" s="46" t="str">
        <x:f>IF(SUMIFS('İndirimler'!$C$2:$C$110,'İndirimler'!$A$2:$A$110,B365,'İndirimler'!$B$2:$B$110,C365)&gt;0,ROUND(G365*(1-SUMIFS('İndirimler'!$C$2:$C$110,'İndirimler'!$A$2:$A$110,B365,'İndirimler'!$B$2:$B$110,C365)),2),"")</x:f>
      </x:c>
      <x:c r="I365" s="49" t="str">
        <x:f>IF(SUMIFS('İndirimler'!$D$2:$D$110,'İndirimler'!$A$2:$A$110,B365,'İndirimler'!$B$2:$B$110,C365)&gt;0,ROUND(G365*(1-SUMIFS('İndirimler'!$D$2:$D$110,'İndirimler'!$A$2:$A$110,B365,'İndirimler'!$B$2:$B$110,C365)),2),"")</x:f>
      </x:c>
      <x:c r="J365" s="37"/>
    </x:row>
    <x:row r="366" ht="22" customHeight="1">
      <x:c r="A366" s="40" t="str">
        <x:v>9786259674780</x:v>
      </x:c>
      <x:c r="B366" s="37" t="str">
        <x:v>Biyotik Yayınları</x:v>
      </x:c>
      <x:c r="C366" s="37" t="str">
        <x:v>10. Sınıf</x:v>
      </x:c>
      <x:c r="D366" s="37" t="str">
        <x:v>Biyoloji</x:v>
      </x:c>
      <x:c r="E366" s="37"/>
      <x:c r="F366" s="37" t="str">
        <x:v>Soru Bankası</x:v>
      </x:c>
      <x:c r="G366" s="43" t="n">
        <x:v>449</x:v>
      </x:c>
      <x:c r="H366" s="46" t="str">
        <x:f>IF(SUMIFS('İndirimler'!$C$2:$C$110,'İndirimler'!$A$2:$A$110,B366,'İndirimler'!$B$2:$B$110,C366)&gt;0,ROUND(G366*(1-SUMIFS('İndirimler'!$C$2:$C$110,'İndirimler'!$A$2:$A$110,B366,'İndirimler'!$B$2:$B$110,C366)),2),"")</x:f>
      </x:c>
      <x:c r="I366" s="49" t="str">
        <x:f>IF(SUMIFS('İndirimler'!$D$2:$D$110,'İndirimler'!$A$2:$A$110,B366,'İndirimler'!$B$2:$B$110,C366)&gt;0,ROUND(G366*(1-SUMIFS('İndirimler'!$D$2:$D$110,'İndirimler'!$A$2:$A$110,B366,'İndirimler'!$B$2:$B$110,C366)),2),"")</x:f>
      </x:c>
      <x:c r="J366" s="37"/>
    </x:row>
    <x:row r="367" ht="22" customHeight="1">
      <x:c r="A367" s="40" t="str">
        <x:v>9786259188935</x:v>
      </x:c>
      <x:c r="B367" s="37" t="str">
        <x:v>Biyotik Yayınları</x:v>
      </x:c>
      <x:c r="C367" s="37" t="str">
        <x:v>10. Sınıf</x:v>
      </x:c>
      <x:c r="D367" s="37" t="str">
        <x:v>Biyoloji</x:v>
      </x:c>
      <x:c r="E367" s="37" t="str">
        <x:v>İnteraktif</x:v>
      </x:c>
      <x:c r="F367" s="37" t="str">
        <x:v>Soru Bankası</x:v>
      </x:c>
      <x:c r="G367" s="43" t="n">
        <x:v>449</x:v>
      </x:c>
      <x:c r="H367" s="46" t="str">
        <x:f>IF(SUMIFS('İndirimler'!$C$2:$C$110,'İndirimler'!$A$2:$A$110,B367,'İndirimler'!$B$2:$B$110,C367)&gt;0,ROUND(G367*(1-SUMIFS('İndirimler'!$C$2:$C$110,'İndirimler'!$A$2:$A$110,B367,'İndirimler'!$B$2:$B$110,C367)),2),"")</x:f>
      </x:c>
      <x:c r="I367" s="49" t="str">
        <x:f>IF(SUMIFS('İndirimler'!$D$2:$D$110,'İndirimler'!$A$2:$A$110,B367,'İndirimler'!$B$2:$B$110,C367)&gt;0,ROUND(G367*(1-SUMIFS('İndirimler'!$D$2:$D$110,'İndirimler'!$A$2:$A$110,B367,'İndirimler'!$B$2:$B$110,C367)),2),"")</x:f>
      </x:c>
      <x:c r="J367" s="37"/>
    </x:row>
    <x:row r="368" ht="22" customHeight="1">
      <x:c r="A368" s="40" t="str">
        <x:v>9786259674704</x:v>
      </x:c>
      <x:c r="B368" s="37" t="str">
        <x:v>Biyotik Yayınları</x:v>
      </x:c>
      <x:c r="C368" s="37" t="str">
        <x:v>10. Sınıf</x:v>
      </x:c>
      <x:c r="D368" s="37" t="str">
        <x:v>Biyoloji</x:v>
      </x:c>
      <x:c r="E368" s="37" t="str">
        <x:v>İnteraktif</x:v>
      </x:c>
      <x:c r="F368" s="37" t="str">
        <x:v>Soru Bankası</x:v>
      </x:c>
      <x:c r="G368" s="43" t="n">
        <x:v>449</x:v>
      </x:c>
      <x:c r="H368" s="46" t="str">
        <x:f>IF(SUMIFS('İndirimler'!$C$2:$C$110,'İndirimler'!$A$2:$A$110,B368,'İndirimler'!$B$2:$B$110,C368)&gt;0,ROUND(G368*(1-SUMIFS('İndirimler'!$C$2:$C$110,'İndirimler'!$A$2:$A$110,B368,'İndirimler'!$B$2:$B$110,C368)),2),"")</x:f>
      </x:c>
      <x:c r="I368" s="49" t="str">
        <x:f>IF(SUMIFS('İndirimler'!$D$2:$D$110,'İndirimler'!$A$2:$A$110,B368,'İndirimler'!$B$2:$B$110,C368)&gt;0,ROUND(G368*(1-SUMIFS('İndirimler'!$D$2:$D$110,'İndirimler'!$A$2:$A$110,B368,'İndirimler'!$B$2:$B$110,C368)),2),"")</x:f>
      </x:c>
      <x:c r="J368" s="37"/>
    </x:row>
    <x:row r="369" ht="22" customHeight="1">
      <x:c r="A369" s="40" t="str">
        <x:v>9786256911789</x:v>
      </x:c>
      <x:c r="B369" s="37" t="str">
        <x:v>Eğitim Vadisi</x:v>
      </x:c>
      <x:c r="C369" s="37" t="str">
        <x:v>10. Sınıf</x:v>
      </x:c>
      <x:c r="D369" s="37" t="str">
        <x:v>Biyoloji</x:v>
      </x:c>
      <x:c r="E369" s="37" t="str">
        <x:v>TİK Tam İzleme Kitabı</x:v>
      </x:c>
      <x:c r="F369" s="37" t="str">
        <x:v>Soru Bankası</x:v>
      </x:c>
      <x:c r="G369" s="43" t="n">
        <x:v>274</x:v>
      </x:c>
      <x:c r="H369" s="46" t="str">
        <x:f>IF(SUMIFS('İndirimler'!$C$2:$C$110,'İndirimler'!$A$2:$A$110,B369,'İndirimler'!$B$2:$B$110,C369)&gt;0,ROUND(G369*(1-SUMIFS('İndirimler'!$C$2:$C$110,'İndirimler'!$A$2:$A$110,B369,'İndirimler'!$B$2:$B$110,C369)),2),"")</x:f>
      </x:c>
      <x:c r="I369" s="49" t="str">
        <x:f>IF(SUMIFS('İndirimler'!$D$2:$D$110,'İndirimler'!$A$2:$A$110,B369,'İndirimler'!$B$2:$B$110,C369)&gt;0,ROUND(G369*(1-SUMIFS('İndirimler'!$D$2:$D$110,'İndirimler'!$A$2:$A$110,B369,'İndirimler'!$B$2:$B$110,C369)),2),"")</x:f>
      </x:c>
      <x:c r="J369" s="37" t="str">
        <x:v>https://app.karakok.net/spShowFlip/2249</x:v>
      </x:c>
    </x:row>
    <x:row r="370" ht="22" customHeight="1">
      <x:c r="A370" s="40" t="str">
        <x:v>9786257532938</x:v>
      </x:c>
      <x:c r="B370" s="37" t="str">
        <x:v>Hız ve Renk Yayınları</x:v>
      </x:c>
      <x:c r="C370" s="37" t="str">
        <x:v>10. Sınıf</x:v>
      </x:c>
      <x:c r="D370" s="37" t="str">
        <x:v>Biyoloji</x:v>
      </x:c>
      <x:c r="E370" s="37" t="str">
        <x:v>HİT</x:v>
      </x:c>
      <x:c r="F370" s="37" t="str">
        <x:v>Soru Bankası</x:v>
      </x:c>
      <x:c r="G370" s="43" t="n">
        <x:v>449</x:v>
      </x:c>
      <x:c r="H370" s="46" t="str">
        <x:f>IF(SUMIFS('İndirimler'!$C$2:$C$110,'İndirimler'!$A$2:$A$110,B370,'İndirimler'!$B$2:$B$110,C370)&gt;0,ROUND(G370*(1-SUMIFS('İndirimler'!$C$2:$C$110,'İndirimler'!$A$2:$A$110,B370,'İndirimler'!$B$2:$B$110,C370)),2),"")</x:f>
      </x:c>
      <x:c r="I370" s="49" t="str">
        <x:f>IF(SUMIFS('İndirimler'!$D$2:$D$110,'İndirimler'!$A$2:$A$110,B370,'İndirimler'!$B$2:$B$110,C370)&gt;0,ROUND(G370*(1-SUMIFS('İndirimler'!$D$2:$D$110,'İndirimler'!$A$2:$A$110,B370,'İndirimler'!$B$2:$B$110,C370)),2),"")</x:f>
      </x:c>
      <x:c r="J370" s="37"/>
    </x:row>
    <x:row r="371" ht="22" customHeight="1">
      <x:c r="A371" s="40" t="str">
        <x:v>9786052757697</x:v>
      </x:c>
      <x:c r="B371" s="37" t="str">
        <x:v>Limit</x:v>
      </x:c>
      <x:c r="C371" s="37" t="str">
        <x:v>10. Sınıf</x:v>
      </x:c>
      <x:c r="D371" s="37" t="str">
        <x:v>Biyoloji</x:v>
      </x:c>
      <x:c r="E371" s="37"/>
      <x:c r="F371" s="37" t="str">
        <x:v>Soru Bankası</x:v>
      </x:c>
      <x:c r="G371" s="43" t="n">
        <x:v>490</x:v>
      </x:c>
      <x:c r="H371" s="46" t="str">
        <x:f>IF(SUMIFS('İndirimler'!$C$2:$C$110,'İndirimler'!$A$2:$A$110,B371,'İndirimler'!$B$2:$B$110,C371)&gt;0,ROUND(G371*(1-SUMIFS('İndirimler'!$C$2:$C$110,'İndirimler'!$A$2:$A$110,B371,'İndirimler'!$B$2:$B$110,C371)),2),"")</x:f>
      </x:c>
      <x:c r="I371" s="49" t="str">
        <x:f>IF(SUMIFS('İndirimler'!$D$2:$D$110,'İndirimler'!$A$2:$A$110,B371,'İndirimler'!$B$2:$B$110,C371)&gt;0,ROUND(G371*(1-SUMIFS('İndirimler'!$D$2:$D$110,'İndirimler'!$A$2:$A$110,B371,'İndirimler'!$B$2:$B$110,C371)),2),"")</x:f>
      </x:c>
      <x:c r="J371" s="37"/>
    </x:row>
    <x:row r="372" ht="22" customHeight="1">
      <x:c r="A372" s="40" t="str">
        <x:v>9786256412378</x:v>
      </x:c>
      <x:c r="B372" s="37" t="str">
        <x:v>Miray</x:v>
      </x:c>
      <x:c r="C372" s="37" t="str">
        <x:v>10. Sınıf</x:v>
      </x:c>
      <x:c r="D372" s="37" t="str">
        <x:v>Biyoloji</x:v>
      </x:c>
      <x:c r="E372" s="37" t="str">
        <x:v>Tematik</x:v>
      </x:c>
      <x:c r="F372" s="37" t="str">
        <x:v>Soru Bankası</x:v>
      </x:c>
      <x:c r="G372" s="43" t="n">
        <x:v>422</x:v>
      </x:c>
      <x:c r="H372" s="46" t="str">
        <x:f>IF(SUMIFS('İndirimler'!$C$2:$C$110,'İndirimler'!$A$2:$A$110,B372,'İndirimler'!$B$2:$B$110,C372)&gt;0,ROUND(G372*(1-SUMIFS('İndirimler'!$C$2:$C$110,'İndirimler'!$A$2:$A$110,B372,'İndirimler'!$B$2:$B$110,C372)),2),"")</x:f>
      </x:c>
      <x:c r="I372" s="49" t="str">
        <x:f>IF(SUMIFS('İndirimler'!$D$2:$D$110,'İndirimler'!$A$2:$A$110,B372,'İndirimler'!$B$2:$B$110,C372)&gt;0,ROUND(G372*(1-SUMIFS('İndirimler'!$D$2:$D$110,'İndirimler'!$A$2:$A$110,B372,'İndirimler'!$B$2:$B$110,C372)),2),"")</x:f>
      </x:c>
      <x:c r="J372" s="37"/>
    </x:row>
    <x:row r="373" ht="22" customHeight="1">
      <x:c r="A373" s="40" t="str">
        <x:v>9786259473963</x:v>
      </x:c>
      <x:c r="B373" s="37" t="str">
        <x:v>Ritim Biyoloji Yayınları</x:v>
      </x:c>
      <x:c r="C373" s="37" t="str">
        <x:v>10. Sınıf</x:v>
      </x:c>
      <x:c r="D373" s="37" t="str">
        <x:v>Biyoloji</x:v>
      </x:c>
      <x:c r="E373" s="37"/>
      <x:c r="F373" s="37" t="str">
        <x:v>Soru Bankası</x:v>
      </x:c>
      <x:c r="G373" s="43" t="n">
        <x:v>355</x:v>
      </x:c>
      <x:c r="H373" s="46" t="str">
        <x:f>IF(SUMIFS('İndirimler'!$C$2:$C$110,'İndirimler'!$A$2:$A$110,B373,'İndirimler'!$B$2:$B$110,C373)&gt;0,ROUND(G373*(1-SUMIFS('İndirimler'!$C$2:$C$110,'İndirimler'!$A$2:$A$110,B373,'İndirimler'!$B$2:$B$110,C373)),2),"")</x:f>
      </x:c>
      <x:c r="I373" s="49" t="str">
        <x:f>IF(SUMIFS('İndirimler'!$D$2:$D$110,'İndirimler'!$A$2:$A$110,B373,'İndirimler'!$B$2:$B$110,C373)&gt;0,ROUND(G373*(1-SUMIFS('İndirimler'!$D$2:$D$110,'İndirimler'!$A$2:$A$110,B373,'İndirimler'!$B$2:$B$110,C373)),2),"")</x:f>
      </x:c>
      <x:c r="J373" s="37"/>
    </x:row>
    <x:row r="374" ht="22" customHeight="1">
      <x:c r="A374" s="40" t="str">
        <x:v>9786255801029</x:v>
      </x:c>
      <x:c r="B374" s="37" t="str">
        <x:v>Çap Yayınları</x:v>
      </x:c>
      <x:c r="C374" s="37" t="str">
        <x:v>10. Sınıf</x:v>
      </x:c>
      <x:c r="D374" s="37" t="str">
        <x:v>Biyoloji</x:v>
      </x:c>
      <x:c r="E374" s="37" t="str">
        <x:v>Tematik</x:v>
      </x:c>
      <x:c r="F374" s="37" t="str">
        <x:v>Soru Bankası</x:v>
      </x:c>
      <x:c r="G374" s="43" t="n">
        <x:v>269</x:v>
      </x:c>
      <x:c r="H374" s="46" t="str">
        <x:f>IF(SUMIFS('İndirimler'!$C$2:$C$110,'İndirimler'!$A$2:$A$110,B374,'İndirimler'!$B$2:$B$110,C374)&gt;0,ROUND(G374*(1-SUMIFS('İndirimler'!$C$2:$C$110,'İndirimler'!$A$2:$A$110,B374,'İndirimler'!$B$2:$B$110,C374)),2),"")</x:f>
      </x:c>
      <x:c r="I374" s="49" t="str">
        <x:f>IF(SUMIFS('İndirimler'!$D$2:$D$110,'İndirimler'!$A$2:$A$110,B374,'İndirimler'!$B$2:$B$110,C374)&gt;0,ROUND(G374*(1-SUMIFS('İndirimler'!$D$2:$D$110,'İndirimler'!$A$2:$A$110,B374,'İndirimler'!$B$2:$B$110,C374)),2),"")</x:f>
      </x:c>
      <x:c r="J374" s="37"/>
    </x:row>
    <x:row r="375" ht="22" customHeight="1">
      <x:c r="A375" s="40" t="str">
        <x:v>9786258160819</x:v>
      </x:c>
      <x:c r="B375" s="37" t="str">
        <x:v>ENS Yayınları</x:v>
      </x:c>
      <x:c r="C375" s="37" t="str">
        <x:v>10. Sınıf</x:v>
      </x:c>
      <x:c r="D375" s="37" t="str">
        <x:v>Biyoloji</x:v>
      </x:c>
      <x:c r="E375" s="37"/>
      <x:c r="F375" s="37" t="str">
        <x:v>Etkinlik Kitabı</x:v>
      </x:c>
      <x:c r="G375" s="43" t="n">
        <x:v>429</x:v>
      </x:c>
      <x:c r="H375" s="46" t="str">
        <x:f>IF(SUMIFS('İndirimler'!$C$2:$C$110,'İndirimler'!$A$2:$A$110,B375,'İndirimler'!$B$2:$B$110,C375)&gt;0,ROUND(G375*(1-SUMIFS('İndirimler'!$C$2:$C$110,'İndirimler'!$A$2:$A$110,B375,'İndirimler'!$B$2:$B$110,C375)),2),"")</x:f>
      </x:c>
      <x:c r="I375" s="49" t="str">
        <x:f>IF(SUMIFS('İndirimler'!$D$2:$D$110,'İndirimler'!$A$2:$A$110,B375,'İndirimler'!$B$2:$B$110,C375)&gt;0,ROUND(G375*(1-SUMIFS('İndirimler'!$D$2:$D$110,'İndirimler'!$A$2:$A$110,B375,'İndirimler'!$B$2:$B$110,C375)),2),"")</x:f>
      </x:c>
      <x:c r="J375" s="37"/>
    </x:row>
    <x:row r="376" ht="22" customHeight="1">
      <x:c r="A376" s="40" t="str">
        <x:v>ORNEK00000054</x:v>
      </x:c>
      <x:c r="B376" s="37" t="str">
        <x:v>Çap Yayınları</x:v>
      </x:c>
      <x:c r="C376" s="37" t="str">
        <x:v>11. Sınıf</x:v>
      </x:c>
      <x:c r="D376" s="37" t="str">
        <x:v>Biyoloji</x:v>
      </x:c>
      <x:c r="E376" s="37"/>
      <x:c r="F376" s="37" t="str">
        <x:v>Fasikül Set</x:v>
      </x:c>
      <x:c r="G376" s="43" t="n">
        <x:v>600</x:v>
      </x:c>
      <x:c r="H376" s="46" t="str">
        <x:f>IF(SUMIFS('İndirimler'!$C$2:$C$110,'İndirimler'!$A$2:$A$110,B376,'İndirimler'!$B$2:$B$110,C376)&gt;0,ROUND(G376*(1-SUMIFS('İndirimler'!$C$2:$C$110,'İndirimler'!$A$2:$A$110,B376,'İndirimler'!$B$2:$B$110,C376)),2),"")</x:f>
      </x:c>
      <x:c r="I376" s="49" t="str">
        <x:f>IF(SUMIFS('İndirimler'!$D$2:$D$110,'İndirimler'!$A$2:$A$110,B376,'İndirimler'!$B$2:$B$110,C376)&gt;0,ROUND(G376*(1-SUMIFS('İndirimler'!$D$2:$D$110,'İndirimler'!$A$2:$A$110,B376,'İndirimler'!$B$2:$B$110,C376)),2),"")</x:f>
      </x:c>
      <x:c r="J376" s="37"/>
    </x:row>
    <x:row r="377" ht="22" customHeight="1">
      <x:c r="A377" s="40" t="str">
        <x:v>9786258139532</x:v>
      </x:c>
      <x:c r="B377" s="37" t="str">
        <x:v>Çap Yayınları</x:v>
      </x:c>
      <x:c r="C377" s="37" t="str">
        <x:v>11. Sınıf</x:v>
      </x:c>
      <x:c r="D377" s="37" t="str">
        <x:v>Biyoloji</x:v>
      </x:c>
      <x:c r="E377" s="37" t="str">
        <x:v>Fen Lisesi</x:v>
      </x:c>
      <x:c r="F377" s="37" t="str">
        <x:v>Fasikül Set</x:v>
      </x:c>
      <x:c r="G377" s="43" t="n">
        <x:v>559</x:v>
      </x:c>
      <x:c r="H377" s="46" t="str">
        <x:f>IF(SUMIFS('İndirimler'!$C$2:$C$110,'İndirimler'!$A$2:$A$110,B377,'İndirimler'!$B$2:$B$110,C377)&gt;0,ROUND(G377*(1-SUMIFS('İndirimler'!$C$2:$C$110,'İndirimler'!$A$2:$A$110,B377,'İndirimler'!$B$2:$B$110,C377)),2),"")</x:f>
      </x:c>
      <x:c r="I377" s="49" t="str">
        <x:f>IF(SUMIFS('İndirimler'!$D$2:$D$110,'İndirimler'!$A$2:$A$110,B377,'İndirimler'!$B$2:$B$110,C377)&gt;0,ROUND(G377*(1-SUMIFS('İndirimler'!$D$2:$D$110,'İndirimler'!$A$2:$A$110,B377,'İndirimler'!$B$2:$B$110,C377)),2),"")</x:f>
      </x:c>
      <x:c r="J377" s="37"/>
    </x:row>
    <x:row r="378" ht="22" customHeight="1">
      <x:c r="A378" s="40" t="str">
        <x:v>ORNEK00000044</x:v>
      </x:c>
      <x:c r="B378" s="37" t="str">
        <x:v>Bilgi Sarmal Yayınları</x:v>
      </x:c>
      <x:c r="C378" s="37" t="str">
        <x:v>11. Sınıf</x:v>
      </x:c>
      <x:c r="D378" s="37" t="str">
        <x:v>Biyoloji</x:v>
      </x:c>
      <x:c r="E378" s="37" t="str">
        <x:v>Tema</x:v>
      </x:c>
      <x:c r="F378" s="37" t="str">
        <x:v>Konu Anlatımlı</x:v>
      </x:c>
      <x:c r="G378" s="43" t="n">
        <x:v>500</x:v>
      </x:c>
      <x:c r="H378" s="46" t="str">
        <x:f>IF(SUMIFS('İndirimler'!$C$2:$C$110,'İndirimler'!$A$2:$A$110,B378,'İndirimler'!$B$2:$B$110,C378)&gt;0,ROUND(G378*(1-SUMIFS('İndirimler'!$C$2:$C$110,'İndirimler'!$A$2:$A$110,B378,'İndirimler'!$B$2:$B$110,C378)),2),"")</x:f>
      </x:c>
      <x:c r="I378" s="49" t="str">
        <x:f>IF(SUMIFS('İndirimler'!$D$2:$D$110,'İndirimler'!$A$2:$A$110,B378,'İndirimler'!$B$2:$B$110,C378)&gt;0,ROUND(G378*(1-SUMIFS('İndirimler'!$D$2:$D$110,'İndirimler'!$A$2:$A$110,B378,'İndirimler'!$B$2:$B$110,C378)),2),"")</x:f>
      </x:c>
      <x:c r="J378" s="37"/>
    </x:row>
    <x:row r="379" ht="22" customHeight="1">
      <x:c r="A379" s="40" t="str">
        <x:v>9786050644852</x:v>
      </x:c>
      <x:c r="B379" s="37" t="str">
        <x:v>Biyotik Yayınları</x:v>
      </x:c>
      <x:c r="C379" s="37" t="str">
        <x:v>11. Sınıf</x:v>
      </x:c>
      <x:c r="D379" s="37" t="str">
        <x:v>Biyoloji</x:v>
      </x:c>
      <x:c r="E379" s="37"/>
      <x:c r="F379" s="37" t="str">
        <x:v>Konu Anlatımlı</x:v>
      </x:c>
      <x:c r="G379" s="43" t="n">
        <x:v>500</x:v>
      </x:c>
      <x:c r="H379" s="46" t="str">
        <x:f>IF(SUMIFS('İndirimler'!$C$2:$C$110,'İndirimler'!$A$2:$A$110,B379,'İndirimler'!$B$2:$B$110,C379)&gt;0,ROUND(G379*(1-SUMIFS('İndirimler'!$C$2:$C$110,'İndirimler'!$A$2:$A$110,B379,'İndirimler'!$B$2:$B$110,C379)),2),"")</x:f>
      </x:c>
      <x:c r="I379" s="49" t="str">
        <x:f>IF(SUMIFS('İndirimler'!$D$2:$D$110,'İndirimler'!$A$2:$A$110,B379,'İndirimler'!$B$2:$B$110,C379)&gt;0,ROUND(G379*(1-SUMIFS('İndirimler'!$D$2:$D$110,'İndirimler'!$A$2:$A$110,B379,'İndirimler'!$B$2:$B$110,C379)),2),"")</x:f>
      </x:c>
      <x:c r="J379" s="37"/>
    </x:row>
    <x:row r="380" ht="22" customHeight="1">
      <x:c r="A380" s="40" t="str">
        <x:v>ORNEK00000070</x:v>
      </x:c>
      <x:c r="B380" s="37" t="str">
        <x:v>ENS Yayınları</x:v>
      </x:c>
      <x:c r="C380" s="37" t="str">
        <x:v>11. Sınıf</x:v>
      </x:c>
      <x:c r="D380" s="37" t="str">
        <x:v>Biyoloji</x:v>
      </x:c>
      <x:c r="E380" s="37" t="str">
        <x:v>Defter</x:v>
      </x:c>
      <x:c r="F380" s="37" t="str">
        <x:v>Konu Anlatımlı</x:v>
      </x:c>
      <x:c r="G380" s="43" t="n">
        <x:v>500</x:v>
      </x:c>
      <x:c r="H380" s="46" t="str">
        <x:f>IF(SUMIFS('İndirimler'!$C$2:$C$110,'İndirimler'!$A$2:$A$110,B380,'İndirimler'!$B$2:$B$110,C380)&gt;0,ROUND(G380*(1-SUMIFS('İndirimler'!$C$2:$C$110,'İndirimler'!$A$2:$A$110,B380,'İndirimler'!$B$2:$B$110,C380)),2),"")</x:f>
      </x:c>
      <x:c r="I380" s="49" t="str">
        <x:f>IF(SUMIFS('İndirimler'!$D$2:$D$110,'İndirimler'!$A$2:$A$110,B380,'İndirimler'!$B$2:$B$110,C380)&gt;0,ROUND(G380*(1-SUMIFS('İndirimler'!$D$2:$D$110,'İndirimler'!$A$2:$A$110,B380,'İndirimler'!$B$2:$B$110,C380)),2),"")</x:f>
      </x:c>
      <x:c r="J380" s="37"/>
    </x:row>
    <x:row r="381" ht="22" customHeight="1">
      <x:c r="A381" s="40" t="str">
        <x:v>9786052754191</x:v>
      </x:c>
      <x:c r="B381" s="37" t="str">
        <x:v>Limit</x:v>
      </x:c>
      <x:c r="C381" s="37" t="str">
        <x:v>11. Sınıf</x:v>
      </x:c>
      <x:c r="D381" s="37" t="str">
        <x:v>Biyoloji</x:v>
      </x:c>
      <x:c r="E381" s="37"/>
      <x:c r="F381" s="37" t="str">
        <x:v>Konu Anlatımlı</x:v>
      </x:c>
      <x:c r="G381" s="43" t="n">
        <x:v>486</x:v>
      </x:c>
      <x:c r="H381" s="46" t="str">
        <x:f>IF(SUMIFS('İndirimler'!$C$2:$C$110,'İndirimler'!$A$2:$A$110,B381,'İndirimler'!$B$2:$B$110,C381)&gt;0,ROUND(G381*(1-SUMIFS('İndirimler'!$C$2:$C$110,'İndirimler'!$A$2:$A$110,B381,'İndirimler'!$B$2:$B$110,C381)),2),"")</x:f>
      </x:c>
      <x:c r="I381" s="49" t="str">
        <x:f>IF(SUMIFS('İndirimler'!$D$2:$D$110,'İndirimler'!$A$2:$A$110,B381,'İndirimler'!$B$2:$B$110,C381)&gt;0,ROUND(G381*(1-SUMIFS('İndirimler'!$D$2:$D$110,'İndirimler'!$A$2:$A$110,B381,'İndirimler'!$B$2:$B$110,C381)),2),"")</x:f>
      </x:c>
      <x:c r="J381" s="37"/>
    </x:row>
    <x:row r="382" ht="22" customHeight="1">
      <x:c r="A382" s="40" t="str">
        <x:v>9786256142596</x:v>
      </x:c>
      <x:c r="B382" s="37" t="str">
        <x:v>Miray</x:v>
      </x:c>
      <x:c r="C382" s="37" t="str">
        <x:v>11. Sınıf</x:v>
      </x:c>
      <x:c r="D382" s="37" t="str">
        <x:v>Biyoloji</x:v>
      </x:c>
      <x:c r="E382" s="37" t="str">
        <x:v>Ders Anlatım Fasikülleri</x:v>
      </x:c>
      <x:c r="F382" s="37" t="str">
        <x:v>Konu Anlatımlı</x:v>
      </x:c>
      <x:c r="G382" s="43" t="n">
        <x:v>520</x:v>
      </x:c>
      <x:c r="H382" s="46" t="str">
        <x:f>IF(SUMIFS('İndirimler'!$C$2:$C$110,'İndirimler'!$A$2:$A$110,B382,'İndirimler'!$B$2:$B$110,C382)&gt;0,ROUND(G382*(1-SUMIFS('İndirimler'!$C$2:$C$110,'İndirimler'!$A$2:$A$110,B382,'İndirimler'!$B$2:$B$110,C382)),2),"")</x:f>
      </x:c>
      <x:c r="I382" s="49" t="str">
        <x:f>IF(SUMIFS('İndirimler'!$D$2:$D$110,'İndirimler'!$A$2:$A$110,B382,'İndirimler'!$B$2:$B$110,C382)&gt;0,ROUND(G382*(1-SUMIFS('İndirimler'!$D$2:$D$110,'İndirimler'!$A$2:$A$110,B382,'İndirimler'!$B$2:$B$110,C382)),2),"")</x:f>
      </x:c>
      <x:c r="J382" s="37"/>
    </x:row>
    <x:row r="383" ht="22" customHeight="1">
      <x:c r="A383" s="40" t="str">
        <x:v>9786256921948</x:v>
      </x:c>
      <x:c r="B383" s="37" t="str">
        <x:v>4K</x:v>
      </x:c>
      <x:c r="C383" s="37" t="str">
        <x:v>11. Sınıf</x:v>
      </x:c>
      <x:c r="D383" s="37" t="str">
        <x:v>Biyoloji</x:v>
      </x:c>
      <x:c r="E383" s="37"/>
      <x:c r="F383" s="37" t="str">
        <x:v>Soru Bankası</x:v>
      </x:c>
      <x:c r="G383" s="43" t="n">
        <x:v>366</x:v>
      </x:c>
      <x:c r="H383" s="46" t="str">
        <x:f>IF(SUMIFS('İndirimler'!$C$2:$C$110,'İndirimler'!$A$2:$A$110,B383,'İndirimler'!$B$2:$B$110,C383)&gt;0,ROUND(G383*(1-SUMIFS('İndirimler'!$C$2:$C$110,'İndirimler'!$A$2:$A$110,B383,'İndirimler'!$B$2:$B$110,C383)),2),"")</x:f>
      </x:c>
      <x:c r="I383" s="49" t="str">
        <x:f>IF(SUMIFS('İndirimler'!$D$2:$D$110,'İndirimler'!$A$2:$A$110,B383,'İndirimler'!$B$2:$B$110,C383)&gt;0,ROUND(G383*(1-SUMIFS('İndirimler'!$D$2:$D$110,'İndirimler'!$A$2:$A$110,B383,'İndirimler'!$B$2:$B$110,C383)),2),"")</x:f>
      </x:c>
      <x:c r="J383" s="37"/>
    </x:row>
    <x:row r="384" ht="22" customHeight="1">
      <x:c r="A384" s="40" t="str">
        <x:v>9786057710178</x:v>
      </x:c>
      <x:c r="B384" s="37" t="str">
        <x:v>Aydın</x:v>
      </x:c>
      <x:c r="C384" s="37" t="str">
        <x:v>11. Sınıf</x:v>
      </x:c>
      <x:c r="D384" s="37" t="str">
        <x:v>Biyoloji</x:v>
      </x:c>
      <x:c r="E384" s="37"/>
      <x:c r="F384" s="37" t="str">
        <x:v>Soru Bankası</x:v>
      </x:c>
      <x:c r="G384" s="43" t="n">
        <x:v>608</x:v>
      </x:c>
      <x:c r="H384" s="46" t="str">
        <x:f>IF(SUMIFS('İndirimler'!$C$2:$C$110,'İndirimler'!$A$2:$A$110,B384,'İndirimler'!$B$2:$B$110,C384)&gt;0,ROUND(G384*(1-SUMIFS('İndirimler'!$C$2:$C$110,'İndirimler'!$A$2:$A$110,B384,'İndirimler'!$B$2:$B$110,C384)),2),"")</x:f>
      </x:c>
      <x:c r="I384" s="49" t="str">
        <x:f>IF(SUMIFS('İndirimler'!$D$2:$D$110,'İndirimler'!$A$2:$A$110,B384,'İndirimler'!$B$2:$B$110,C384)&gt;0,ROUND(G384*(1-SUMIFS('İndirimler'!$D$2:$D$110,'İndirimler'!$A$2:$A$110,B384,'İndirimler'!$B$2:$B$110,C384)),2),"")</x:f>
      </x:c>
      <x:c r="J384" s="37"/>
    </x:row>
    <x:row r="385" ht="22" customHeight="1">
      <x:c r="A385" s="40" t="str">
        <x:v>9786258070323</x:v>
      </x:c>
      <x:c r="B385" s="37" t="str">
        <x:v>Bilgi Sarmal Yayınları</x:v>
      </x:c>
      <x:c r="C385" s="37" t="str">
        <x:v>11. Sınıf</x:v>
      </x:c>
      <x:c r="D385" s="37" t="str">
        <x:v>Biyoloji</x:v>
      </x:c>
      <x:c r="E385" s="37"/>
      <x:c r="F385" s="37" t="str">
        <x:v>Soru Bankası</x:v>
      </x:c>
      <x:c r="G385" s="43" t="n">
        <x:v>500</x:v>
      </x:c>
      <x:c r="H385" s="46" t="str">
        <x:f>IF(SUMIFS('İndirimler'!$C$2:$C$110,'İndirimler'!$A$2:$A$110,B385,'İndirimler'!$B$2:$B$110,C385)&gt;0,ROUND(G385*(1-SUMIFS('İndirimler'!$C$2:$C$110,'İndirimler'!$A$2:$A$110,B385,'İndirimler'!$B$2:$B$110,C385)),2),"")</x:f>
      </x:c>
      <x:c r="I385" s="49" t="str">
        <x:f>IF(SUMIFS('İndirimler'!$D$2:$D$110,'İndirimler'!$A$2:$A$110,B385,'İndirimler'!$B$2:$B$110,C385)&gt;0,ROUND(G385*(1-SUMIFS('İndirimler'!$D$2:$D$110,'İndirimler'!$A$2:$A$110,B385,'İndirimler'!$B$2:$B$110,C385)),2),"")</x:f>
      </x:c>
      <x:c r="J385" s="37"/>
    </x:row>
    <x:row r="386" ht="22" customHeight="1">
      <x:c r="A386" s="40" t="str">
        <x:v>ORNEK00000017</x:v>
      </x:c>
      <x:c r="B386" s="37" t="str">
        <x:v>Bilgi Sarmal Yayınları</x:v>
      </x:c>
      <x:c r="C386" s="37" t="str">
        <x:v>11. Sınıf</x:v>
      </x:c>
      <x:c r="D386" s="37" t="str">
        <x:v>Biyoloji</x:v>
      </x:c>
      <x:c r="E386" s="37"/>
      <x:c r="F386" s="37" t="str">
        <x:v>Soru Bankası</x:v>
      </x:c>
      <x:c r="G386" s="43" t="n">
        <x:v>500</x:v>
      </x:c>
      <x:c r="H386" s="46" t="str">
        <x:f>IF(SUMIFS('İndirimler'!$C$2:$C$110,'İndirimler'!$A$2:$A$110,B386,'İndirimler'!$B$2:$B$110,C386)&gt;0,ROUND(G386*(1-SUMIFS('İndirimler'!$C$2:$C$110,'İndirimler'!$A$2:$A$110,B386,'İndirimler'!$B$2:$B$110,C386)),2),"")</x:f>
      </x:c>
      <x:c r="I386" s="49" t="str">
        <x:f>IF(SUMIFS('İndirimler'!$D$2:$D$110,'İndirimler'!$A$2:$A$110,B386,'İndirimler'!$B$2:$B$110,C386)&gt;0,ROUND(G386*(1-SUMIFS('İndirimler'!$D$2:$D$110,'İndirimler'!$A$2:$A$110,B386,'İndirimler'!$B$2:$B$110,C386)),2),"")</x:f>
      </x:c>
      <x:c r="J386" s="37"/>
    </x:row>
    <x:row r="387" ht="22" customHeight="1">
      <x:c r="A387" s="40" t="str">
        <x:v>9786057361912</x:v>
      </x:c>
      <x:c r="B387" s="37" t="str">
        <x:v>Biyotik Yayınları</x:v>
      </x:c>
      <x:c r="C387" s="37" t="str">
        <x:v>11. Sınıf</x:v>
      </x:c>
      <x:c r="D387" s="37" t="str">
        <x:v>Biyoloji</x:v>
      </x:c>
      <x:c r="E387" s="37"/>
      <x:c r="F387" s="37" t="str">
        <x:v>Soru Bankası</x:v>
      </x:c>
      <x:c r="G387" s="43" t="n">
        <x:v>339</x:v>
      </x:c>
      <x:c r="H387" s="46" t="str">
        <x:f>IF(SUMIFS('İndirimler'!$C$2:$C$110,'İndirimler'!$A$2:$A$110,B387,'İndirimler'!$B$2:$B$110,C387)&gt;0,ROUND(G387*(1-SUMIFS('İndirimler'!$C$2:$C$110,'İndirimler'!$A$2:$A$110,B387,'İndirimler'!$B$2:$B$110,C387)),2),"")</x:f>
      </x:c>
      <x:c r="I387" s="49" t="str">
        <x:f>IF(SUMIFS('İndirimler'!$D$2:$D$110,'İndirimler'!$A$2:$A$110,B387,'İndirimler'!$B$2:$B$110,C387)&gt;0,ROUND(G387*(1-SUMIFS('İndirimler'!$D$2:$D$110,'İndirimler'!$A$2:$A$110,B387,'İndirimler'!$B$2:$B$110,C387)),2),"")</x:f>
      </x:c>
      <x:c r="J387" s="37"/>
    </x:row>
    <x:row r="388" ht="22" customHeight="1">
      <x:c r="A388" s="40" t="str">
        <x:v>9786259674797</x:v>
      </x:c>
      <x:c r="B388" s="37" t="str">
        <x:v>Biyotik Yayınları</x:v>
      </x:c>
      <x:c r="C388" s="37" t="str">
        <x:v>11. Sınıf</x:v>
      </x:c>
      <x:c r="D388" s="37" t="str">
        <x:v>Biyoloji</x:v>
      </x:c>
      <x:c r="E388" s="37"/>
      <x:c r="F388" s="37" t="str">
        <x:v>Soru Bankası</x:v>
      </x:c>
      <x:c r="G388" s="43" t="n">
        <x:v>499</x:v>
      </x:c>
      <x:c r="H388" s="46" t="str">
        <x:f>IF(SUMIFS('İndirimler'!$C$2:$C$110,'İndirimler'!$A$2:$A$110,B388,'İndirimler'!$B$2:$B$110,C388)&gt;0,ROUND(G388*(1-SUMIFS('İndirimler'!$C$2:$C$110,'İndirimler'!$A$2:$A$110,B388,'İndirimler'!$B$2:$B$110,C388)),2),"")</x:f>
      </x:c>
      <x:c r="I388" s="49" t="str">
        <x:f>IF(SUMIFS('İndirimler'!$D$2:$D$110,'İndirimler'!$A$2:$A$110,B388,'İndirimler'!$B$2:$B$110,C388)&gt;0,ROUND(G388*(1-SUMIFS('İndirimler'!$D$2:$D$110,'İndirimler'!$A$2:$A$110,B388,'İndirimler'!$B$2:$B$110,C388)),2),"")</x:f>
      </x:c>
      <x:c r="J388" s="37"/>
    </x:row>
    <x:row r="389" ht="22" customHeight="1">
      <x:c r="A389" s="40" t="str">
        <x:v>ORNEK00000093</x:v>
      </x:c>
      <x:c r="B389" s="37" t="str">
        <x:v>Hız ve Renk Yayınları</x:v>
      </x:c>
      <x:c r="C389" s="37" t="str">
        <x:v>11. Sınıf</x:v>
      </x:c>
      <x:c r="D389" s="37" t="str">
        <x:v>Biyoloji</x:v>
      </x:c>
      <x:c r="E389" s="37" t="str">
        <x:v>HİT</x:v>
      </x:c>
      <x:c r="F389" s="37" t="str">
        <x:v>Soru Bankası</x:v>
      </x:c>
      <x:c r="G389" s="43" t="n">
        <x:v>500</x:v>
      </x:c>
      <x:c r="H389" s="46" t="str">
        <x:f>IF(SUMIFS('İndirimler'!$C$2:$C$110,'İndirimler'!$A$2:$A$110,B389,'İndirimler'!$B$2:$B$110,C389)&gt;0,ROUND(G389*(1-SUMIFS('İndirimler'!$C$2:$C$110,'İndirimler'!$A$2:$A$110,B389,'İndirimler'!$B$2:$B$110,C389)),2),"")</x:f>
      </x:c>
      <x:c r="I389" s="49" t="str">
        <x:f>IF(SUMIFS('İndirimler'!$D$2:$D$110,'İndirimler'!$A$2:$A$110,B389,'İndirimler'!$B$2:$B$110,C389)&gt;0,ROUND(G389*(1-SUMIFS('İndirimler'!$D$2:$D$110,'İndirimler'!$A$2:$A$110,B389,'İndirimler'!$B$2:$B$110,C389)),2),"")</x:f>
      </x:c>
      <x:c r="J389" s="37"/>
    </x:row>
    <x:row r="390" ht="22" customHeight="1">
      <x:c r="A390" s="40" t="str">
        <x:v>9786052754016</x:v>
      </x:c>
      <x:c r="B390" s="37" t="str">
        <x:v>Limit</x:v>
      </x:c>
      <x:c r="C390" s="37" t="str">
        <x:v>11. Sınıf</x:v>
      </x:c>
      <x:c r="D390" s="37" t="str">
        <x:v>Biyoloji</x:v>
      </x:c>
      <x:c r="E390" s="37"/>
      <x:c r="F390" s="37" t="str">
        <x:v>Soru Bankası</x:v>
      </x:c>
      <x:c r="G390" s="43" t="n">
        <x:v>438</x:v>
      </x:c>
      <x:c r="H390" s="46" t="str">
        <x:f>IF(SUMIFS('İndirimler'!$C$2:$C$110,'İndirimler'!$A$2:$A$110,B390,'İndirimler'!$B$2:$B$110,C390)&gt;0,ROUND(G390*(1-SUMIFS('İndirimler'!$C$2:$C$110,'İndirimler'!$A$2:$A$110,B390,'İndirimler'!$B$2:$B$110,C390)),2),"")</x:f>
      </x:c>
      <x:c r="I390" s="49" t="str">
        <x:f>IF(SUMIFS('İndirimler'!$D$2:$D$110,'İndirimler'!$A$2:$A$110,B390,'İndirimler'!$B$2:$B$110,C390)&gt;0,ROUND(G390*(1-SUMIFS('İndirimler'!$D$2:$D$110,'İndirimler'!$A$2:$A$110,B390,'İndirimler'!$B$2:$B$110,C390)),2),"")</x:f>
      </x:c>
      <x:c r="J390" s="37"/>
    </x:row>
    <x:row r="391" ht="22" customHeight="1">
      <x:c r="A391" s="40" t="str">
        <x:v>9786256142558</x:v>
      </x:c>
      <x:c r="B391" s="37" t="str">
        <x:v>Miray</x:v>
      </x:c>
      <x:c r="C391" s="37" t="str">
        <x:v>11. Sınıf</x:v>
      </x:c>
      <x:c r="D391" s="37" t="str">
        <x:v>Biyoloji</x:v>
      </x:c>
      <x:c r="E391" s="37" t="str">
        <x:v>Tematik</x:v>
      </x:c>
      <x:c r="F391" s="37" t="str">
        <x:v>Soru Bankası</x:v>
      </x:c>
      <x:c r="G391" s="43" t="n">
        <x:v>458</x:v>
      </x:c>
      <x:c r="H391" s="46" t="str">
        <x:f>IF(SUMIFS('İndirimler'!$C$2:$C$110,'İndirimler'!$A$2:$A$110,B391,'İndirimler'!$B$2:$B$110,C391)&gt;0,ROUND(G391*(1-SUMIFS('İndirimler'!$C$2:$C$110,'İndirimler'!$A$2:$A$110,B391,'İndirimler'!$B$2:$B$110,C391)),2),"")</x:f>
      </x:c>
      <x:c r="I391" s="49" t="str">
        <x:f>IF(SUMIFS('İndirimler'!$D$2:$D$110,'İndirimler'!$A$2:$A$110,B391,'İndirimler'!$B$2:$B$110,C391)&gt;0,ROUND(G391*(1-SUMIFS('İndirimler'!$D$2:$D$110,'İndirimler'!$A$2:$A$110,B391,'İndirimler'!$B$2:$B$110,C391)),2),"")</x:f>
      </x:c>
      <x:c r="J391" s="37"/>
    </x:row>
    <x:row r="392" ht="22" customHeight="1">
      <x:c r="A392" s="40" t="str">
        <x:v>ORNEK00000110</x:v>
      </x:c>
      <x:c r="B392" s="37" t="str">
        <x:v>Ritim Biyoloji Yayınları</x:v>
      </x:c>
      <x:c r="C392" s="37" t="str">
        <x:v>11. Sınıf</x:v>
      </x:c>
      <x:c r="D392" s="37" t="str">
        <x:v>Biyoloji</x:v>
      </x:c>
      <x:c r="E392" s="37"/>
      <x:c r="F392" s="37" t="str">
        <x:v>Soru Bankası</x:v>
      </x:c>
      <x:c r="G392" s="43" t="n">
        <x:v>500</x:v>
      </x:c>
      <x:c r="H392" s="46" t="str">
        <x:f>IF(SUMIFS('İndirimler'!$C$2:$C$110,'İndirimler'!$A$2:$A$110,B392,'İndirimler'!$B$2:$B$110,C392)&gt;0,ROUND(G392*(1-SUMIFS('İndirimler'!$C$2:$C$110,'İndirimler'!$A$2:$A$110,B392,'İndirimler'!$B$2:$B$110,C392)),2),"")</x:f>
      </x:c>
      <x:c r="I392" s="49" t="str">
        <x:f>IF(SUMIFS('İndirimler'!$D$2:$D$110,'İndirimler'!$A$2:$A$110,B392,'İndirimler'!$B$2:$B$110,C392)&gt;0,ROUND(G392*(1-SUMIFS('İndirimler'!$D$2:$D$110,'İndirimler'!$A$2:$A$110,B392,'İndirimler'!$B$2:$B$110,C392)),2),"")</x:f>
      </x:c>
      <x:c r="J392" s="37"/>
    </x:row>
    <x:row r="393" ht="22" customHeight="1">
      <x:c r="A393" s="40" t="str">
        <x:v>ORNEK00000061</x:v>
      </x:c>
      <x:c r="B393" s="37" t="str">
        <x:v>Çap Yayınları</x:v>
      </x:c>
      <x:c r="C393" s="37" t="str">
        <x:v>11. Sınıf</x:v>
      </x:c>
      <x:c r="D393" s="37" t="str">
        <x:v>Biyoloji</x:v>
      </x:c>
      <x:c r="E393" s="37"/>
      <x:c r="F393" s="37" t="str">
        <x:v>Soru Bankası</x:v>
      </x:c>
      <x:c r="G393" s="43" t="n">
        <x:v>500</x:v>
      </x:c>
      <x:c r="H393" s="46" t="str">
        <x:f>IF(SUMIFS('İndirimler'!$C$2:$C$110,'İndirimler'!$A$2:$A$110,B393,'İndirimler'!$B$2:$B$110,C393)&gt;0,ROUND(G393*(1-SUMIFS('İndirimler'!$C$2:$C$110,'İndirimler'!$A$2:$A$110,B393,'İndirimler'!$B$2:$B$110,C393)),2),"")</x:f>
      </x:c>
      <x:c r="I393" s="49" t="str">
        <x:f>IF(SUMIFS('İndirimler'!$D$2:$D$110,'İndirimler'!$A$2:$A$110,B393,'İndirimler'!$B$2:$B$110,C393)&gt;0,ROUND(G393*(1-SUMIFS('İndirimler'!$D$2:$D$110,'İndirimler'!$A$2:$A$110,B393,'İndirimler'!$B$2:$B$110,C393)),2),"")</x:f>
      </x:c>
      <x:c r="J393" s="37"/>
    </x:row>
    <x:row r="394" ht="22" customHeight="1">
      <x:c r="A394" s="40" t="str">
        <x:v>ORNEK00000078</x:v>
      </x:c>
      <x:c r="B394" s="37" t="str">
        <x:v>ENS Yayınları</x:v>
      </x:c>
      <x:c r="C394" s="37" t="str">
        <x:v>11. Sınıf</x:v>
      </x:c>
      <x:c r="D394" s="37" t="str">
        <x:v>Biyoloji</x:v>
      </x:c>
      <x:c r="E394" s="37"/>
      <x:c r="F394" s="37" t="str">
        <x:v>Etkinlik Kitabı</x:v>
      </x:c>
      <x:c r="G394" s="43" t="n">
        <x:v>500</x:v>
      </x:c>
      <x:c r="H394" s="46" t="str">
        <x:f>IF(SUMIFS('İndirimler'!$C$2:$C$110,'İndirimler'!$A$2:$A$110,B394,'İndirimler'!$B$2:$B$110,C394)&gt;0,ROUND(G394*(1-SUMIFS('İndirimler'!$C$2:$C$110,'İndirimler'!$A$2:$A$110,B394,'İndirimler'!$B$2:$B$110,C394)),2),"")</x:f>
      </x:c>
      <x:c r="I394" s="49" t="str">
        <x:f>IF(SUMIFS('İndirimler'!$D$2:$D$110,'İndirimler'!$A$2:$A$110,B394,'İndirimler'!$B$2:$B$110,C394)&gt;0,ROUND(G394*(1-SUMIFS('İndirimler'!$D$2:$D$110,'İndirimler'!$A$2:$A$110,B394,'İndirimler'!$B$2:$B$110,C394)),2),"")</x:f>
      </x:c>
      <x:c r="J394" s="37"/>
    </x:row>
    <x:row r="395" ht="22" customHeight="1">
      <x:c r="A395" s="40" t="str">
        <x:v>9786258225006</x:v>
      </x:c>
      <x:c r="B395" s="37" t="str">
        <x:v>Çap Yayınları</x:v>
      </x:c>
      <x:c r="C395" s="37" t="str">
        <x:v>12. Sınıf</x:v>
      </x:c>
      <x:c r="D395" s="37" t="str">
        <x:v>Biyoloji</x:v>
      </x:c>
      <x:c r="E395" s="37" t="str">
        <x:v>Anadolu</x:v>
      </x:c>
      <x:c r="F395" s="37" t="str">
        <x:v>Fasikül Set</x:v>
      </x:c>
      <x:c r="G395" s="43" t="n">
        <x:v>589</x:v>
      </x:c>
      <x:c r="H395" s="46" t="str">
        <x:f>IF(SUMIFS('İndirimler'!$C$2:$C$110,'İndirimler'!$A$2:$A$110,B395,'İndirimler'!$B$2:$B$110,C395)&gt;0,ROUND(G395*(1-SUMIFS('İndirimler'!$C$2:$C$110,'İndirimler'!$A$2:$A$110,B395,'İndirimler'!$B$2:$B$110,C395)),2),"")</x:f>
      </x:c>
      <x:c r="I395" s="49" t="str">
        <x:f>IF(SUMIFS('İndirimler'!$D$2:$D$110,'İndirimler'!$A$2:$A$110,B395,'İndirimler'!$B$2:$B$110,C395)&gt;0,ROUND(G395*(1-SUMIFS('İndirimler'!$D$2:$D$110,'İndirimler'!$A$2:$A$110,B395,'İndirimler'!$B$2:$B$110,C395)),2),"")</x:f>
      </x:c>
      <x:c r="J395" s="37"/>
    </x:row>
    <x:row r="396" ht="22" customHeight="1">
      <x:c r="A396" s="40" t="str">
        <x:v>9786258139518</x:v>
      </x:c>
      <x:c r="B396" s="37" t="str">
        <x:v>Çap Yayınları</x:v>
      </x:c>
      <x:c r="C396" s="37" t="str">
        <x:v>12. Sınıf</x:v>
      </x:c>
      <x:c r="D396" s="37" t="str">
        <x:v>Biyoloji</x:v>
      </x:c>
      <x:c r="E396" s="37" t="str">
        <x:v>Fen Lisesi</x:v>
      </x:c>
      <x:c r="F396" s="37" t="str">
        <x:v>Fasikül Set</x:v>
      </x:c>
      <x:c r="G396" s="43" t="n">
        <x:v>589</x:v>
      </x:c>
      <x:c r="H396" s="46" t="str">
        <x:f>IF(SUMIFS('İndirimler'!$C$2:$C$110,'İndirimler'!$A$2:$A$110,B396,'İndirimler'!$B$2:$B$110,C396)&gt;0,ROUND(G396*(1-SUMIFS('İndirimler'!$C$2:$C$110,'İndirimler'!$A$2:$A$110,B396,'İndirimler'!$B$2:$B$110,C396)),2),"")</x:f>
      </x:c>
      <x:c r="I396" s="49" t="str">
        <x:f>IF(SUMIFS('İndirimler'!$D$2:$D$110,'İndirimler'!$A$2:$A$110,B396,'İndirimler'!$B$2:$B$110,C396)&gt;0,ROUND(G396*(1-SUMIFS('İndirimler'!$D$2:$D$110,'İndirimler'!$A$2:$A$110,B396,'İndirimler'!$B$2:$B$110,C396)),2),"")</x:f>
      </x:c>
      <x:c r="J396" s="37"/>
    </x:row>
    <x:row r="397" ht="22" customHeight="1">
      <x:c r="A397" s="40" t="str">
        <x:v>9786256412514</x:v>
      </x:c>
      <x:c r="B397" s="37" t="str">
        <x:v>Miray</x:v>
      </x:c>
      <x:c r="C397" s="37" t="str">
        <x:v>12. Sınıf</x:v>
      </x:c>
      <x:c r="D397" s="37" t="str">
        <x:v>Biyoloji</x:v>
      </x:c>
      <x:c r="E397" s="37" t="str">
        <x:v>Ders Anlatım Fasikülleri</x:v>
      </x:c>
      <x:c r="F397" s="37" t="str">
        <x:v>Konu Anlatımlı</x:v>
      </x:c>
      <x:c r="G397" s="43" t="n">
        <x:v>333</x:v>
      </x:c>
      <x:c r="H397" s="46" t="str">
        <x:f>IF(SUMIFS('İndirimler'!$C$2:$C$110,'İndirimler'!$A$2:$A$110,B397,'İndirimler'!$B$2:$B$110,C397)&gt;0,ROUND(G397*(1-SUMIFS('İndirimler'!$C$2:$C$110,'İndirimler'!$A$2:$A$110,B397,'İndirimler'!$B$2:$B$110,C397)),2),"")</x:f>
      </x:c>
      <x:c r="I397" s="49" t="str">
        <x:f>IF(SUMIFS('İndirimler'!$D$2:$D$110,'İndirimler'!$A$2:$A$110,B397,'İndirimler'!$B$2:$B$110,C397)&gt;0,ROUND(G397*(1-SUMIFS('İndirimler'!$D$2:$D$110,'İndirimler'!$A$2:$A$110,B397,'İndirimler'!$B$2:$B$110,C397)),2),"")</x:f>
      </x:c>
      <x:c r="J397" s="37"/>
    </x:row>
    <x:row r="398" ht="22" customHeight="1">
      <x:c r="A398" s="40" t="str">
        <x:v>9786259674766</x:v>
      </x:c>
      <x:c r="B398" s="37" t="str">
        <x:v>Biyotik Yayınları</x:v>
      </x:c>
      <x:c r="C398" s="37" t="str">
        <x:v>Maarif TYT</x:v>
      </x:c>
      <x:c r="D398" s="37" t="str">
        <x:v>Biyoloji</x:v>
      </x:c>
      <x:c r="E398" s="37"/>
      <x:c r="F398" s="37" t="str">
        <x:v>Konu Anlatımlı</x:v>
      </x:c>
      <x:c r="G398" s="43" t="n">
        <x:v>405</x:v>
      </x:c>
      <x:c r="H398" s="46" t="str">
        <x:f>IF(SUMIFS('İndirimler'!$C$2:$C$110,'İndirimler'!$A$2:$A$110,B398,'İndirimler'!$B$2:$B$110,C398)&gt;0,ROUND(G398*(1-SUMIFS('İndirimler'!$C$2:$C$110,'İndirimler'!$A$2:$A$110,B398,'İndirimler'!$B$2:$B$110,C398)),2),"")</x:f>
      </x:c>
      <x:c r="I398" s="49" t="str">
        <x:f>IF(SUMIFS('İndirimler'!$D$2:$D$110,'İndirimler'!$A$2:$A$110,B398,'İndirimler'!$B$2:$B$110,C398)&gt;0,ROUND(G398*(1-SUMIFS('İndirimler'!$D$2:$D$110,'İndirimler'!$A$2:$A$110,B398,'İndirimler'!$B$2:$B$110,C398)),2),"")</x:f>
      </x:c>
      <x:c r="J398" s="37"/>
    </x:row>
    <x:row r="399" ht="22" customHeight="1">
      <x:c r="A399" s="40" t="str">
        <x:v>9786256142459</x:v>
      </x:c>
      <x:c r="B399" s="37" t="str">
        <x:v>Aydın</x:v>
      </x:c>
      <x:c r="C399" s="37" t="str">
        <x:v>Maarif TYT</x:v>
      </x:c>
      <x:c r="D399" s="37" t="str">
        <x:v>Biyoloji</x:v>
      </x:c>
      <x:c r="E399" s="37"/>
      <x:c r="F399" s="37" t="str">
        <x:v>Soru Bankası</x:v>
      </x:c>
      <x:c r="G399" s="43" t="n">
        <x:v>638</x:v>
      </x:c>
      <x:c r="H399" s="46" t="str">
        <x:f>IF(SUMIFS('İndirimler'!$C$2:$C$110,'İndirimler'!$A$2:$A$110,B399,'İndirimler'!$B$2:$B$110,C399)&gt;0,ROUND(G399*(1-SUMIFS('İndirimler'!$C$2:$C$110,'İndirimler'!$A$2:$A$110,B399,'İndirimler'!$B$2:$B$110,C399)),2),"")</x:f>
      </x:c>
      <x:c r="I399" s="49" t="str">
        <x:f>IF(SUMIFS('İndirimler'!$D$2:$D$110,'İndirimler'!$A$2:$A$110,B399,'İndirimler'!$B$2:$B$110,C399)&gt;0,ROUND(G399*(1-SUMIFS('İndirimler'!$D$2:$D$110,'İndirimler'!$A$2:$A$110,B399,'İndirimler'!$B$2:$B$110,C399)),2),"")</x:f>
      </x:c>
      <x:c r="J399" s="37"/>
    </x:row>
    <x:row r="400" ht="22" customHeight="1">
      <x:c r="A400" s="40" t="str">
        <x:v>9786256712560</x:v>
      </x:c>
      <x:c r="B400" s="37" t="str">
        <x:v>Bilgi Sarmal Yayınları</x:v>
      </x:c>
      <x:c r="C400" s="37" t="str">
        <x:v>Maarif TYT</x:v>
      </x:c>
      <x:c r="D400" s="37" t="str">
        <x:v>Biyoloji</x:v>
      </x:c>
      <x:c r="E400" s="37"/>
      <x:c r="F400" s="37" t="str">
        <x:v>Soru Bankası</x:v>
      </x:c>
      <x:c r="G400" s="43" t="n">
        <x:v>479</x:v>
      </x:c>
      <x:c r="H400" s="46" t="str">
        <x:f>IF(SUMIFS('İndirimler'!$C$2:$C$110,'İndirimler'!$A$2:$A$110,B400,'İndirimler'!$B$2:$B$110,C400)&gt;0,ROUND(G400*(1-SUMIFS('İndirimler'!$C$2:$C$110,'İndirimler'!$A$2:$A$110,B400,'İndirimler'!$B$2:$B$110,C400)),2),"")</x:f>
      </x:c>
      <x:c r="I400" s="49" t="str">
        <x:f>IF(SUMIFS('İndirimler'!$D$2:$D$110,'İndirimler'!$A$2:$A$110,B400,'İndirimler'!$B$2:$B$110,C400)&gt;0,ROUND(G400*(1-SUMIFS('İndirimler'!$D$2:$D$110,'İndirimler'!$A$2:$A$110,B400,'İndirimler'!$B$2:$B$110,C400)),2),"")</x:f>
      </x:c>
      <x:c r="J400" s="37"/>
    </x:row>
    <x:row r="401" ht="22" customHeight="1">
      <x:c r="A401" s="40" t="str">
        <x:v>9786259674759</x:v>
      </x:c>
      <x:c r="B401" s="37" t="str">
        <x:v>Biyotik Yayınları</x:v>
      </x:c>
      <x:c r="C401" s="37" t="str">
        <x:v>Maarif TYT</x:v>
      </x:c>
      <x:c r="D401" s="37" t="str">
        <x:v>Biyoloji</x:v>
      </x:c>
      <x:c r="E401" s="37"/>
      <x:c r="F401" s="37" t="str">
        <x:v>Soru Bankası</x:v>
      </x:c>
      <x:c r="G401" s="43" t="n">
        <x:v>359</x:v>
      </x:c>
      <x:c r="H401" s="46" t="str">
        <x:f>IF(SUMIFS('İndirimler'!$C$2:$C$110,'İndirimler'!$A$2:$A$110,B401,'İndirimler'!$B$2:$B$110,C401)&gt;0,ROUND(G401*(1-SUMIFS('İndirimler'!$C$2:$C$110,'İndirimler'!$A$2:$A$110,B401,'İndirimler'!$B$2:$B$110,C401)),2),"")</x:f>
      </x:c>
      <x:c r="I401" s="49" t="str">
        <x:f>IF(SUMIFS('İndirimler'!$D$2:$D$110,'İndirimler'!$A$2:$A$110,B401,'İndirimler'!$B$2:$B$110,C401)&gt;0,ROUND(G401*(1-SUMIFS('İndirimler'!$D$2:$D$110,'İndirimler'!$A$2:$A$110,B401,'İndirimler'!$B$2:$B$110,C401)),2),"")</x:f>
      </x:c>
      <x:c r="J401" s="37"/>
    </x:row>
    <x:row r="402" ht="22" customHeight="1">
      <x:c r="A402" s="40" t="str">
        <x:v>9786052758939</x:v>
      </x:c>
      <x:c r="B402" s="37" t="str">
        <x:v>Limit</x:v>
      </x:c>
      <x:c r="C402" s="37" t="str">
        <x:v>Maarif TYT</x:v>
      </x:c>
      <x:c r="D402" s="37" t="str">
        <x:v>Biyoloji</x:v>
      </x:c>
      <x:c r="E402" s="37"/>
      <x:c r="F402" s="37" t="str">
        <x:v>Soru Bankası</x:v>
      </x:c>
      <x:c r="G402" s="43" t="n">
        <x:v>465</x:v>
      </x:c>
      <x:c r="H402" s="46" t="str">
        <x:f>IF(SUMIFS('İndirimler'!$C$2:$C$110,'İndirimler'!$A$2:$A$110,B402,'İndirimler'!$B$2:$B$110,C402)&gt;0,ROUND(G402*(1-SUMIFS('İndirimler'!$C$2:$C$110,'İndirimler'!$A$2:$A$110,B402,'İndirimler'!$B$2:$B$110,C402)),2),"")</x:f>
      </x:c>
      <x:c r="I402" s="49" t="str">
        <x:f>IF(SUMIFS('İndirimler'!$D$2:$D$110,'İndirimler'!$A$2:$A$110,B402,'İndirimler'!$B$2:$B$110,C402)&gt;0,ROUND(G402*(1-SUMIFS('İndirimler'!$D$2:$D$110,'İndirimler'!$A$2:$A$110,B402,'İndirimler'!$B$2:$B$110,C402)),2),"")</x:f>
      </x:c>
      <x:c r="J402" s="37"/>
    </x:row>
    <x:row r="403" ht="22" customHeight="1">
      <x:c r="A403" s="40" t="str">
        <x:v>9786256142480</x:v>
      </x:c>
      <x:c r="B403" s="37" t="str">
        <x:v>Miray</x:v>
      </x:c>
      <x:c r="C403" s="37" t="str">
        <x:v>Maarif TYT</x:v>
      </x:c>
      <x:c r="D403" s="37" t="str">
        <x:v>Biyoloji</x:v>
      </x:c>
      <x:c r="E403" s="37"/>
      <x:c r="F403" s="37" t="str">
        <x:v>Soru Bankası</x:v>
      </x:c>
      <x:c r="G403" s="43" t="n">
        <x:v>638</x:v>
      </x:c>
      <x:c r="H403" s="46" t="str">
        <x:f>IF(SUMIFS('İndirimler'!$C$2:$C$110,'İndirimler'!$A$2:$A$110,B403,'İndirimler'!$B$2:$B$110,C403)&gt;0,ROUND(G403*(1-SUMIFS('İndirimler'!$C$2:$C$110,'İndirimler'!$A$2:$A$110,B403,'İndirimler'!$B$2:$B$110,C403)),2),"")</x:f>
      </x:c>
      <x:c r="I403" s="49" t="str">
        <x:f>IF(SUMIFS('İndirimler'!$D$2:$D$110,'İndirimler'!$A$2:$A$110,B403,'İndirimler'!$B$2:$B$110,C403)&gt;0,ROUND(G403*(1-SUMIFS('İndirimler'!$D$2:$D$110,'İndirimler'!$A$2:$A$110,B403,'İndirimler'!$B$2:$B$110,C403)),2),"")</x:f>
      </x:c>
      <x:c r="J403" s="37"/>
    </x:row>
    <x:row r="404" ht="22" customHeight="1">
      <x:c r="A404" s="40" t="str">
        <x:v>9786259026305</x:v>
      </x:c>
      <x:c r="B404" s="37" t="str">
        <x:v>Çap Yayınları</x:v>
      </x:c>
      <x:c r="C404" s="37" t="str">
        <x:v>Maarif TYT</x:v>
      </x:c>
      <x:c r="D404" s="37" t="str">
        <x:v>Biyoloji</x:v>
      </x:c>
      <x:c r="E404" s="37" t="str">
        <x:v>Tematik</x:v>
      </x:c>
      <x:c r="F404" s="37" t="str">
        <x:v>Soru Bankası</x:v>
      </x:c>
      <x:c r="G404" s="43" t="n">
        <x:v>395</x:v>
      </x:c>
      <x:c r="H404" s="46" t="str">
        <x:f>IF(SUMIFS('İndirimler'!$C$2:$C$110,'İndirimler'!$A$2:$A$110,B404,'İndirimler'!$B$2:$B$110,C404)&gt;0,ROUND(G404*(1-SUMIFS('İndirimler'!$C$2:$C$110,'İndirimler'!$A$2:$A$110,B404,'İndirimler'!$B$2:$B$110,C404)),2),"")</x:f>
      </x:c>
      <x:c r="I404" s="49" t="str">
        <x:f>IF(SUMIFS('İndirimler'!$D$2:$D$110,'İndirimler'!$A$2:$A$110,B404,'İndirimler'!$B$2:$B$110,C404)&gt;0,ROUND(G404*(1-SUMIFS('İndirimler'!$D$2:$D$110,'İndirimler'!$A$2:$A$110,B404,'İndirimler'!$B$2:$B$110,C404)),2),"")</x:f>
      </x:c>
      <x:c r="J404" s="37"/>
    </x:row>
    <x:row r="405" ht="22" customHeight="1">
      <x:c r="A405" s="40" t="str">
        <x:v>9786259052625</x:v>
      </x:c>
      <x:c r="B405" s="37" t="str">
        <x:v>Ulti Yayınları</x:v>
      </x:c>
      <x:c r="C405" s="37" t="str">
        <x:v>9. Sınıf</x:v>
      </x:c>
      <x:c r="D405" s="37" t="str">
        <x:v>Tarih</x:v>
      </x:c>
      <x:c r="E405" s="37"/>
      <x:c r="F405" s="37" t="str">
        <x:v>Fasikül Set</x:v>
      </x:c>
      <x:c r="G405" s="43" t="n">
        <x:v>499</x:v>
      </x:c>
      <x:c r="H405" s="46" t="str">
        <x:f>IF(SUMIFS('İndirimler'!$C$2:$C$110,'İndirimler'!$A$2:$A$110,B405,'İndirimler'!$B$2:$B$110,C405)&gt;0,ROUND(G405*(1-SUMIFS('İndirimler'!$C$2:$C$110,'İndirimler'!$A$2:$A$110,B405,'İndirimler'!$B$2:$B$110,C405)),2),"")</x:f>
      </x:c>
      <x:c r="I405" s="49" t="str">
        <x:f>IF(SUMIFS('İndirimler'!$D$2:$D$110,'İndirimler'!$A$2:$A$110,B405,'İndirimler'!$B$2:$B$110,C405)&gt;0,ROUND(G405*(1-SUMIFS('İndirimler'!$D$2:$D$110,'İndirimler'!$A$2:$A$110,B405,'İndirimler'!$B$2:$B$110,C405)),2),"")</x:f>
      </x:c>
      <x:c r="J405" s="37"/>
    </x:row>
    <x:row r="406" ht="22" customHeight="1">
      <x:c r="A406" s="40" t="str">
        <x:v>9786256040441</x:v>
      </x:c>
      <x:c r="B406" s="37" t="str">
        <x:v>Çap Yayınları</x:v>
      </x:c>
      <x:c r="C406" s="37" t="str">
        <x:v>9. Sınıf</x:v>
      </x:c>
      <x:c r="D406" s="37" t="str">
        <x:v>Tarih</x:v>
      </x:c>
      <x:c r="E406" s="37"/>
      <x:c r="F406" s="37" t="str">
        <x:v>Fasikül Set</x:v>
      </x:c>
      <x:c r="G406" s="43" t="n">
        <x:v>539</x:v>
      </x:c>
      <x:c r="H406" s="46" t="str">
        <x:f>IF(SUMIFS('İndirimler'!$C$2:$C$110,'İndirimler'!$A$2:$A$110,B406,'İndirimler'!$B$2:$B$110,C406)&gt;0,ROUND(G406*(1-SUMIFS('İndirimler'!$C$2:$C$110,'İndirimler'!$A$2:$A$110,B406,'İndirimler'!$B$2:$B$110,C406)),2),"")</x:f>
      </x:c>
      <x:c r="I406" s="49" t="str">
        <x:f>IF(SUMIFS('İndirimler'!$D$2:$D$110,'İndirimler'!$A$2:$A$110,B406,'İndirimler'!$B$2:$B$110,C406)&gt;0,ROUND(G406*(1-SUMIFS('İndirimler'!$D$2:$D$110,'İndirimler'!$A$2:$A$110,B406,'İndirimler'!$B$2:$B$110,C406)),2),"")</x:f>
      </x:c>
      <x:c r="J406" s="37"/>
    </x:row>
    <x:row r="407" ht="22" customHeight="1">
      <x:c r="A407" s="40" t="str">
        <x:v>9786256630383</x:v>
      </x:c>
      <x:c r="B407" s="37" t="str">
        <x:v>Eğitim Vadisi</x:v>
      </x:c>
      <x:c r="C407" s="37" t="str">
        <x:v>9. Sınıf</x:v>
      </x:c>
      <x:c r="D407" s="37" t="str">
        <x:v>Tarih</x:v>
      </x:c>
      <x:c r="E407" s="37" t="str">
        <x:v>TAK Tam Anlatım Kitabı</x:v>
      </x:c>
      <x:c r="F407" s="37" t="str">
        <x:v>Konu Anlatımlı</x:v>
      </x:c>
      <x:c r="G407" s="43" t="n">
        <x:v>274</x:v>
      </x:c>
      <x:c r="H407" s="46" t="str">
        <x:f>IF(SUMIFS('İndirimler'!$C$2:$C$110,'İndirimler'!$A$2:$A$110,B407,'İndirimler'!$B$2:$B$110,C407)&gt;0,ROUND(G407*(1-SUMIFS('İndirimler'!$C$2:$C$110,'İndirimler'!$A$2:$A$110,B407,'İndirimler'!$B$2:$B$110,C407)),2),"")</x:f>
      </x:c>
      <x:c r="I407" s="49" t="str">
        <x:f>IF(SUMIFS('İndirimler'!$D$2:$D$110,'İndirimler'!$A$2:$A$110,B407,'İndirimler'!$B$2:$B$110,C407)&gt;0,ROUND(G407*(1-SUMIFS('İndirimler'!$D$2:$D$110,'İndirimler'!$A$2:$A$110,B407,'İndirimler'!$B$2:$B$110,C407)),2),"")</x:f>
      </x:c>
      <x:c r="J407" s="37" t="str">
        <x:v>https://app.karakok.net/spShowFlip/1550</x:v>
      </x:c>
    </x:row>
    <x:row r="408" ht="22" customHeight="1">
      <x:c r="A408" s="40" t="str">
        <x:v>9786052756683</x:v>
      </x:c>
      <x:c r="B408" s="37" t="str">
        <x:v>Limit</x:v>
      </x:c>
      <x:c r="C408" s="37" t="str">
        <x:v>9. Sınıf</x:v>
      </x:c>
      <x:c r="D408" s="37" t="str">
        <x:v>Tarih</x:v>
      </x:c>
      <x:c r="E408" s="37"/>
      <x:c r="F408" s="37" t="str">
        <x:v>Konu Anlatımlı</x:v>
      </x:c>
      <x:c r="G408" s="43" t="n">
        <x:v>548</x:v>
      </x:c>
      <x:c r="H408" s="46" t="str">
        <x:f>IF(SUMIFS('İndirimler'!$C$2:$C$110,'İndirimler'!$A$2:$A$110,B408,'İndirimler'!$B$2:$B$110,C408)&gt;0,ROUND(G408*(1-SUMIFS('İndirimler'!$C$2:$C$110,'İndirimler'!$A$2:$A$110,B408,'İndirimler'!$B$2:$B$110,C408)),2),"")</x:f>
      </x:c>
      <x:c r="I408" s="49" t="str">
        <x:f>IF(SUMIFS('İndirimler'!$D$2:$D$110,'İndirimler'!$A$2:$A$110,B408,'İndirimler'!$B$2:$B$110,C408)&gt;0,ROUND(G408*(1-SUMIFS('İndirimler'!$D$2:$D$110,'İndirimler'!$A$2:$A$110,B408,'İndirimler'!$B$2:$B$110,C408)),2),"")</x:f>
      </x:c>
      <x:c r="J408" s="37"/>
    </x:row>
    <x:row r="409" ht="22" customHeight="1">
      <x:c r="A409" s="40" t="str">
        <x:v>9786256921535</x:v>
      </x:c>
      <x:c r="B409" s="37" t="str">
        <x:v>4K</x:v>
      </x:c>
      <x:c r="C409" s="37" t="str">
        <x:v>9. Sınıf</x:v>
      </x:c>
      <x:c r="D409" s="37" t="str">
        <x:v>Tarih</x:v>
      </x:c>
      <x:c r="E409" s="37"/>
      <x:c r="F409" s="37" t="str">
        <x:v>Soru Bankası</x:v>
      </x:c>
      <x:c r="G409" s="43" t="n">
        <x:v>346</x:v>
      </x:c>
      <x:c r="H409" s="46" t="str">
        <x:f>IF(SUMIFS('İndirimler'!$C$2:$C$110,'İndirimler'!$A$2:$A$110,B409,'İndirimler'!$B$2:$B$110,C409)&gt;0,ROUND(G409*(1-SUMIFS('İndirimler'!$C$2:$C$110,'İndirimler'!$A$2:$A$110,B409,'İndirimler'!$B$2:$B$110,C409)),2),"")</x:f>
      </x:c>
      <x:c r="I409" s="49" t="str">
        <x:f>IF(SUMIFS('İndirimler'!$D$2:$D$110,'İndirimler'!$A$2:$A$110,B409,'İndirimler'!$B$2:$B$110,C409)&gt;0,ROUND(G409*(1-SUMIFS('İndirimler'!$D$2:$D$110,'İndirimler'!$A$2:$A$110,B409,'İndirimler'!$B$2:$B$110,C409)),2),"")</x:f>
      </x:c>
      <x:c r="J409" s="37" t="str">
        <x:v>https://app.karakok.net/spShowFlip/2144</x:v>
      </x:c>
    </x:row>
    <x:row r="410" ht="22" customHeight="1">
      <x:c r="A410" s="40" t="str">
        <x:v>9786259793603</x:v>
      </x:c>
      <x:c r="B410" s="37" t="str">
        <x:v>Bilgi Arşivi Yayınları</x:v>
      </x:c>
      <x:c r="C410" s="37" t="str">
        <x:v>9. Sınıf</x:v>
      </x:c>
      <x:c r="D410" s="37" t="str">
        <x:v>Tarih</x:v>
      </x:c>
      <x:c r="E410" s="37"/>
      <x:c r="F410" s="37" t="str">
        <x:v>Soru Bankası</x:v>
      </x:c>
      <x:c r="G410" s="43" t="n">
        <x:v>249</x:v>
      </x:c>
      <x:c r="H410" s="46" t="str">
        <x:f>IF(SUMIFS('İndirimler'!$C$2:$C$110,'İndirimler'!$A$2:$A$110,B410,'İndirimler'!$B$2:$B$110,C410)&gt;0,ROUND(G410*(1-SUMIFS('İndirimler'!$C$2:$C$110,'İndirimler'!$A$2:$A$110,B410,'İndirimler'!$B$2:$B$110,C410)),2),"")</x:f>
      </x:c>
      <x:c r="I410" s="49" t="str">
        <x:f>IF(SUMIFS('İndirimler'!$D$2:$D$110,'İndirimler'!$A$2:$A$110,B410,'İndirimler'!$B$2:$B$110,C410)&gt;0,ROUND(G410*(1-SUMIFS('İndirimler'!$D$2:$D$110,'İndirimler'!$A$2:$A$110,B410,'İndirimler'!$B$2:$B$110,C410)),2),"")</x:f>
      </x:c>
      <x:c r="J410" s="37"/>
    </x:row>
    <x:row r="411" ht="22" customHeight="1">
      <x:c r="A411" s="40" t="str">
        <x:v>9786259800905</x:v>
      </x:c>
      <x:c r="B411" s="37" t="str">
        <x:v>Bilgi Sarmal Yayınları</x:v>
      </x:c>
      <x:c r="C411" s="37" t="str">
        <x:v>9. Sınıf</x:v>
      </x:c>
      <x:c r="D411" s="37" t="str">
        <x:v>Tarih</x:v>
      </x:c>
      <x:c r="E411" s="37"/>
      <x:c r="F411" s="37" t="str">
        <x:v>Soru Bankası</x:v>
      </x:c>
      <x:c r="G411" s="43" t="n">
        <x:v>359</x:v>
      </x:c>
      <x:c r="H411" s="46" t="str">
        <x:f>IF(SUMIFS('İndirimler'!$C$2:$C$110,'İndirimler'!$A$2:$A$110,B411,'İndirimler'!$B$2:$B$110,C411)&gt;0,ROUND(G411*(1-SUMIFS('İndirimler'!$C$2:$C$110,'İndirimler'!$A$2:$A$110,B411,'İndirimler'!$B$2:$B$110,C411)),2),"")</x:f>
      </x:c>
      <x:c r="I411" s="49" t="str">
        <x:f>IF(SUMIFS('İndirimler'!$D$2:$D$110,'İndirimler'!$A$2:$A$110,B411,'İndirimler'!$B$2:$B$110,C411)&gt;0,ROUND(G411*(1-SUMIFS('İndirimler'!$D$2:$D$110,'İndirimler'!$A$2:$A$110,B411,'İndirimler'!$B$2:$B$110,C411)),2),"")</x:f>
      </x:c>
      <x:c r="J411" s="37"/>
    </x:row>
    <x:row r="412" ht="22" customHeight="1">
      <x:c r="A412" s="40" t="str">
        <x:v>9786256630529</x:v>
      </x:c>
      <x:c r="B412" s="37" t="str">
        <x:v>Eğitim Vadisi</x:v>
      </x:c>
      <x:c r="C412" s="37" t="str">
        <x:v>9. Sınıf</x:v>
      </x:c>
      <x:c r="D412" s="37" t="str">
        <x:v>Tarih</x:v>
      </x:c>
      <x:c r="E412" s="37" t="str">
        <x:v>TİK Tam İzleme Kitabı</x:v>
      </x:c>
      <x:c r="F412" s="37" t="str">
        <x:v>Soru Bankası</x:v>
      </x:c>
      <x:c r="G412" s="43" t="n">
        <x:v>274</x:v>
      </x:c>
      <x:c r="H412" s="46" t="str">
        <x:f>IF(SUMIFS('İndirimler'!$C$2:$C$110,'İndirimler'!$A$2:$A$110,B412,'İndirimler'!$B$2:$B$110,C412)&gt;0,ROUND(G412*(1-SUMIFS('İndirimler'!$C$2:$C$110,'İndirimler'!$A$2:$A$110,B412,'İndirimler'!$B$2:$B$110,C412)),2),"")</x:f>
      </x:c>
      <x:c r="I412" s="49" t="str">
        <x:f>IF(SUMIFS('İndirimler'!$D$2:$D$110,'İndirimler'!$A$2:$A$110,B412,'İndirimler'!$B$2:$B$110,C412)&gt;0,ROUND(G412*(1-SUMIFS('İndirimler'!$D$2:$D$110,'İndirimler'!$A$2:$A$110,B412,'İndirimler'!$B$2:$B$110,C412)),2),"")</x:f>
      </x:c>
      <x:c r="J412" s="37" t="str">
        <x:v>https://app.karakok.net/spShowFlip/1557</x:v>
      </x:c>
    </x:row>
    <x:row r="413" ht="22" customHeight="1">
      <x:c r="A413" s="40" t="str">
        <x:v>9786257532785</x:v>
      </x:c>
      <x:c r="B413" s="37" t="str">
        <x:v>Hız ve Renk Yayınları</x:v>
      </x:c>
      <x:c r="C413" s="37" t="str">
        <x:v>9. Sınıf</x:v>
      </x:c>
      <x:c r="D413" s="37" t="str">
        <x:v>Tarih</x:v>
      </x:c>
      <x:c r="E413" s="37" t="str">
        <x:v>HİT</x:v>
      </x:c>
      <x:c r="F413" s="37" t="str">
        <x:v>Soru Bankası</x:v>
      </x:c>
      <x:c r="G413" s="43" t="n">
        <x:v>429</x:v>
      </x:c>
      <x:c r="H413" s="46" t="str">
        <x:f>IF(SUMIFS('İndirimler'!$C$2:$C$110,'İndirimler'!$A$2:$A$110,B413,'İndirimler'!$B$2:$B$110,C413)&gt;0,ROUND(G413*(1-SUMIFS('İndirimler'!$C$2:$C$110,'İndirimler'!$A$2:$A$110,B413,'İndirimler'!$B$2:$B$110,C413)),2),"")</x:f>
      </x:c>
      <x:c r="I413" s="49" t="str">
        <x:f>IF(SUMIFS('İndirimler'!$D$2:$D$110,'İndirimler'!$A$2:$A$110,B413,'İndirimler'!$B$2:$B$110,C413)&gt;0,ROUND(G413*(1-SUMIFS('İndirimler'!$D$2:$D$110,'İndirimler'!$A$2:$A$110,B413,'İndirimler'!$B$2:$B$110,C413)),2),"")</x:f>
      </x:c>
      <x:c r="J413" s="37"/>
    </x:row>
    <x:row r="414" ht="22" customHeight="1">
      <x:c r="A414" s="40" t="str">
        <x:v>9786052756751</x:v>
      </x:c>
      <x:c r="B414" s="37" t="str">
        <x:v>Limit</x:v>
      </x:c>
      <x:c r="C414" s="37" t="str">
        <x:v>9. Sınıf</x:v>
      </x:c>
      <x:c r="D414" s="37" t="str">
        <x:v>Tarih</x:v>
      </x:c>
      <x:c r="E414" s="37"/>
      <x:c r="F414" s="37" t="str">
        <x:v>Soru Bankası</x:v>
      </x:c>
      <x:c r="G414" s="43" t="n">
        <x:v>548</x:v>
      </x:c>
      <x:c r="H414" s="46" t="str">
        <x:f>IF(SUMIFS('İndirimler'!$C$2:$C$110,'İndirimler'!$A$2:$A$110,B414,'İndirimler'!$B$2:$B$110,C414)&gt;0,ROUND(G414*(1-SUMIFS('İndirimler'!$C$2:$C$110,'İndirimler'!$A$2:$A$110,B414,'İndirimler'!$B$2:$B$110,C414)),2),"")</x:f>
      </x:c>
      <x:c r="I414" s="49" t="str">
        <x:f>IF(SUMIFS('İndirimler'!$D$2:$D$110,'İndirimler'!$A$2:$A$110,B414,'İndirimler'!$B$2:$B$110,C414)&gt;0,ROUND(G414*(1-SUMIFS('İndirimler'!$D$2:$D$110,'İndirimler'!$A$2:$A$110,B414,'İndirimler'!$B$2:$B$110,C414)),2),"")</x:f>
      </x:c>
      <x:c r="J414" s="37"/>
    </x:row>
    <x:row r="415" ht="22" customHeight="1">
      <x:c r="A415" s="40" t="str">
        <x:v>9786256412972</x:v>
      </x:c>
      <x:c r="B415" s="37" t="str">
        <x:v>Miray</x:v>
      </x:c>
      <x:c r="C415" s="37" t="str">
        <x:v>9. Sınıf</x:v>
      </x:c>
      <x:c r="D415" s="37" t="str">
        <x:v>Tarih</x:v>
      </x:c>
      <x:c r="E415" s="37" t="str">
        <x:v>Tematik</x:v>
      </x:c>
      <x:c r="F415" s="37" t="str">
        <x:v>Soru Bankası</x:v>
      </x:c>
      <x:c r="G415" s="43" t="n">
        <x:v>440</x:v>
      </x:c>
      <x:c r="H415" s="46" t="str">
        <x:f>IF(SUMIFS('İndirimler'!$C$2:$C$110,'İndirimler'!$A$2:$A$110,B415,'İndirimler'!$B$2:$B$110,C415)&gt;0,ROUND(G415*(1-SUMIFS('İndirimler'!$C$2:$C$110,'İndirimler'!$A$2:$A$110,B415,'İndirimler'!$B$2:$B$110,C415)),2),"")</x:f>
      </x:c>
      <x:c r="I415" s="49" t="str">
        <x:f>IF(SUMIFS('İndirimler'!$D$2:$D$110,'İndirimler'!$A$2:$A$110,B415,'İndirimler'!$B$2:$B$110,C415)&gt;0,ROUND(G415*(1-SUMIFS('İndirimler'!$D$2:$D$110,'İndirimler'!$A$2:$A$110,B415,'İndirimler'!$B$2:$B$110,C415)),2),"")</x:f>
      </x:c>
      <x:c r="J415" s="37"/>
    </x:row>
    <x:row r="416" ht="22" customHeight="1">
      <x:c r="A416" s="40" t="str">
        <x:v>9786256040496</x:v>
      </x:c>
      <x:c r="B416" s="37" t="str">
        <x:v>Çap Yayınları</x:v>
      </x:c>
      <x:c r="C416" s="37" t="str">
        <x:v>9. Sınıf</x:v>
      </x:c>
      <x:c r="D416" s="37" t="str">
        <x:v>Tarih</x:v>
      </x:c>
      <x:c r="E416" s="37" t="str">
        <x:v>Tematik</x:v>
      </x:c>
      <x:c r="F416" s="37" t="str">
        <x:v>Soru Bankası</x:v>
      </x:c>
      <x:c r="G416" s="43" t="n">
        <x:v>295</x:v>
      </x:c>
      <x:c r="H416" s="46" t="str">
        <x:f>IF(SUMIFS('İndirimler'!$C$2:$C$110,'İndirimler'!$A$2:$A$110,B416,'İndirimler'!$B$2:$B$110,C416)&gt;0,ROUND(G416*(1-SUMIFS('İndirimler'!$C$2:$C$110,'İndirimler'!$A$2:$A$110,B416,'İndirimler'!$B$2:$B$110,C416)),2),"")</x:f>
      </x:c>
      <x:c r="I416" s="49" t="str">
        <x:f>IF(SUMIFS('İndirimler'!$D$2:$D$110,'İndirimler'!$A$2:$A$110,B416,'İndirimler'!$B$2:$B$110,C416)&gt;0,ROUND(G416*(1-SUMIFS('İndirimler'!$D$2:$D$110,'İndirimler'!$A$2:$A$110,B416,'İndirimler'!$B$2:$B$110,C416)),2),"")</x:f>
      </x:c>
      <x:c r="J416" s="37"/>
    </x:row>
    <x:row r="417" ht="22" customHeight="1">
      <x:c r="A417" s="40" t="str">
        <x:v>9786258160642</x:v>
      </x:c>
      <x:c r="B417" s="37" t="str">
        <x:v>ENS Yayınları</x:v>
      </x:c>
      <x:c r="C417" s="37" t="str">
        <x:v>9. Sınıf</x:v>
      </x:c>
      <x:c r="D417" s="37" t="str">
        <x:v>Tarih</x:v>
      </x:c>
      <x:c r="E417" s="37"/>
      <x:c r="F417" s="37" t="str">
        <x:v>Etkinlik Kitabı</x:v>
      </x:c>
      <x:c r="G417" s="43" t="n">
        <x:v>479</x:v>
      </x:c>
      <x:c r="H417" s="46" t="str">
        <x:f>IF(SUMIFS('İndirimler'!$C$2:$C$110,'İndirimler'!$A$2:$A$110,B417,'İndirimler'!$B$2:$B$110,C417)&gt;0,ROUND(G417*(1-SUMIFS('İndirimler'!$C$2:$C$110,'İndirimler'!$A$2:$A$110,B417,'İndirimler'!$B$2:$B$110,C417)),2),"")</x:f>
      </x:c>
      <x:c r="I417" s="49" t="str">
        <x:f>IF(SUMIFS('İndirimler'!$D$2:$D$110,'İndirimler'!$A$2:$A$110,B417,'İndirimler'!$B$2:$B$110,C417)&gt;0,ROUND(G417*(1-SUMIFS('İndirimler'!$D$2:$D$110,'İndirimler'!$A$2:$A$110,B417,'İndirimler'!$B$2:$B$110,C417)),2),"")</x:f>
      </x:c>
      <x:c r="J417" s="37"/>
    </x:row>
    <x:row r="418" ht="22" customHeight="1">
      <x:c r="A418" s="40" t="str">
        <x:v>9786255801142</x:v>
      </x:c>
      <x:c r="B418" s="37" t="str">
        <x:v>Çap Yayınları</x:v>
      </x:c>
      <x:c r="C418" s="37" t="str">
        <x:v>10. Sınıf</x:v>
      </x:c>
      <x:c r="D418" s="37" t="str">
        <x:v>Tarih</x:v>
      </x:c>
      <x:c r="E418" s="37"/>
      <x:c r="F418" s="37" t="str">
        <x:v>Fasikül Set</x:v>
      </x:c>
      <x:c r="G418" s="43" t="n">
        <x:v>779</x:v>
      </x:c>
      <x:c r="H418" s="46" t="str">
        <x:f>IF(SUMIFS('İndirimler'!$C$2:$C$110,'İndirimler'!$A$2:$A$110,B418,'İndirimler'!$B$2:$B$110,C418)&gt;0,ROUND(G418*(1-SUMIFS('İndirimler'!$C$2:$C$110,'İndirimler'!$A$2:$A$110,B418,'İndirimler'!$B$2:$B$110,C418)),2),"")</x:f>
      </x:c>
      <x:c r="I418" s="49" t="str">
        <x:f>IF(SUMIFS('İndirimler'!$D$2:$D$110,'İndirimler'!$A$2:$A$110,B418,'İndirimler'!$B$2:$B$110,C418)&gt;0,ROUND(G418*(1-SUMIFS('İndirimler'!$D$2:$D$110,'İndirimler'!$A$2:$A$110,B418,'İndirimler'!$B$2:$B$110,C418)),2),"")</x:f>
      </x:c>
      <x:c r="J418" s="37"/>
    </x:row>
    <x:row r="419" ht="22" customHeight="1">
      <x:c r="A419" s="40" t="str">
        <x:v>9786256911338</x:v>
      </x:c>
      <x:c r="B419" s="37" t="str">
        <x:v>Eğitim Vadisi</x:v>
      </x:c>
      <x:c r="C419" s="37" t="str">
        <x:v>10. Sınıf</x:v>
      </x:c>
      <x:c r="D419" s="37" t="str">
        <x:v>Tarih</x:v>
      </x:c>
      <x:c r="E419" s="37" t="str">
        <x:v>TAK Tam Anlatım Kitabı</x:v>
      </x:c>
      <x:c r="F419" s="37" t="str">
        <x:v>Konu Anlatımlı</x:v>
      </x:c>
      <x:c r="G419" s="43" t="n">
        <x:v>274</x:v>
      </x:c>
      <x:c r="H419" s="46" t="str">
        <x:f>IF(SUMIFS('İndirimler'!$C$2:$C$110,'İndirimler'!$A$2:$A$110,B419,'İndirimler'!$B$2:$B$110,C419)&gt;0,ROUND(G419*(1-SUMIFS('İndirimler'!$C$2:$C$110,'İndirimler'!$A$2:$A$110,B419,'İndirimler'!$B$2:$B$110,C419)),2),"")</x:f>
      </x:c>
      <x:c r="I419" s="49" t="str">
        <x:f>IF(SUMIFS('İndirimler'!$D$2:$D$110,'İndirimler'!$A$2:$A$110,B419,'İndirimler'!$B$2:$B$110,C419)&gt;0,ROUND(G419*(1-SUMIFS('İndirimler'!$D$2:$D$110,'İndirimler'!$A$2:$A$110,B419,'İndirimler'!$B$2:$B$110,C419)),2),"")</x:f>
      </x:c>
      <x:c r="J419" s="37" t="str">
        <x:v>https://app.karakok.net/spShowFlip/2159</x:v>
      </x:c>
    </x:row>
    <x:row r="420" ht="22" customHeight="1">
      <x:c r="A420" s="40" t="str">
        <x:v>9786052757628</x:v>
      </x:c>
      <x:c r="B420" s="37" t="str">
        <x:v>Limit</x:v>
      </x:c>
      <x:c r="C420" s="37" t="str">
        <x:v>10. Sınıf</x:v>
      </x:c>
      <x:c r="D420" s="37" t="str">
        <x:v>Tarih</x:v>
      </x:c>
      <x:c r="E420" s="37"/>
      <x:c r="F420" s="37" t="str">
        <x:v>Konu Anlatımlı</x:v>
      </x:c>
      <x:c r="G420" s="43" t="n">
        <x:v>608</x:v>
      </x:c>
      <x:c r="H420" s="46" t="str">
        <x:f>IF(SUMIFS('İndirimler'!$C$2:$C$110,'İndirimler'!$A$2:$A$110,B420,'İndirimler'!$B$2:$B$110,C420)&gt;0,ROUND(G420*(1-SUMIFS('İndirimler'!$C$2:$C$110,'İndirimler'!$A$2:$A$110,B420,'İndirimler'!$B$2:$B$110,C420)),2),"")</x:f>
      </x:c>
      <x:c r="I420" s="49" t="str">
        <x:f>IF(SUMIFS('İndirimler'!$D$2:$D$110,'İndirimler'!$A$2:$A$110,B420,'İndirimler'!$B$2:$B$110,C420)&gt;0,ROUND(G420*(1-SUMIFS('İndirimler'!$D$2:$D$110,'İndirimler'!$A$2:$A$110,B420,'İndirimler'!$B$2:$B$110,C420)),2),"")</x:f>
      </x:c>
      <x:c r="J420" s="37"/>
    </x:row>
    <x:row r="421" ht="22" customHeight="1">
      <x:c r="A421" s="40" t="str">
        <x:v>9786256921726</x:v>
      </x:c>
      <x:c r="B421" s="37" t="str">
        <x:v>4K</x:v>
      </x:c>
      <x:c r="C421" s="37" t="str">
        <x:v>10. Sınıf</x:v>
      </x:c>
      <x:c r="D421" s="37" t="str">
        <x:v>Tarih</x:v>
      </x:c>
      <x:c r="E421" s="37"/>
      <x:c r="F421" s="37" t="str">
        <x:v>Soru Bankası</x:v>
      </x:c>
      <x:c r="G421" s="43" t="n">
        <x:v>366</x:v>
      </x:c>
      <x:c r="H421" s="46" t="str">
        <x:f>IF(SUMIFS('İndirimler'!$C$2:$C$110,'İndirimler'!$A$2:$A$110,B421,'İndirimler'!$B$2:$B$110,C421)&gt;0,ROUND(G421*(1-SUMIFS('İndirimler'!$C$2:$C$110,'İndirimler'!$A$2:$A$110,B421,'İndirimler'!$B$2:$B$110,C421)),2),"")</x:f>
      </x:c>
      <x:c r="I421" s="49" t="str">
        <x:f>IF(SUMIFS('İndirimler'!$D$2:$D$110,'İndirimler'!$A$2:$A$110,B421,'İndirimler'!$B$2:$B$110,C421)&gt;0,ROUND(G421*(1-SUMIFS('İndirimler'!$D$2:$D$110,'İndirimler'!$A$2:$A$110,B421,'İndirimler'!$B$2:$B$110,C421)),2),"")</x:f>
      </x:c>
      <x:c r="J421" s="37" t="str">
        <x:v>https://app.karakok.net/spShowFlip/1922</x:v>
      </x:c>
    </x:row>
    <x:row r="422" ht="22" customHeight="1">
      <x:c r="A422" s="40" t="str">
        <x:v>9786259793658</x:v>
      </x:c>
      <x:c r="B422" s="37" t="str">
        <x:v>Bilgi Arşivi Yayınları</x:v>
      </x:c>
      <x:c r="C422" s="37" t="str">
        <x:v>10. Sınıf</x:v>
      </x:c>
      <x:c r="D422" s="37" t="str">
        <x:v>Tarih</x:v>
      </x:c>
      <x:c r="E422" s="37"/>
      <x:c r="F422" s="37" t="str">
        <x:v>Soru Bankası</x:v>
      </x:c>
      <x:c r="G422" s="43" t="n">
        <x:v>295</x:v>
      </x:c>
      <x:c r="H422" s="46" t="str">
        <x:f>IF(SUMIFS('İndirimler'!$C$2:$C$110,'İndirimler'!$A$2:$A$110,B422,'İndirimler'!$B$2:$B$110,C422)&gt;0,ROUND(G422*(1-SUMIFS('İndirimler'!$C$2:$C$110,'İndirimler'!$A$2:$A$110,B422,'İndirimler'!$B$2:$B$110,C422)),2),"")</x:f>
      </x:c>
      <x:c r="I422" s="49" t="str">
        <x:f>IF(SUMIFS('İndirimler'!$D$2:$D$110,'İndirimler'!$A$2:$A$110,B422,'İndirimler'!$B$2:$B$110,C422)&gt;0,ROUND(G422*(1-SUMIFS('İndirimler'!$D$2:$D$110,'İndirimler'!$A$2:$A$110,B422,'İndirimler'!$B$2:$B$110,C422)),2),"")</x:f>
      </x:c>
      <x:c r="J422" s="37"/>
    </x:row>
    <x:row r="423" ht="22" customHeight="1">
      <x:c r="A423" s="40" t="str">
        <x:v>9786256712423</x:v>
      </x:c>
      <x:c r="B423" s="37" t="str">
        <x:v>Bilgi Sarmal Yayınları</x:v>
      </x:c>
      <x:c r="C423" s="37" t="str">
        <x:v>10. Sınıf</x:v>
      </x:c>
      <x:c r="D423" s="37" t="str">
        <x:v>Tarih</x:v>
      </x:c>
      <x:c r="E423" s="37"/>
      <x:c r="F423" s="37" t="str">
        <x:v>Soru Bankası</x:v>
      </x:c>
      <x:c r="G423" s="43" t="n">
        <x:v>385</x:v>
      </x:c>
      <x:c r="H423" s="46" t="str">
        <x:f>IF(SUMIFS('İndirimler'!$C$2:$C$110,'İndirimler'!$A$2:$A$110,B423,'İndirimler'!$B$2:$B$110,C423)&gt;0,ROUND(G423*(1-SUMIFS('İndirimler'!$C$2:$C$110,'İndirimler'!$A$2:$A$110,B423,'İndirimler'!$B$2:$B$110,C423)),2),"")</x:f>
      </x:c>
      <x:c r="I423" s="49" t="str">
        <x:f>IF(SUMIFS('İndirimler'!$D$2:$D$110,'İndirimler'!$A$2:$A$110,B423,'İndirimler'!$B$2:$B$110,C423)&gt;0,ROUND(G423*(1-SUMIFS('İndirimler'!$D$2:$D$110,'İndirimler'!$A$2:$A$110,B423,'İndirimler'!$B$2:$B$110,C423)),2),"")</x:f>
      </x:c>
      <x:c r="J423" s="37"/>
    </x:row>
    <x:row r="424" ht="22" customHeight="1">
      <x:c r="A424" s="40" t="str">
        <x:v>9786256911215</x:v>
      </x:c>
      <x:c r="B424" s="37" t="str">
        <x:v>Eğitim Vadisi</x:v>
      </x:c>
      <x:c r="C424" s="37" t="str">
        <x:v>10. Sınıf</x:v>
      </x:c>
      <x:c r="D424" s="37" t="str">
        <x:v>Tarih</x:v>
      </x:c>
      <x:c r="E424" s="37" t="str">
        <x:v>TİK Tam İzleme Kitabı</x:v>
      </x:c>
      <x:c r="F424" s="37" t="str">
        <x:v>Soru Bankası</x:v>
      </x:c>
      <x:c r="G424" s="43" t="n">
        <x:v>274</x:v>
      </x:c>
      <x:c r="H424" s="46" t="str">
        <x:f>IF(SUMIFS('İndirimler'!$C$2:$C$110,'İndirimler'!$A$2:$A$110,B424,'İndirimler'!$B$2:$B$110,C424)&gt;0,ROUND(G424*(1-SUMIFS('İndirimler'!$C$2:$C$110,'İndirimler'!$A$2:$A$110,B424,'İndirimler'!$B$2:$B$110,C424)),2),"")</x:f>
      </x:c>
      <x:c r="I424" s="49" t="str">
        <x:f>IF(SUMIFS('İndirimler'!$D$2:$D$110,'İndirimler'!$A$2:$A$110,B424,'İndirimler'!$B$2:$B$110,C424)&gt;0,ROUND(G424*(1-SUMIFS('İndirimler'!$D$2:$D$110,'İndirimler'!$A$2:$A$110,B424,'İndirimler'!$B$2:$B$110,C424)),2),"")</x:f>
      </x:c>
      <x:c r="J424" s="37" t="str">
        <x:v>https://app.karakok.net/spShowFlip/2165</x:v>
      </x:c>
    </x:row>
    <x:row r="425" ht="22" customHeight="1">
      <x:c r="A425" s="40" t="str">
        <x:v>9786257532853</x:v>
      </x:c>
      <x:c r="B425" s="37" t="str">
        <x:v>Hız ve Renk Yayınları</x:v>
      </x:c>
      <x:c r="C425" s="37" t="str">
        <x:v>10. Sınıf</x:v>
      </x:c>
      <x:c r="D425" s="37" t="str">
        <x:v>Tarih</x:v>
      </x:c>
      <x:c r="E425" s="37" t="str">
        <x:v>HİT</x:v>
      </x:c>
      <x:c r="F425" s="37" t="str">
        <x:v>Soru Bankası</x:v>
      </x:c>
      <x:c r="G425" s="43" t="n">
        <x:v>429</x:v>
      </x:c>
      <x:c r="H425" s="46" t="str">
        <x:f>IF(SUMIFS('İndirimler'!$C$2:$C$110,'İndirimler'!$A$2:$A$110,B425,'İndirimler'!$B$2:$B$110,C425)&gt;0,ROUND(G425*(1-SUMIFS('İndirimler'!$C$2:$C$110,'İndirimler'!$A$2:$A$110,B425,'İndirimler'!$B$2:$B$110,C425)),2),"")</x:f>
      </x:c>
      <x:c r="I425" s="49" t="str">
        <x:f>IF(SUMIFS('İndirimler'!$D$2:$D$110,'İndirimler'!$A$2:$A$110,B425,'İndirimler'!$B$2:$B$110,C425)&gt;0,ROUND(G425*(1-SUMIFS('İndirimler'!$D$2:$D$110,'İndirimler'!$A$2:$A$110,B425,'İndirimler'!$B$2:$B$110,C425)),2),"")</x:f>
      </x:c>
      <x:c r="J425" s="37"/>
    </x:row>
    <x:row r="426" ht="22" customHeight="1">
      <x:c r="A426" s="40" t="str">
        <x:v>9786052757635</x:v>
      </x:c>
      <x:c r="B426" s="37" t="str">
        <x:v>Limit</x:v>
      </x:c>
      <x:c r="C426" s="37" t="str">
        <x:v>10. Sınıf</x:v>
      </x:c>
      <x:c r="D426" s="37" t="str">
        <x:v>Tarih</x:v>
      </x:c>
      <x:c r="E426" s="37"/>
      <x:c r="F426" s="37" t="str">
        <x:v>Soru Bankası</x:v>
      </x:c>
      <x:c r="G426" s="43" t="n">
        <x:v>619</x:v>
      </x:c>
      <x:c r="H426" s="46" t="str">
        <x:f>IF(SUMIFS('İndirimler'!$C$2:$C$110,'İndirimler'!$A$2:$A$110,B426,'İndirimler'!$B$2:$B$110,C426)&gt;0,ROUND(G426*(1-SUMIFS('İndirimler'!$C$2:$C$110,'İndirimler'!$A$2:$A$110,B426,'İndirimler'!$B$2:$B$110,C426)),2),"")</x:f>
      </x:c>
      <x:c r="I426" s="49" t="str">
        <x:f>IF(SUMIFS('İndirimler'!$D$2:$D$110,'İndirimler'!$A$2:$A$110,B426,'İndirimler'!$B$2:$B$110,C426)&gt;0,ROUND(G426*(1-SUMIFS('İndirimler'!$D$2:$D$110,'İndirimler'!$A$2:$A$110,B426,'İndirimler'!$B$2:$B$110,C426)),2),"")</x:f>
      </x:c>
      <x:c r="J426" s="37"/>
    </x:row>
    <x:row r="427" ht="22" customHeight="1">
      <x:c r="A427" s="40" t="str">
        <x:v>9786256142244</x:v>
      </x:c>
      <x:c r="B427" s="37" t="str">
        <x:v>Miray</x:v>
      </x:c>
      <x:c r="C427" s="37" t="str">
        <x:v>10. Sınıf</x:v>
      </x:c>
      <x:c r="D427" s="37" t="str">
        <x:v>Tarih</x:v>
      </x:c>
      <x:c r="E427" s="37" t="str">
        <x:v>Tematik</x:v>
      </x:c>
      <x:c r="F427" s="37" t="str">
        <x:v>Soru Bankası</x:v>
      </x:c>
      <x:c r="G427" s="43" t="n">
        <x:v>634</x:v>
      </x:c>
      <x:c r="H427" s="46" t="str">
        <x:f>IF(SUMIFS('İndirimler'!$C$2:$C$110,'İndirimler'!$A$2:$A$110,B427,'İndirimler'!$B$2:$B$110,C427)&gt;0,ROUND(G427*(1-SUMIFS('İndirimler'!$C$2:$C$110,'İndirimler'!$A$2:$A$110,B427,'İndirimler'!$B$2:$B$110,C427)),2),"")</x:f>
      </x:c>
      <x:c r="I427" s="49" t="str">
        <x:f>IF(SUMIFS('İndirimler'!$D$2:$D$110,'İndirimler'!$A$2:$A$110,B427,'İndirimler'!$B$2:$B$110,C427)&gt;0,ROUND(G427*(1-SUMIFS('İndirimler'!$D$2:$D$110,'İndirimler'!$A$2:$A$110,B427,'İndirimler'!$B$2:$B$110,C427)),2),"")</x:f>
      </x:c>
      <x:c r="J427" s="37"/>
    </x:row>
    <x:row r="428" ht="22" customHeight="1">
      <x:c r="A428" s="40" t="str">
        <x:v>9786256040878</x:v>
      </x:c>
      <x:c r="B428" s="37" t="str">
        <x:v>Çap Yayınları</x:v>
      </x:c>
      <x:c r="C428" s="37" t="str">
        <x:v>10. Sınıf</x:v>
      </x:c>
      <x:c r="D428" s="37" t="str">
        <x:v>Tarih</x:v>
      </x:c>
      <x:c r="E428" s="37" t="str">
        <x:v>Tematik</x:v>
      </x:c>
      <x:c r="F428" s="37" t="str">
        <x:v>Soru Bankası</x:v>
      </x:c>
      <x:c r="G428" s="43" t="n">
        <x:v>295</x:v>
      </x:c>
      <x:c r="H428" s="46" t="str">
        <x:f>IF(SUMIFS('İndirimler'!$C$2:$C$110,'İndirimler'!$A$2:$A$110,B428,'İndirimler'!$B$2:$B$110,C428)&gt;0,ROUND(G428*(1-SUMIFS('İndirimler'!$C$2:$C$110,'İndirimler'!$A$2:$A$110,B428,'İndirimler'!$B$2:$B$110,C428)),2),"")</x:f>
      </x:c>
      <x:c r="I428" s="49" t="str">
        <x:f>IF(SUMIFS('İndirimler'!$D$2:$D$110,'İndirimler'!$A$2:$A$110,B428,'İndirimler'!$B$2:$B$110,C428)&gt;0,ROUND(G428*(1-SUMIFS('İndirimler'!$D$2:$D$110,'İndirimler'!$A$2:$A$110,B428,'İndirimler'!$B$2:$B$110,C428)),2),"")</x:f>
      </x:c>
      <x:c r="J428" s="37"/>
    </x:row>
    <x:row r="429" ht="22" customHeight="1">
      <x:c r="A429" s="40" t="str">
        <x:v>9786258160680</x:v>
      </x:c>
      <x:c r="B429" s="37" t="str">
        <x:v>ENS Yayınları</x:v>
      </x:c>
      <x:c r="C429" s="37" t="str">
        <x:v>10. Sınıf</x:v>
      </x:c>
      <x:c r="D429" s="37" t="str">
        <x:v>Tarih</x:v>
      </x:c>
      <x:c r="E429" s="37"/>
      <x:c r="F429" s="37" t="str">
        <x:v>Etkinlik Kitabı</x:v>
      </x:c>
      <x:c r="G429" s="43" t="n">
        <x:v>385</x:v>
      </x:c>
      <x:c r="H429" s="46" t="str">
        <x:f>IF(SUMIFS('İndirimler'!$C$2:$C$110,'İndirimler'!$A$2:$A$110,B429,'İndirimler'!$B$2:$B$110,C429)&gt;0,ROUND(G429*(1-SUMIFS('İndirimler'!$C$2:$C$110,'İndirimler'!$A$2:$A$110,B429,'İndirimler'!$B$2:$B$110,C429)),2),"")</x:f>
      </x:c>
      <x:c r="I429" s="49" t="str">
        <x:f>IF(SUMIFS('İndirimler'!$D$2:$D$110,'İndirimler'!$A$2:$A$110,B429,'İndirimler'!$B$2:$B$110,C429)&gt;0,ROUND(G429*(1-SUMIFS('İndirimler'!$D$2:$D$110,'İndirimler'!$A$2:$A$110,B429,'İndirimler'!$B$2:$B$110,C429)),2),"")</x:f>
      </x:c>
      <x:c r="J429" s="37"/>
    </x:row>
    <x:row r="430" ht="22" customHeight="1">
      <x:c r="A430" s="40" t="str">
        <x:v>ORNEK00000060</x:v>
      </x:c>
      <x:c r="B430" s="37" t="str">
        <x:v>Çap Yayınları</x:v>
      </x:c>
      <x:c r="C430" s="37" t="str">
        <x:v>11. Sınıf</x:v>
      </x:c>
      <x:c r="D430" s="37" t="str">
        <x:v>Tarih</x:v>
      </x:c>
      <x:c r="E430" s="37"/>
      <x:c r="F430" s="37" t="str">
        <x:v>Fasikül Set</x:v>
      </x:c>
      <x:c r="G430" s="43" t="n">
        <x:v>500</x:v>
      </x:c>
      <x:c r="H430" s="46" t="str">
        <x:f>IF(SUMIFS('İndirimler'!$C$2:$C$110,'İndirimler'!$A$2:$A$110,B430,'İndirimler'!$B$2:$B$110,C430)&gt;0,ROUND(G430*(1-SUMIFS('İndirimler'!$C$2:$C$110,'İndirimler'!$A$2:$A$110,B430,'İndirimler'!$B$2:$B$110,C430)),2),"")</x:f>
      </x:c>
      <x:c r="I430" s="49" t="str">
        <x:f>IF(SUMIFS('İndirimler'!$D$2:$D$110,'İndirimler'!$A$2:$A$110,B430,'İndirimler'!$B$2:$B$110,C430)&gt;0,ROUND(G430*(1-SUMIFS('İndirimler'!$D$2:$D$110,'İndirimler'!$A$2:$A$110,B430,'İndirimler'!$B$2:$B$110,C430)),2),"")</x:f>
      </x:c>
      <x:c r="J430" s="37"/>
    </x:row>
    <x:row r="431" ht="22" customHeight="1">
      <x:c r="A431" s="40" t="str">
        <x:v>ORNEK00000077</x:v>
      </x:c>
      <x:c r="B431" s="37" t="str">
        <x:v>ENS Yayınları</x:v>
      </x:c>
      <x:c r="C431" s="37" t="str">
        <x:v>11. Sınıf</x:v>
      </x:c>
      <x:c r="D431" s="37" t="str">
        <x:v>Tarih</x:v>
      </x:c>
      <x:c r="E431" s="37" t="str">
        <x:v>Defter</x:v>
      </x:c>
      <x:c r="F431" s="37" t="str">
        <x:v>Konu Anlatımlı</x:v>
      </x:c>
      <x:c r="G431" s="43" t="n">
        <x:v>500</x:v>
      </x:c>
      <x:c r="H431" s="46" t="str">
        <x:f>IF(SUMIFS('İndirimler'!$C$2:$C$110,'İndirimler'!$A$2:$A$110,B431,'İndirimler'!$B$2:$B$110,C431)&gt;0,ROUND(G431*(1-SUMIFS('İndirimler'!$C$2:$C$110,'İndirimler'!$A$2:$A$110,B431,'İndirimler'!$B$2:$B$110,C431)),2),"")</x:f>
      </x:c>
      <x:c r="I431" s="49" t="str">
        <x:f>IF(SUMIFS('İndirimler'!$D$2:$D$110,'İndirimler'!$A$2:$A$110,B431,'İndirimler'!$B$2:$B$110,C431)&gt;0,ROUND(G431*(1-SUMIFS('İndirimler'!$D$2:$D$110,'İndirimler'!$A$2:$A$110,B431,'İndirimler'!$B$2:$B$110,C431)),2),"")</x:f>
      </x:c>
      <x:c r="J431" s="37"/>
    </x:row>
    <x:row r="432" ht="22" customHeight="1">
      <x:c r="A432" s="40" t="str">
        <x:v>9786052754139</x:v>
      </x:c>
      <x:c r="B432" s="37" t="str">
        <x:v>Limit</x:v>
      </x:c>
      <x:c r="C432" s="37" t="str">
        <x:v>11. Sınıf</x:v>
      </x:c>
      <x:c r="D432" s="37" t="str">
        <x:v>Tarih</x:v>
      </x:c>
      <x:c r="E432" s="37"/>
      <x:c r="F432" s="37" t="str">
        <x:v>Konu Anlatımlı</x:v>
      </x:c>
      <x:c r="G432" s="43" t="n">
        <x:v>486</x:v>
      </x:c>
      <x:c r="H432" s="46" t="str">
        <x:f>IF(SUMIFS('İndirimler'!$C$2:$C$110,'İndirimler'!$A$2:$A$110,B432,'İndirimler'!$B$2:$B$110,C432)&gt;0,ROUND(G432*(1-SUMIFS('İndirimler'!$C$2:$C$110,'İndirimler'!$A$2:$A$110,B432,'İndirimler'!$B$2:$B$110,C432)),2),"")</x:f>
      </x:c>
      <x:c r="I432" s="49" t="str">
        <x:f>IF(SUMIFS('İndirimler'!$D$2:$D$110,'İndirimler'!$A$2:$A$110,B432,'İndirimler'!$B$2:$B$110,C432)&gt;0,ROUND(G432*(1-SUMIFS('İndirimler'!$D$2:$D$110,'İndirimler'!$A$2:$A$110,B432,'İndirimler'!$B$2:$B$110,C432)),2),"")</x:f>
      </x:c>
      <x:c r="J432" s="37"/>
    </x:row>
    <x:row r="433" ht="22" customHeight="1">
      <x:c r="A433" s="40" t="str">
        <x:v>9786256921917</x:v>
      </x:c>
      <x:c r="B433" s="37" t="str">
        <x:v>4K</x:v>
      </x:c>
      <x:c r="C433" s="37" t="str">
        <x:v>11. Sınıf</x:v>
      </x:c>
      <x:c r="D433" s="37" t="str">
        <x:v>Tarih</x:v>
      </x:c>
      <x:c r="E433" s="37"/>
      <x:c r="F433" s="37" t="str">
        <x:v>Soru Bankası</x:v>
      </x:c>
      <x:c r="G433" s="43" t="n">
        <x:v>346</x:v>
      </x:c>
      <x:c r="H433" s="46" t="str">
        <x:f>IF(SUMIFS('İndirimler'!$C$2:$C$110,'İndirimler'!$A$2:$A$110,B433,'İndirimler'!$B$2:$B$110,C433)&gt;0,ROUND(G433*(1-SUMIFS('İndirimler'!$C$2:$C$110,'İndirimler'!$A$2:$A$110,B433,'İndirimler'!$B$2:$B$110,C433)),2),"")</x:f>
      </x:c>
      <x:c r="I433" s="49" t="str">
        <x:f>IF(SUMIFS('İndirimler'!$D$2:$D$110,'İndirimler'!$A$2:$A$110,B433,'İndirimler'!$B$2:$B$110,C433)&gt;0,ROUND(G433*(1-SUMIFS('İndirimler'!$D$2:$D$110,'İndirimler'!$A$2:$A$110,B433,'İndirimler'!$B$2:$B$110,C433)),2),"")</x:f>
      </x:c>
      <x:c r="J433" s="37"/>
    </x:row>
    <x:row r="434" ht="22" customHeight="1">
      <x:c r="A434" s="40" t="str">
        <x:v>ORNEK00000016</x:v>
      </x:c>
      <x:c r="B434" s="37" t="str">
        <x:v>Bilgi Arşivi Yayınları</x:v>
      </x:c>
      <x:c r="C434" s="37" t="str">
        <x:v>11. Sınıf</x:v>
      </x:c>
      <x:c r="D434" s="37" t="str">
        <x:v>Tarih</x:v>
      </x:c>
      <x:c r="E434" s="37"/>
      <x:c r="F434" s="37" t="str">
        <x:v>Soru Bankası</x:v>
      </x:c>
      <x:c r="G434" s="43" t="n">
        <x:v>500</x:v>
      </x:c>
      <x:c r="H434" s="46" t="str">
        <x:f>IF(SUMIFS('İndirimler'!$C$2:$C$110,'İndirimler'!$A$2:$A$110,B434,'İndirimler'!$B$2:$B$110,C434)&gt;0,ROUND(G434*(1-SUMIFS('İndirimler'!$C$2:$C$110,'İndirimler'!$A$2:$A$110,B434,'İndirimler'!$B$2:$B$110,C434)),2),"")</x:f>
      </x:c>
      <x:c r="I434" s="49" t="str">
        <x:f>IF(SUMIFS('İndirimler'!$D$2:$D$110,'İndirimler'!$A$2:$A$110,B434,'İndirimler'!$B$2:$B$110,C434)&gt;0,ROUND(G434*(1-SUMIFS('İndirimler'!$D$2:$D$110,'İndirimler'!$A$2:$A$110,B434,'İndirimler'!$B$2:$B$110,C434)),2),"")</x:f>
      </x:c>
      <x:c r="J434" s="37"/>
    </x:row>
    <x:row r="435" ht="22" customHeight="1">
      <x:c r="A435" s="40" t="str">
        <x:v>9786259979328</x:v>
      </x:c>
      <x:c r="B435" s="37" t="str">
        <x:v>Bilgi Sarmal Yayınları</x:v>
      </x:c>
      <x:c r="C435" s="37" t="str">
        <x:v>11. Sınıf</x:v>
      </x:c>
      <x:c r="D435" s="37" t="str">
        <x:v>Tarih</x:v>
      </x:c>
      <x:c r="E435" s="37"/>
      <x:c r="F435" s="37" t="str">
        <x:v>Soru Bankası</x:v>
      </x:c>
      <x:c r="G435" s="43" t="n">
        <x:v>500</x:v>
      </x:c>
      <x:c r="H435" s="46" t="str">
        <x:f>IF(SUMIFS('İndirimler'!$C$2:$C$110,'İndirimler'!$A$2:$A$110,B435,'İndirimler'!$B$2:$B$110,C435)&gt;0,ROUND(G435*(1-SUMIFS('İndirimler'!$C$2:$C$110,'İndirimler'!$A$2:$A$110,B435,'İndirimler'!$B$2:$B$110,C435)),2),"")</x:f>
      </x:c>
      <x:c r="I435" s="49" t="str">
        <x:f>IF(SUMIFS('İndirimler'!$D$2:$D$110,'İndirimler'!$A$2:$A$110,B435,'İndirimler'!$B$2:$B$110,C435)&gt;0,ROUND(G435*(1-SUMIFS('İndirimler'!$D$2:$D$110,'İndirimler'!$A$2:$A$110,B435,'İndirimler'!$B$2:$B$110,C435)),2),"")</x:f>
      </x:c>
      <x:c r="J435" s="37"/>
    </x:row>
    <x:row r="436" ht="22" customHeight="1">
      <x:c r="A436" s="40" t="str">
        <x:v>ORNEK00000023</x:v>
      </x:c>
      <x:c r="B436" s="37" t="str">
        <x:v>Bilgi Sarmal Yayınları</x:v>
      </x:c>
      <x:c r="C436" s="37" t="str">
        <x:v>11. Sınıf</x:v>
      </x:c>
      <x:c r="D436" s="37" t="str">
        <x:v>Tarih</x:v>
      </x:c>
      <x:c r="E436" s="37"/>
      <x:c r="F436" s="37" t="str">
        <x:v>Soru Bankası</x:v>
      </x:c>
      <x:c r="G436" s="43" t="n">
        <x:v>500</x:v>
      </x:c>
      <x:c r="H436" s="46" t="str">
        <x:f>IF(SUMIFS('İndirimler'!$C$2:$C$110,'İndirimler'!$A$2:$A$110,B436,'İndirimler'!$B$2:$B$110,C436)&gt;0,ROUND(G436*(1-SUMIFS('İndirimler'!$C$2:$C$110,'İndirimler'!$A$2:$A$110,B436,'İndirimler'!$B$2:$B$110,C436)),2),"")</x:f>
      </x:c>
      <x:c r="I436" s="49" t="str">
        <x:f>IF(SUMIFS('İndirimler'!$D$2:$D$110,'İndirimler'!$A$2:$A$110,B436,'İndirimler'!$B$2:$B$110,C436)&gt;0,ROUND(G436*(1-SUMIFS('İndirimler'!$D$2:$D$110,'İndirimler'!$A$2:$A$110,B436,'İndirimler'!$B$2:$B$110,C436)),2),"")</x:f>
      </x:c>
      <x:c r="J436" s="37"/>
    </x:row>
    <x:row r="437" ht="22" customHeight="1">
      <x:c r="A437" s="40" t="str">
        <x:v>ORNEK00000099</x:v>
      </x:c>
      <x:c r="B437" s="37" t="str">
        <x:v>Hız ve Renk Yayınları</x:v>
      </x:c>
      <x:c r="C437" s="37" t="str">
        <x:v>11. Sınıf</x:v>
      </x:c>
      <x:c r="D437" s="37" t="str">
        <x:v>Tarih</x:v>
      </x:c>
      <x:c r="E437" s="37" t="str">
        <x:v>HİT</x:v>
      </x:c>
      <x:c r="F437" s="37" t="str">
        <x:v>Soru Bankası</x:v>
      </x:c>
      <x:c r="G437" s="43" t="n">
        <x:v>500</x:v>
      </x:c>
      <x:c r="H437" s="46" t="str">
        <x:f>IF(SUMIFS('İndirimler'!$C$2:$C$110,'İndirimler'!$A$2:$A$110,B437,'İndirimler'!$B$2:$B$110,C437)&gt;0,ROUND(G437*(1-SUMIFS('İndirimler'!$C$2:$C$110,'İndirimler'!$A$2:$A$110,B437,'İndirimler'!$B$2:$B$110,C437)),2),"")</x:f>
      </x:c>
      <x:c r="I437" s="49" t="str">
        <x:f>IF(SUMIFS('İndirimler'!$D$2:$D$110,'İndirimler'!$A$2:$A$110,B437,'İndirimler'!$B$2:$B$110,C437)&gt;0,ROUND(G437*(1-SUMIFS('İndirimler'!$D$2:$D$110,'İndirimler'!$A$2:$A$110,B437,'İndirimler'!$B$2:$B$110,C437)),2),"")</x:f>
      </x:c>
      <x:c r="J437" s="37"/>
    </x:row>
    <x:row r="438" ht="22" customHeight="1">
      <x:c r="A438" s="40" t="str">
        <x:v>9786052753965</x:v>
      </x:c>
      <x:c r="B438" s="37" t="str">
        <x:v>Limit</x:v>
      </x:c>
      <x:c r="C438" s="37" t="str">
        <x:v>11. Sınıf</x:v>
      </x:c>
      <x:c r="D438" s="37" t="str">
        <x:v>Tarih</x:v>
      </x:c>
      <x:c r="E438" s="37"/>
      <x:c r="F438" s="37" t="str">
        <x:v>Soru Bankası</x:v>
      </x:c>
      <x:c r="G438" s="43" t="n">
        <x:v>464</x:v>
      </x:c>
      <x:c r="H438" s="46" t="str">
        <x:f>IF(SUMIFS('İndirimler'!$C$2:$C$110,'İndirimler'!$A$2:$A$110,B438,'İndirimler'!$B$2:$B$110,C438)&gt;0,ROUND(G438*(1-SUMIFS('İndirimler'!$C$2:$C$110,'İndirimler'!$A$2:$A$110,B438,'İndirimler'!$B$2:$B$110,C438)),2),"")</x:f>
      </x:c>
      <x:c r="I438" s="49" t="str">
        <x:f>IF(SUMIFS('İndirimler'!$D$2:$D$110,'İndirimler'!$A$2:$A$110,B438,'İndirimler'!$B$2:$B$110,C438)&gt;0,ROUND(G438*(1-SUMIFS('İndirimler'!$D$2:$D$110,'İndirimler'!$A$2:$A$110,B438,'İndirimler'!$B$2:$B$110,C438)),2),"")</x:f>
      </x:c>
      <x:c r="J438" s="37"/>
    </x:row>
    <x:row r="439" ht="22" customHeight="1">
      <x:c r="A439" s="40" t="str">
        <x:v>9786256142725</x:v>
      </x:c>
      <x:c r="B439" s="37" t="str">
        <x:v>Miray</x:v>
      </x:c>
      <x:c r="C439" s="37" t="str">
        <x:v>11. Sınıf</x:v>
      </x:c>
      <x:c r="D439" s="37" t="str">
        <x:v>Tarih</x:v>
      </x:c>
      <x:c r="E439" s="37" t="str">
        <x:v>Tematik</x:v>
      </x:c>
      <x:c r="F439" s="37" t="str">
        <x:v>Soru Bankası</x:v>
      </x:c>
      <x:c r="G439" s="43" t="n">
        <x:v>510</x:v>
      </x:c>
      <x:c r="H439" s="46" t="str">
        <x:f>IF(SUMIFS('İndirimler'!$C$2:$C$110,'İndirimler'!$A$2:$A$110,B439,'İndirimler'!$B$2:$B$110,C439)&gt;0,ROUND(G439*(1-SUMIFS('İndirimler'!$C$2:$C$110,'İndirimler'!$A$2:$A$110,B439,'İndirimler'!$B$2:$B$110,C439)),2),"")</x:f>
      </x:c>
      <x:c r="I439" s="49" t="str">
        <x:f>IF(SUMIFS('İndirimler'!$D$2:$D$110,'İndirimler'!$A$2:$A$110,B439,'İndirimler'!$B$2:$B$110,C439)&gt;0,ROUND(G439*(1-SUMIFS('İndirimler'!$D$2:$D$110,'İndirimler'!$A$2:$A$110,B439,'İndirimler'!$B$2:$B$110,C439)),2),"")</x:f>
      </x:c>
      <x:c r="J439" s="37"/>
    </x:row>
    <x:row r="440" ht="22" customHeight="1">
      <x:c r="A440" s="40" t="str">
        <x:v>ORNEK00000068</x:v>
      </x:c>
      <x:c r="B440" s="37" t="str">
        <x:v>Çap Yayınları</x:v>
      </x:c>
      <x:c r="C440" s="37" t="str">
        <x:v>11. Sınıf</x:v>
      </x:c>
      <x:c r="D440" s="37" t="str">
        <x:v>Tarih</x:v>
      </x:c>
      <x:c r="E440" s="37"/>
      <x:c r="F440" s="37" t="str">
        <x:v>Soru Bankası</x:v>
      </x:c>
      <x:c r="G440" s="43" t="n">
        <x:v>500</x:v>
      </x:c>
      <x:c r="H440" s="46" t="str">
        <x:f>IF(SUMIFS('İndirimler'!$C$2:$C$110,'İndirimler'!$A$2:$A$110,B440,'İndirimler'!$B$2:$B$110,C440)&gt;0,ROUND(G440*(1-SUMIFS('İndirimler'!$C$2:$C$110,'İndirimler'!$A$2:$A$110,B440,'İndirimler'!$B$2:$B$110,C440)),2),"")</x:f>
      </x:c>
      <x:c r="I440" s="49" t="str">
        <x:f>IF(SUMIFS('İndirimler'!$D$2:$D$110,'İndirimler'!$A$2:$A$110,B440,'İndirimler'!$B$2:$B$110,C440)&gt;0,ROUND(G440*(1-SUMIFS('İndirimler'!$D$2:$D$110,'İndirimler'!$A$2:$A$110,B440,'İndirimler'!$B$2:$B$110,C440)),2),"")</x:f>
      </x:c>
      <x:c r="J440" s="37"/>
    </x:row>
    <x:row r="441" ht="22" customHeight="1">
      <x:c r="A441" s="40" t="str">
        <x:v>ORNEK00000085</x:v>
      </x:c>
      <x:c r="B441" s="37" t="str">
        <x:v>ENS Yayınları</x:v>
      </x:c>
      <x:c r="C441" s="37" t="str">
        <x:v>11. Sınıf</x:v>
      </x:c>
      <x:c r="D441" s="37" t="str">
        <x:v>Tarih</x:v>
      </x:c>
      <x:c r="E441" s="37"/>
      <x:c r="F441" s="37" t="str">
        <x:v>Etkinlik Kitabı</x:v>
      </x:c>
      <x:c r="G441" s="43" t="n">
        <x:v>500</x:v>
      </x:c>
      <x:c r="H441" s="46" t="str">
        <x:f>IF(SUMIFS('İndirimler'!$C$2:$C$110,'İndirimler'!$A$2:$A$110,B441,'İndirimler'!$B$2:$B$110,C441)&gt;0,ROUND(G441*(1-SUMIFS('İndirimler'!$C$2:$C$110,'İndirimler'!$A$2:$A$110,B441,'İndirimler'!$B$2:$B$110,C441)),2),"")</x:f>
      </x:c>
      <x:c r="I441" s="49" t="str">
        <x:f>IF(SUMIFS('İndirimler'!$D$2:$D$110,'İndirimler'!$A$2:$A$110,B441,'İndirimler'!$B$2:$B$110,C441)&gt;0,ROUND(G441*(1-SUMIFS('İndirimler'!$D$2:$D$110,'İndirimler'!$A$2:$A$110,B441,'İndirimler'!$B$2:$B$110,C441)),2),"")</x:f>
      </x:c>
      <x:c r="J441" s="37"/>
    </x:row>
    <x:row r="442" ht="22" customHeight="1">
      <x:c r="A442" s="40" t="str">
        <x:v>9786256712584</x:v>
      </x:c>
      <x:c r="B442" s="37" t="str">
        <x:v>Bilgi Sarmal Yayınları</x:v>
      </x:c>
      <x:c r="C442" s="37" t="str">
        <x:v>Maarif TYT</x:v>
      </x:c>
      <x:c r="D442" s="37" t="str">
        <x:v>Tarih</x:v>
      </x:c>
      <x:c r="E442" s="37"/>
      <x:c r="F442" s="37" t="str">
        <x:v>Soru Bankası</x:v>
      </x:c>
      <x:c r="G442" s="43" t="n">
        <x:v>429</x:v>
      </x:c>
      <x:c r="H442" s="46" t="str">
        <x:f>IF(SUMIFS('İndirimler'!$C$2:$C$110,'İndirimler'!$A$2:$A$110,B442,'İndirimler'!$B$2:$B$110,C442)&gt;0,ROUND(G442*(1-SUMIFS('İndirimler'!$C$2:$C$110,'İndirimler'!$A$2:$A$110,B442,'İndirimler'!$B$2:$B$110,C442)),2),"")</x:f>
      </x:c>
      <x:c r="I442" s="49" t="str">
        <x:f>IF(SUMIFS('İndirimler'!$D$2:$D$110,'İndirimler'!$A$2:$A$110,B442,'İndirimler'!$B$2:$B$110,C442)&gt;0,ROUND(G442*(1-SUMIFS('İndirimler'!$D$2:$D$110,'İndirimler'!$A$2:$A$110,B442,'İndirimler'!$B$2:$B$110,C442)),2),"")</x:f>
      </x:c>
      <x:c r="J442" s="37"/>
    </x:row>
    <x:row r="443" ht="22" customHeight="1">
      <x:c r="A443" s="40" t="str">
        <x:v>9786052758885</x:v>
      </x:c>
      <x:c r="B443" s="37" t="str">
        <x:v>Limit</x:v>
      </x:c>
      <x:c r="C443" s="37" t="str">
        <x:v>Maarif TYT</x:v>
      </x:c>
      <x:c r="D443" s="37" t="str">
        <x:v>Tarih</x:v>
      </x:c>
      <x:c r="E443" s="37"/>
      <x:c r="F443" s="37" t="str">
        <x:v>Soru Bankası</x:v>
      </x:c>
      <x:c r="G443" s="43" t="n">
        <x:v>470</x:v>
      </x:c>
      <x:c r="H443" s="46" t="str">
        <x:f>IF(SUMIFS('İndirimler'!$C$2:$C$110,'İndirimler'!$A$2:$A$110,B443,'İndirimler'!$B$2:$B$110,C443)&gt;0,ROUND(G443*(1-SUMIFS('İndirimler'!$C$2:$C$110,'İndirimler'!$A$2:$A$110,B443,'İndirimler'!$B$2:$B$110,C443)),2),"")</x:f>
      </x:c>
      <x:c r="I443" s="49" t="str">
        <x:f>IF(SUMIFS('İndirimler'!$D$2:$D$110,'İndirimler'!$A$2:$A$110,B443,'İndirimler'!$B$2:$B$110,C443)&gt;0,ROUND(G443*(1-SUMIFS('İndirimler'!$D$2:$D$110,'İndirimler'!$A$2:$A$110,B443,'İndirimler'!$B$2:$B$110,C443)),2),"")</x:f>
      </x:c>
      <x:c r="J443" s="37"/>
    </x:row>
    <x:row r="444" ht="22" customHeight="1">
      <x:c r="A444" s="40" t="str">
        <x:v>ORNEK00000272</x:v>
      </x:c>
      <x:c r="B444" s="37" t="str">
        <x:v>Ulti Yayınları</x:v>
      </x:c>
      <x:c r="C444" s="37" t="str">
        <x:v>9. Sınıf</x:v>
      </x:c>
      <x:c r="D444" s="37" t="str">
        <x:v>Coğrafya</x:v>
      </x:c>
      <x:c r="E444" s="37"/>
      <x:c r="F444" s="37" t="str">
        <x:v>Fasikül Set</x:v>
      </x:c>
      <x:c r="G444" s="43" t="n">
        <x:v>559</x:v>
      </x:c>
      <x:c r="H444" s="46" t="str">
        <x:f>IF(SUMIFS('İndirimler'!$C$2:$C$110,'İndirimler'!$A$2:$A$110,B444,'İndirimler'!$B$2:$B$110,C444)&gt;0,ROUND(G444*(1-SUMIFS('İndirimler'!$C$2:$C$110,'İndirimler'!$A$2:$A$110,B444,'İndirimler'!$B$2:$B$110,C444)),2),"")</x:f>
      </x:c>
      <x:c r="I444" s="49" t="str">
        <x:f>IF(SUMIFS('İndirimler'!$D$2:$D$110,'İndirimler'!$A$2:$A$110,B444,'İndirimler'!$B$2:$B$110,C444)&gt;0,ROUND(G444*(1-SUMIFS('İndirimler'!$D$2:$D$110,'İndirimler'!$A$2:$A$110,B444,'İndirimler'!$B$2:$B$110,C444)),2),"")</x:f>
      </x:c>
      <x:c r="J444" s="37"/>
    </x:row>
    <x:row r="445" ht="22" customHeight="1">
      <x:c r="A445" s="40" t="str">
        <x:v>9786256040533</x:v>
      </x:c>
      <x:c r="B445" s="37" t="str">
        <x:v>Çap Yayınları</x:v>
      </x:c>
      <x:c r="C445" s="37" t="str">
        <x:v>9. Sınıf</x:v>
      </x:c>
      <x:c r="D445" s="37" t="str">
        <x:v>Coğrafya</x:v>
      </x:c>
      <x:c r="E445" s="37"/>
      <x:c r="F445" s="37" t="str">
        <x:v>Fasikül Set</x:v>
      </x:c>
      <x:c r="G445" s="43" t="n">
        <x:v>659</x:v>
      </x:c>
      <x:c r="H445" s="46" t="str">
        <x:f>IF(SUMIFS('İndirimler'!$C$2:$C$110,'İndirimler'!$A$2:$A$110,B445,'İndirimler'!$B$2:$B$110,C445)&gt;0,ROUND(G445*(1-SUMIFS('İndirimler'!$C$2:$C$110,'İndirimler'!$A$2:$A$110,B445,'İndirimler'!$B$2:$B$110,C445)),2),"")</x:f>
      </x:c>
      <x:c r="I445" s="49" t="str">
        <x:f>IF(SUMIFS('İndirimler'!$D$2:$D$110,'İndirimler'!$A$2:$A$110,B445,'İndirimler'!$B$2:$B$110,C445)&gt;0,ROUND(G445*(1-SUMIFS('İndirimler'!$D$2:$D$110,'İndirimler'!$A$2:$A$110,B445,'İndirimler'!$B$2:$B$110,C445)),2),"")</x:f>
      </x:c>
      <x:c r="J445" s="37"/>
    </x:row>
    <x:row r="446" ht="22" customHeight="1">
      <x:c r="A446" s="40" t="str">
        <x:v>ORNEK00000050</x:v>
      </x:c>
      <x:c r="B446" s="37" t="str">
        <x:v>Coğrafya Gurmesi Yayınları</x:v>
      </x:c>
      <x:c r="C446" s="37" t="str">
        <x:v>9. Sınıf</x:v>
      </x:c>
      <x:c r="D446" s="37" t="str">
        <x:v>Coğrafya</x:v>
      </x:c>
      <x:c r="E446" s="37"/>
      <x:c r="F446" s="37" t="str">
        <x:v>Konu Anlatımlı</x:v>
      </x:c>
      <x:c r="G446" s="43" t="n">
        <x:v>500</x:v>
      </x:c>
      <x:c r="H446" s="46" t="str">
        <x:f>IF(SUMIFS('İndirimler'!$C$2:$C$110,'İndirimler'!$A$2:$A$110,B446,'İndirimler'!$B$2:$B$110,C446)&gt;0,ROUND(G446*(1-SUMIFS('İndirimler'!$C$2:$C$110,'İndirimler'!$A$2:$A$110,B446,'İndirimler'!$B$2:$B$110,C446)),2),"")</x:f>
      </x:c>
      <x:c r="I446" s="49" t="str">
        <x:f>IF(SUMIFS('İndirimler'!$D$2:$D$110,'İndirimler'!$A$2:$A$110,B446,'İndirimler'!$B$2:$B$110,C446)&gt;0,ROUND(G446*(1-SUMIFS('İndirimler'!$D$2:$D$110,'İndirimler'!$A$2:$A$110,B446,'İndirimler'!$B$2:$B$110,C446)),2),"")</x:f>
      </x:c>
      <x:c r="J446" s="37"/>
    </x:row>
    <x:row r="447" ht="22" customHeight="1">
      <x:c r="A447" s="40" t="str">
        <x:v>9786256630468</x:v>
      </x:c>
      <x:c r="B447" s="37" t="str">
        <x:v>Eğitim Vadisi</x:v>
      </x:c>
      <x:c r="C447" s="37" t="str">
        <x:v>9. Sınıf</x:v>
      </x:c>
      <x:c r="D447" s="37" t="str">
        <x:v>Coğrafya</x:v>
      </x:c>
      <x:c r="E447" s="37" t="str">
        <x:v>TAK Tam Anlatım Kitabı</x:v>
      </x:c>
      <x:c r="F447" s="37" t="str">
        <x:v>Konu Anlatımlı</x:v>
      </x:c>
      <x:c r="G447" s="43" t="n">
        <x:v>376</x:v>
      </x:c>
      <x:c r="H447" s="46" t="str">
        <x:f>IF(SUMIFS('İndirimler'!$C$2:$C$110,'İndirimler'!$A$2:$A$110,B447,'İndirimler'!$B$2:$B$110,C447)&gt;0,ROUND(G447*(1-SUMIFS('İndirimler'!$C$2:$C$110,'İndirimler'!$A$2:$A$110,B447,'İndirimler'!$B$2:$B$110,C447)),2),"")</x:f>
      </x:c>
      <x:c r="I447" s="49" t="str">
        <x:f>IF(SUMIFS('İndirimler'!$D$2:$D$110,'İndirimler'!$A$2:$A$110,B447,'İndirimler'!$B$2:$B$110,C447)&gt;0,ROUND(G447*(1-SUMIFS('İndirimler'!$D$2:$D$110,'İndirimler'!$A$2:$A$110,B447,'İndirimler'!$B$2:$B$110,C447)),2),"")</x:f>
      </x:c>
      <x:c r="J447" s="37" t="str">
        <x:v>https://app.karakok.net/spShowFlip/1545</x:v>
      </x:c>
    </x:row>
    <x:row r="448" ht="22" customHeight="1">
      <x:c r="A448" s="40" t="str">
        <x:v>9786052756690</x:v>
      </x:c>
      <x:c r="B448" s="37" t="str">
        <x:v>Limit</x:v>
      </x:c>
      <x:c r="C448" s="37" t="str">
        <x:v>9. Sınıf</x:v>
      </x:c>
      <x:c r="D448" s="37" t="str">
        <x:v>Coğrafya</x:v>
      </x:c>
      <x:c r="E448" s="37"/>
      <x:c r="F448" s="37" t="str">
        <x:v>Konu Anlatımlı</x:v>
      </x:c>
      <x:c r="G448" s="43" t="n">
        <x:v>619</x:v>
      </x:c>
      <x:c r="H448" s="46" t="str">
        <x:f>IF(SUMIFS('İndirimler'!$C$2:$C$110,'İndirimler'!$A$2:$A$110,B448,'İndirimler'!$B$2:$B$110,C448)&gt;0,ROUND(G448*(1-SUMIFS('İndirimler'!$C$2:$C$110,'İndirimler'!$A$2:$A$110,B448,'İndirimler'!$B$2:$B$110,C448)),2),"")</x:f>
      </x:c>
      <x:c r="I448" s="49" t="str">
        <x:f>IF(SUMIFS('İndirimler'!$D$2:$D$110,'İndirimler'!$A$2:$A$110,B448,'İndirimler'!$B$2:$B$110,C448)&gt;0,ROUND(G448*(1-SUMIFS('İndirimler'!$D$2:$D$110,'İndirimler'!$A$2:$A$110,B448,'İndirimler'!$B$2:$B$110,C448)),2),"")</x:f>
      </x:c>
      <x:c r="J448" s="37"/>
    </x:row>
    <x:row r="449" ht="22" customHeight="1">
      <x:c r="A449" s="40" t="str">
        <x:v>9786256921474</x:v>
      </x:c>
      <x:c r="B449" s="37" t="str">
        <x:v>4K</x:v>
      </x:c>
      <x:c r="C449" s="37" t="str">
        <x:v>9. Sınıf</x:v>
      </x:c>
      <x:c r="D449" s="37" t="str">
        <x:v>Coğrafya</x:v>
      </x:c>
      <x:c r="E449" s="37"/>
      <x:c r="F449" s="37" t="str">
        <x:v>Soru Bankası</x:v>
      </x:c>
      <x:c r="G449" s="43" t="n">
        <x:v>346</x:v>
      </x:c>
      <x:c r="H449" s="46" t="str">
        <x:f>IF(SUMIFS('İndirimler'!$C$2:$C$110,'İndirimler'!$A$2:$A$110,B449,'İndirimler'!$B$2:$B$110,C449)&gt;0,ROUND(G449*(1-SUMIFS('İndirimler'!$C$2:$C$110,'İndirimler'!$A$2:$A$110,B449,'İndirimler'!$B$2:$B$110,C449)),2),"")</x:f>
      </x:c>
      <x:c r="I449" s="49" t="str">
        <x:f>IF(SUMIFS('İndirimler'!$D$2:$D$110,'İndirimler'!$A$2:$A$110,B449,'İndirimler'!$B$2:$B$110,C449)&gt;0,ROUND(G449*(1-SUMIFS('İndirimler'!$D$2:$D$110,'İndirimler'!$A$2:$A$110,B449,'İndirimler'!$B$2:$B$110,C449)),2),"")</x:f>
      </x:c>
      <x:c r="J449" s="37" t="str">
        <x:v>https://app.karakok.net/spShowFlip/2139</x:v>
      </x:c>
    </x:row>
    <x:row r="450" ht="22" customHeight="1">
      <x:c r="A450" s="40" t="str">
        <x:v>9786259800912</x:v>
      </x:c>
      <x:c r="B450" s="37" t="str">
        <x:v>Bilgi Sarmal Yayınları</x:v>
      </x:c>
      <x:c r="C450" s="37" t="str">
        <x:v>9. Sınıf</x:v>
      </x:c>
      <x:c r="D450" s="37" t="str">
        <x:v>Coğrafya</x:v>
      </x:c>
      <x:c r="E450" s="37"/>
      <x:c r="F450" s="37" t="str">
        <x:v>Soru Bankası</x:v>
      </x:c>
      <x:c r="G450" s="43" t="n">
        <x:v>345</x:v>
      </x:c>
      <x:c r="H450" s="46" t="str">
        <x:f>IF(SUMIFS('İndirimler'!$C$2:$C$110,'İndirimler'!$A$2:$A$110,B450,'İndirimler'!$B$2:$B$110,C450)&gt;0,ROUND(G450*(1-SUMIFS('İndirimler'!$C$2:$C$110,'İndirimler'!$A$2:$A$110,B450,'İndirimler'!$B$2:$B$110,C450)),2),"")</x:f>
      </x:c>
      <x:c r="I450" s="49" t="str">
        <x:f>IF(SUMIFS('İndirimler'!$D$2:$D$110,'İndirimler'!$A$2:$A$110,B450,'İndirimler'!$B$2:$B$110,C450)&gt;0,ROUND(G450*(1-SUMIFS('İndirimler'!$D$2:$D$110,'İndirimler'!$A$2:$A$110,B450,'İndirimler'!$B$2:$B$110,C450)),2),"")</x:f>
      </x:c>
      <x:c r="J450" s="37"/>
    </x:row>
    <x:row r="451" ht="22" customHeight="1">
      <x:c r="A451" s="40" t="str">
        <x:v>9786259490045</x:v>
      </x:c>
      <x:c r="B451" s="37" t="str">
        <x:v>Coğrafya Gurmesi Yayınları</x:v>
      </x:c>
      <x:c r="C451" s="37" t="str">
        <x:v>9. Sınıf</x:v>
      </x:c>
      <x:c r="D451" s="37" t="str">
        <x:v>Coğrafya</x:v>
      </x:c>
      <x:c r="E451" s="37"/>
      <x:c r="F451" s="37" t="str">
        <x:v>Soru Bankası</x:v>
      </x:c>
      <x:c r="G451" s="43" t="n">
        <x:v>345</x:v>
      </x:c>
      <x:c r="H451" s="46" t="str">
        <x:f>IF(SUMIFS('İndirimler'!$C$2:$C$110,'İndirimler'!$A$2:$A$110,B451,'İndirimler'!$B$2:$B$110,C451)&gt;0,ROUND(G451*(1-SUMIFS('İndirimler'!$C$2:$C$110,'İndirimler'!$A$2:$A$110,B451,'İndirimler'!$B$2:$B$110,C451)),2),"")</x:f>
      </x:c>
      <x:c r="I451" s="49" t="str">
        <x:f>IF(SUMIFS('İndirimler'!$D$2:$D$110,'İndirimler'!$A$2:$A$110,B451,'İndirimler'!$B$2:$B$110,C451)&gt;0,ROUND(G451*(1-SUMIFS('İndirimler'!$D$2:$D$110,'İndirimler'!$A$2:$A$110,B451,'İndirimler'!$B$2:$B$110,C451)),2),"")</x:f>
      </x:c>
      <x:c r="J451" s="37"/>
    </x:row>
    <x:row r="452" ht="22" customHeight="1">
      <x:c r="A452" s="40" t="str">
        <x:v>9786256630536</x:v>
      </x:c>
      <x:c r="B452" s="37" t="str">
        <x:v>Eğitim Vadisi</x:v>
      </x:c>
      <x:c r="C452" s="37" t="str">
        <x:v>9. Sınıf</x:v>
      </x:c>
      <x:c r="D452" s="37" t="str">
        <x:v>Coğrafya</x:v>
      </x:c>
      <x:c r="E452" s="37" t="str">
        <x:v>TİK Tam İzleme Kitabı</x:v>
      </x:c>
      <x:c r="F452" s="37" t="str">
        <x:v>Soru Bankası</x:v>
      </x:c>
      <x:c r="G452" s="43" t="n">
        <x:v>274</x:v>
      </x:c>
      <x:c r="H452" s="46" t="str">
        <x:f>IF(SUMIFS('İndirimler'!$C$2:$C$110,'İndirimler'!$A$2:$A$110,B452,'İndirimler'!$B$2:$B$110,C452)&gt;0,ROUND(G452*(1-SUMIFS('İndirimler'!$C$2:$C$110,'İndirimler'!$A$2:$A$110,B452,'İndirimler'!$B$2:$B$110,C452)),2),"")</x:f>
      </x:c>
      <x:c r="I452" s="49" t="str">
        <x:f>IF(SUMIFS('İndirimler'!$D$2:$D$110,'İndirimler'!$A$2:$A$110,B452,'İndirimler'!$B$2:$B$110,C452)&gt;0,ROUND(G452*(1-SUMIFS('İndirimler'!$D$2:$D$110,'İndirimler'!$A$2:$A$110,B452,'İndirimler'!$B$2:$B$110,C452)),2),"")</x:f>
      </x:c>
      <x:c r="J452" s="37" t="str">
        <x:v>https://app.karakok.net/spShowFlip/1552</x:v>
      </x:c>
    </x:row>
    <x:row r="453" ht="22" customHeight="1">
      <x:c r="A453" s="40" t="str">
        <x:v>9786257532730</x:v>
      </x:c>
      <x:c r="B453" s="37" t="str">
        <x:v>Hız ve Renk Yayınları</x:v>
      </x:c>
      <x:c r="C453" s="37" t="str">
        <x:v>9. Sınıf</x:v>
      </x:c>
      <x:c r="D453" s="37" t="str">
        <x:v>Coğrafya</x:v>
      </x:c>
      <x:c r="E453" s="37" t="str">
        <x:v>HİT</x:v>
      </x:c>
      <x:c r="F453" s="37" t="str">
        <x:v>Soru Bankası</x:v>
      </x:c>
      <x:c r="G453" s="43" t="n">
        <x:v>449</x:v>
      </x:c>
      <x:c r="H453" s="46" t="str">
        <x:f>IF(SUMIFS('İndirimler'!$C$2:$C$110,'İndirimler'!$A$2:$A$110,B453,'İndirimler'!$B$2:$B$110,C453)&gt;0,ROUND(G453*(1-SUMIFS('İndirimler'!$C$2:$C$110,'İndirimler'!$A$2:$A$110,B453,'İndirimler'!$B$2:$B$110,C453)),2),"")</x:f>
      </x:c>
      <x:c r="I453" s="49" t="str">
        <x:f>IF(SUMIFS('İndirimler'!$D$2:$D$110,'İndirimler'!$A$2:$A$110,B453,'İndirimler'!$B$2:$B$110,C453)&gt;0,ROUND(G453*(1-SUMIFS('İndirimler'!$D$2:$D$110,'İndirimler'!$A$2:$A$110,B453,'İndirimler'!$B$2:$B$110,C453)),2),"")</x:f>
      </x:c>
      <x:c r="J453" s="37"/>
    </x:row>
    <x:row r="454" ht="22" customHeight="1">
      <x:c r="A454" s="40" t="str">
        <x:v>9786052756768</x:v>
      </x:c>
      <x:c r="B454" s="37" t="str">
        <x:v>Limit</x:v>
      </x:c>
      <x:c r="C454" s="37" t="str">
        <x:v>9. Sınıf</x:v>
      </x:c>
      <x:c r="D454" s="37" t="str">
        <x:v>Coğrafya</x:v>
      </x:c>
      <x:c r="E454" s="37"/>
      <x:c r="F454" s="37" t="str">
        <x:v>Soru Bankası</x:v>
      </x:c>
      <x:c r="G454" s="43" t="n">
        <x:v>580</x:v>
      </x:c>
      <x:c r="H454" s="46" t="str">
        <x:f>IF(SUMIFS('İndirimler'!$C$2:$C$110,'İndirimler'!$A$2:$A$110,B454,'İndirimler'!$B$2:$B$110,C454)&gt;0,ROUND(G454*(1-SUMIFS('İndirimler'!$C$2:$C$110,'İndirimler'!$A$2:$A$110,B454,'İndirimler'!$B$2:$B$110,C454)),2),"")</x:f>
      </x:c>
      <x:c r="I454" s="49" t="str">
        <x:f>IF(SUMIFS('İndirimler'!$D$2:$D$110,'İndirimler'!$A$2:$A$110,B454,'İndirimler'!$B$2:$B$110,C454)&gt;0,ROUND(G454*(1-SUMIFS('İndirimler'!$D$2:$D$110,'İndirimler'!$A$2:$A$110,B454,'İndirimler'!$B$2:$B$110,C454)),2),"")</x:f>
      </x:c>
      <x:c r="J454" s="37"/>
    </x:row>
    <x:row r="455" ht="22" customHeight="1">
      <x:c r="A455" s="40" t="str">
        <x:v>9786256412996</x:v>
      </x:c>
      <x:c r="B455" s="37" t="str">
        <x:v>Miray</x:v>
      </x:c>
      <x:c r="C455" s="37" t="str">
        <x:v>9. Sınıf</x:v>
      </x:c>
      <x:c r="D455" s="37" t="str">
        <x:v>Coğrafya</x:v>
      </x:c>
      <x:c r="E455" s="37" t="str">
        <x:v>Tematik</x:v>
      </x:c>
      <x:c r="F455" s="37" t="str">
        <x:v>Soru Bankası</x:v>
      </x:c>
      <x:c r="G455" s="43" t="n">
        <x:v>563</x:v>
      </x:c>
      <x:c r="H455" s="46" t="str">
        <x:f>IF(SUMIFS('İndirimler'!$C$2:$C$110,'İndirimler'!$A$2:$A$110,B455,'İndirimler'!$B$2:$B$110,C455)&gt;0,ROUND(G455*(1-SUMIFS('İndirimler'!$C$2:$C$110,'İndirimler'!$A$2:$A$110,B455,'İndirimler'!$B$2:$B$110,C455)),2),"")</x:f>
      </x:c>
      <x:c r="I455" s="49" t="str">
        <x:f>IF(SUMIFS('İndirimler'!$D$2:$D$110,'İndirimler'!$A$2:$A$110,B455,'İndirimler'!$B$2:$B$110,C455)&gt;0,ROUND(G455*(1-SUMIFS('İndirimler'!$D$2:$D$110,'İndirimler'!$A$2:$A$110,B455,'İndirimler'!$B$2:$B$110,C455)),2),"")</x:f>
      </x:c>
      <x:c r="J455" s="37"/>
    </x:row>
    <x:row r="456" ht="22" customHeight="1">
      <x:c r="A456" s="40" t="str">
        <x:v>9786256040618</x:v>
      </x:c>
      <x:c r="B456" s="37" t="str">
        <x:v>Çap Yayınları</x:v>
      </x:c>
      <x:c r="C456" s="37" t="str">
        <x:v>9. Sınıf</x:v>
      </x:c>
      <x:c r="D456" s="37" t="str">
        <x:v>Coğrafya</x:v>
      </x:c>
      <x:c r="E456" s="37" t="str">
        <x:v>Tematik</x:v>
      </x:c>
      <x:c r="F456" s="37" t="str">
        <x:v>Soru Bankası</x:v>
      </x:c>
      <x:c r="G456" s="43" t="n">
        <x:v>385</x:v>
      </x:c>
      <x:c r="H456" s="46" t="str">
        <x:f>IF(SUMIFS('İndirimler'!$C$2:$C$110,'İndirimler'!$A$2:$A$110,B456,'İndirimler'!$B$2:$B$110,C456)&gt;0,ROUND(G456*(1-SUMIFS('İndirimler'!$C$2:$C$110,'İndirimler'!$A$2:$A$110,B456,'İndirimler'!$B$2:$B$110,C456)),2),"")</x:f>
      </x:c>
      <x:c r="I456" s="49" t="str">
        <x:f>IF(SUMIFS('İndirimler'!$D$2:$D$110,'İndirimler'!$A$2:$A$110,B456,'İndirimler'!$B$2:$B$110,C456)&gt;0,ROUND(G456*(1-SUMIFS('İndirimler'!$D$2:$D$110,'İndirimler'!$A$2:$A$110,B456,'İndirimler'!$B$2:$B$110,C456)),2),"")</x:f>
      </x:c>
      <x:c r="J456" s="37"/>
    </x:row>
    <x:row r="457" ht="22" customHeight="1">
      <x:c r="A457" s="40" t="str">
        <x:v>9786258160659</x:v>
      </x:c>
      <x:c r="B457" s="37" t="str">
        <x:v>ENS Yayınları</x:v>
      </x:c>
      <x:c r="C457" s="37" t="str">
        <x:v>9. Sınıf</x:v>
      </x:c>
      <x:c r="D457" s="37" t="str">
        <x:v>Coğrafya</x:v>
      </x:c>
      <x:c r="E457" s="37"/>
      <x:c r="F457" s="37" t="str">
        <x:v>Etkinlik Kitabı</x:v>
      </x:c>
      <x:c r="G457" s="43" t="n">
        <x:v>455</x:v>
      </x:c>
      <x:c r="H457" s="46" t="str">
        <x:f>IF(SUMIFS('İndirimler'!$C$2:$C$110,'İndirimler'!$A$2:$A$110,B457,'İndirimler'!$B$2:$B$110,C457)&gt;0,ROUND(G457*(1-SUMIFS('İndirimler'!$C$2:$C$110,'İndirimler'!$A$2:$A$110,B457,'İndirimler'!$B$2:$B$110,C457)),2),"")</x:f>
      </x:c>
      <x:c r="I457" s="49" t="str">
        <x:f>IF(SUMIFS('İndirimler'!$D$2:$D$110,'İndirimler'!$A$2:$A$110,B457,'İndirimler'!$B$2:$B$110,C457)&gt;0,ROUND(G457*(1-SUMIFS('İndirimler'!$D$2:$D$110,'İndirimler'!$A$2:$A$110,B457,'İndirimler'!$B$2:$B$110,C457)),2),"")</x:f>
      </x:c>
      <x:c r="J457" s="37"/>
    </x:row>
    <x:row r="458" ht="22" customHeight="1">
      <x:c r="A458" s="40" t="str">
        <x:v>9786259052632</x:v>
      </x:c>
      <x:c r="B458" s="37" t="str">
        <x:v>Ulti Yayınları</x:v>
      </x:c>
      <x:c r="C458" s="37" t="str">
        <x:v>10. Sınıf</x:v>
      </x:c>
      <x:c r="D458" s="37" t="str">
        <x:v>Coğrafya</x:v>
      </x:c>
      <x:c r="E458" s="37"/>
      <x:c r="F458" s="37" t="str">
        <x:v>Fasikül Set</x:v>
      </x:c>
      <x:c r="G458" s="43" t="n">
        <x:v>415</x:v>
      </x:c>
      <x:c r="H458" s="46" t="str">
        <x:f>IF(SUMIFS('İndirimler'!$C$2:$C$110,'İndirimler'!$A$2:$A$110,B458,'İndirimler'!$B$2:$B$110,C458)&gt;0,ROUND(G458*(1-SUMIFS('İndirimler'!$C$2:$C$110,'İndirimler'!$A$2:$A$110,B458,'İndirimler'!$B$2:$B$110,C458)),2),"")</x:f>
      </x:c>
      <x:c r="I458" s="49" t="str">
        <x:f>IF(SUMIFS('İndirimler'!$D$2:$D$110,'İndirimler'!$A$2:$A$110,B458,'İndirimler'!$B$2:$B$110,C458)&gt;0,ROUND(G458*(1-SUMIFS('İndirimler'!$D$2:$D$110,'İndirimler'!$A$2:$A$110,B458,'İndirimler'!$B$2:$B$110,C458)),2),"")</x:f>
      </x:c>
      <x:c r="J458" s="37"/>
    </x:row>
    <x:row r="459" ht="22" customHeight="1">
      <x:c r="A459" s="40" t="str">
        <x:v>9786255801104</x:v>
      </x:c>
      <x:c r="B459" s="37" t="str">
        <x:v>Çap Yayınları</x:v>
      </x:c>
      <x:c r="C459" s="37" t="str">
        <x:v>10. Sınıf</x:v>
      </x:c>
      <x:c r="D459" s="37" t="str">
        <x:v>Coğrafya</x:v>
      </x:c>
      <x:c r="E459" s="37"/>
      <x:c r="F459" s="37" t="str">
        <x:v>Fasikül Set</x:v>
      </x:c>
      <x:c r="G459" s="43" t="n">
        <x:v>589</x:v>
      </x:c>
      <x:c r="H459" s="46" t="str">
        <x:f>IF(SUMIFS('İndirimler'!$C$2:$C$110,'İndirimler'!$A$2:$A$110,B459,'İndirimler'!$B$2:$B$110,C459)&gt;0,ROUND(G459*(1-SUMIFS('İndirimler'!$C$2:$C$110,'İndirimler'!$A$2:$A$110,B459,'İndirimler'!$B$2:$B$110,C459)),2),"")</x:f>
      </x:c>
      <x:c r="I459" s="49" t="str">
        <x:f>IF(SUMIFS('İndirimler'!$D$2:$D$110,'İndirimler'!$A$2:$A$110,B459,'İndirimler'!$B$2:$B$110,C459)&gt;0,ROUND(G459*(1-SUMIFS('İndirimler'!$D$2:$D$110,'İndirimler'!$A$2:$A$110,B459,'İndirimler'!$B$2:$B$110,C459)),2),"")</x:f>
      </x:c>
      <x:c r="J459" s="37"/>
    </x:row>
    <x:row r="460" ht="22" customHeight="1">
      <x:c r="A460" s="40" t="str">
        <x:v>ORNEK00000051</x:v>
      </x:c>
      <x:c r="B460" s="37" t="str">
        <x:v>Coğrafya Gurmesi Yayınları</x:v>
      </x:c>
      <x:c r="C460" s="37" t="str">
        <x:v>10. Sınıf</x:v>
      </x:c>
      <x:c r="D460" s="37" t="str">
        <x:v>Coğrafya</x:v>
      </x:c>
      <x:c r="E460" s="37"/>
      <x:c r="F460" s="37" t="str">
        <x:v>Konu Anlatımlı</x:v>
      </x:c>
      <x:c r="G460" s="43" t="n">
        <x:v>500</x:v>
      </x:c>
      <x:c r="H460" s="46" t="str">
        <x:f>IF(SUMIFS('İndirimler'!$C$2:$C$110,'İndirimler'!$A$2:$A$110,B460,'İndirimler'!$B$2:$B$110,C460)&gt;0,ROUND(G460*(1-SUMIFS('İndirimler'!$C$2:$C$110,'İndirimler'!$A$2:$A$110,B460,'İndirimler'!$B$2:$B$110,C460)),2),"")</x:f>
      </x:c>
      <x:c r="I460" s="49" t="str">
        <x:f>IF(SUMIFS('İndirimler'!$D$2:$D$110,'İndirimler'!$A$2:$A$110,B460,'İndirimler'!$B$2:$B$110,C460)&gt;0,ROUND(G460*(1-SUMIFS('İndirimler'!$D$2:$D$110,'İndirimler'!$A$2:$A$110,B460,'İndirimler'!$B$2:$B$110,C460)),2),"")</x:f>
      </x:c>
      <x:c r="J460" s="37"/>
    </x:row>
    <x:row r="461" ht="22" customHeight="1">
      <x:c r="A461" s="40" t="str">
        <x:v>9786256911178</x:v>
      </x:c>
      <x:c r="B461" s="37" t="str">
        <x:v>Eğitim Vadisi</x:v>
      </x:c>
      <x:c r="C461" s="37" t="str">
        <x:v>10. Sınıf</x:v>
      </x:c>
      <x:c r="D461" s="37" t="str">
        <x:v>Coğrafya</x:v>
      </x:c>
      <x:c r="E461" s="37" t="str">
        <x:v>TAK Tam Anlatım Kitabı</x:v>
      </x:c>
      <x:c r="F461" s="37" t="str">
        <x:v>Konu Anlatımlı</x:v>
      </x:c>
      <x:c r="G461" s="43" t="n">
        <x:v>322</x:v>
      </x:c>
      <x:c r="H461" s="46" t="str">
        <x:f>IF(SUMIFS('İndirimler'!$C$2:$C$110,'İndirimler'!$A$2:$A$110,B461,'İndirimler'!$B$2:$B$110,C461)&gt;0,ROUND(G461*(1-SUMIFS('İndirimler'!$C$2:$C$110,'İndirimler'!$A$2:$A$110,B461,'İndirimler'!$B$2:$B$110,C461)),2),"")</x:f>
      </x:c>
      <x:c r="I461" s="49" t="str">
        <x:f>IF(SUMIFS('İndirimler'!$D$2:$D$110,'İndirimler'!$A$2:$A$110,B461,'İndirimler'!$B$2:$B$110,C461)&gt;0,ROUND(G461*(1-SUMIFS('İndirimler'!$D$2:$D$110,'İndirimler'!$A$2:$A$110,B461,'İndirimler'!$B$2:$B$110,C461)),2),"")</x:f>
      </x:c>
      <x:c r="J461" s="37" t="str">
        <x:v>https://app.karakok.net/spShowFlip/2161</x:v>
      </x:c>
    </x:row>
    <x:row r="462" ht="22" customHeight="1">
      <x:c r="A462" s="40" t="str">
        <x:v>9786052757604</x:v>
      </x:c>
      <x:c r="B462" s="37" t="str">
        <x:v>Limit</x:v>
      </x:c>
      <x:c r="C462" s="37" t="str">
        <x:v>10. Sınıf</x:v>
      </x:c>
      <x:c r="D462" s="37" t="str">
        <x:v>Coğrafya</x:v>
      </x:c>
      <x:c r="E462" s="37"/>
      <x:c r="F462" s="37" t="str">
        <x:v>Konu Anlatımlı</x:v>
      </x:c>
      <x:c r="G462" s="43" t="n">
        <x:v>628</x:v>
      </x:c>
      <x:c r="H462" s="46" t="str">
        <x:f>IF(SUMIFS('İndirimler'!$C$2:$C$110,'İndirimler'!$A$2:$A$110,B462,'İndirimler'!$B$2:$B$110,C462)&gt;0,ROUND(G462*(1-SUMIFS('İndirimler'!$C$2:$C$110,'İndirimler'!$A$2:$A$110,B462,'İndirimler'!$B$2:$B$110,C462)),2),"")</x:f>
      </x:c>
      <x:c r="I462" s="49" t="str">
        <x:f>IF(SUMIFS('İndirimler'!$D$2:$D$110,'İndirimler'!$A$2:$A$110,B462,'İndirimler'!$B$2:$B$110,C462)&gt;0,ROUND(G462*(1-SUMIFS('İndirimler'!$D$2:$D$110,'İndirimler'!$A$2:$A$110,B462,'İndirimler'!$B$2:$B$110,C462)),2),"")</x:f>
      </x:c>
      <x:c r="J462" s="37"/>
    </x:row>
    <x:row r="463" ht="22" customHeight="1">
      <x:c r="A463" s="40" t="str">
        <x:v>9786256921733</x:v>
      </x:c>
      <x:c r="B463" s="37" t="str">
        <x:v>4K</x:v>
      </x:c>
      <x:c r="C463" s="37" t="str">
        <x:v>10. Sınıf</x:v>
      </x:c>
      <x:c r="D463" s="37" t="str">
        <x:v>Coğrafya</x:v>
      </x:c>
      <x:c r="E463" s="37"/>
      <x:c r="F463" s="37" t="str">
        <x:v>Soru Bankası</x:v>
      </x:c>
      <x:c r="G463" s="43" t="n">
        <x:v>328</x:v>
      </x:c>
      <x:c r="H463" s="46" t="str">
        <x:f>IF(SUMIFS('İndirimler'!$C$2:$C$110,'İndirimler'!$A$2:$A$110,B463,'İndirimler'!$B$2:$B$110,C463)&gt;0,ROUND(G463*(1-SUMIFS('İndirimler'!$C$2:$C$110,'İndirimler'!$A$2:$A$110,B463,'İndirimler'!$B$2:$B$110,C463)),2),"")</x:f>
      </x:c>
      <x:c r="I463" s="49" t="str">
        <x:f>IF(SUMIFS('İndirimler'!$D$2:$D$110,'İndirimler'!$A$2:$A$110,B463,'İndirimler'!$B$2:$B$110,C463)&gt;0,ROUND(G463*(1-SUMIFS('İndirimler'!$D$2:$D$110,'İndirimler'!$A$2:$A$110,B463,'İndirimler'!$B$2:$B$110,C463)),2),"")</x:f>
      </x:c>
      <x:c r="J463" s="37" t="str">
        <x:v>https://app.karakok.net/spShowFlip/1916</x:v>
      </x:c>
    </x:row>
    <x:row r="464" ht="22" customHeight="1">
      <x:c r="A464" s="40" t="str">
        <x:v>9786256712386</x:v>
      </x:c>
      <x:c r="B464" s="37" t="str">
        <x:v>Bilgi Sarmal Yayınları</x:v>
      </x:c>
      <x:c r="C464" s="37" t="str">
        <x:v>10. Sınıf</x:v>
      </x:c>
      <x:c r="D464" s="37" t="str">
        <x:v>Coğrafya</x:v>
      </x:c>
      <x:c r="E464" s="37"/>
      <x:c r="F464" s="37" t="str">
        <x:v>Soru Bankası</x:v>
      </x:c>
      <x:c r="G464" s="43" t="n">
        <x:v>295</x:v>
      </x:c>
      <x:c r="H464" s="46" t="str">
        <x:f>IF(SUMIFS('İndirimler'!$C$2:$C$110,'İndirimler'!$A$2:$A$110,B464,'İndirimler'!$B$2:$B$110,C464)&gt;0,ROUND(G464*(1-SUMIFS('İndirimler'!$C$2:$C$110,'İndirimler'!$A$2:$A$110,B464,'İndirimler'!$B$2:$B$110,C464)),2),"")</x:f>
      </x:c>
      <x:c r="I464" s="49" t="str">
        <x:f>IF(SUMIFS('İndirimler'!$D$2:$D$110,'İndirimler'!$A$2:$A$110,B464,'İndirimler'!$B$2:$B$110,C464)&gt;0,ROUND(G464*(1-SUMIFS('İndirimler'!$D$2:$D$110,'İndirimler'!$A$2:$A$110,B464,'İndirimler'!$B$2:$B$110,C464)),2),"")</x:f>
      </x:c>
      <x:c r="J464" s="37"/>
    </x:row>
    <x:row r="465" ht="22" customHeight="1">
      <x:c r="A465" s="40" t="str">
        <x:v>9786259490052</x:v>
      </x:c>
      <x:c r="B465" s="37" t="str">
        <x:v>Coğrafya Gurmesi Yayınları</x:v>
      </x:c>
      <x:c r="C465" s="37" t="str">
        <x:v>10. Sınıf</x:v>
      </x:c>
      <x:c r="D465" s="37" t="str">
        <x:v>Coğrafya</x:v>
      </x:c>
      <x:c r="E465" s="37"/>
      <x:c r="F465" s="37" t="str">
        <x:v>Soru Bankası</x:v>
      </x:c>
      <x:c r="G465" s="43" t="n">
        <x:v>359</x:v>
      </x:c>
      <x:c r="H465" s="46" t="str">
        <x:f>IF(SUMIFS('İndirimler'!$C$2:$C$110,'İndirimler'!$A$2:$A$110,B465,'İndirimler'!$B$2:$B$110,C465)&gt;0,ROUND(G465*(1-SUMIFS('İndirimler'!$C$2:$C$110,'İndirimler'!$A$2:$A$110,B465,'İndirimler'!$B$2:$B$110,C465)),2),"")</x:f>
      </x:c>
      <x:c r="I465" s="49" t="str">
        <x:f>IF(SUMIFS('İndirimler'!$D$2:$D$110,'İndirimler'!$A$2:$A$110,B465,'İndirimler'!$B$2:$B$110,C465)&gt;0,ROUND(G465*(1-SUMIFS('İndirimler'!$D$2:$D$110,'İndirimler'!$A$2:$A$110,B465,'İndirimler'!$B$2:$B$110,C465)),2),"")</x:f>
      </x:c>
      <x:c r="J465" s="37"/>
    </x:row>
    <x:row r="466" ht="22" customHeight="1">
      <x:c r="A466" s="40" t="str">
        <x:v>9786256457058</x:v>
      </x:c>
      <x:c r="B466" s="37" t="str">
        <x:v>Eğitim Vadisi</x:v>
      </x:c>
      <x:c r="C466" s="37" t="str">
        <x:v>10. Sınıf</x:v>
      </x:c>
      <x:c r="D466" s="37" t="str">
        <x:v>Coğrafya</x:v>
      </x:c>
      <x:c r="E466" s="37" t="str">
        <x:v>TİK Tam İzleme Kitabı</x:v>
      </x:c>
      <x:c r="F466" s="37" t="str">
        <x:v>Soru Bankası</x:v>
      </x:c>
      <x:c r="G466" s="43" t="n">
        <x:v>274</x:v>
      </x:c>
      <x:c r="H466" s="46" t="str">
        <x:f>IF(SUMIFS('İndirimler'!$C$2:$C$110,'İndirimler'!$A$2:$A$110,B466,'İndirimler'!$B$2:$B$110,C466)&gt;0,ROUND(G466*(1-SUMIFS('İndirimler'!$C$2:$C$110,'İndirimler'!$A$2:$A$110,B466,'İndirimler'!$B$2:$B$110,C466)),2),"")</x:f>
      </x:c>
      <x:c r="I466" s="49" t="str">
        <x:f>IF(SUMIFS('İndirimler'!$D$2:$D$110,'İndirimler'!$A$2:$A$110,B466,'İndirimler'!$B$2:$B$110,C466)&gt;0,ROUND(G466*(1-SUMIFS('İndirimler'!$D$2:$D$110,'İndirimler'!$A$2:$A$110,B466,'İndirimler'!$B$2:$B$110,C466)),2),"")</x:f>
      </x:c>
      <x:c r="J466" s="37" t="str">
        <x:v>https://app.karakok.net/spShowFlip/2162</x:v>
      </x:c>
    </x:row>
    <x:row r="467" ht="22" customHeight="1">
      <x:c r="A467" s="40" t="str">
        <x:v>9786257532884</x:v>
      </x:c>
      <x:c r="B467" s="37" t="str">
        <x:v>Hız ve Renk Yayınları</x:v>
      </x:c>
      <x:c r="C467" s="37" t="str">
        <x:v>10. Sınıf</x:v>
      </x:c>
      <x:c r="D467" s="37" t="str">
        <x:v>Coğrafya</x:v>
      </x:c>
      <x:c r="E467" s="37" t="str">
        <x:v>HİT</x:v>
      </x:c>
      <x:c r="F467" s="37" t="str">
        <x:v>Soru Bankası</x:v>
      </x:c>
      <x:c r="G467" s="43" t="n">
        <x:v>405</x:v>
      </x:c>
      <x:c r="H467" s="46" t="str">
        <x:f>IF(SUMIFS('İndirimler'!$C$2:$C$110,'İndirimler'!$A$2:$A$110,B467,'İndirimler'!$B$2:$B$110,C467)&gt;0,ROUND(G467*(1-SUMIFS('İndirimler'!$C$2:$C$110,'İndirimler'!$A$2:$A$110,B467,'İndirimler'!$B$2:$B$110,C467)),2),"")</x:f>
      </x:c>
      <x:c r="I467" s="49" t="str">
        <x:f>IF(SUMIFS('İndirimler'!$D$2:$D$110,'İndirimler'!$A$2:$A$110,B467,'İndirimler'!$B$2:$B$110,C467)&gt;0,ROUND(G467*(1-SUMIFS('İndirimler'!$D$2:$D$110,'İndirimler'!$A$2:$A$110,B467,'İndirimler'!$B$2:$B$110,C467)),2),"")</x:f>
      </x:c>
      <x:c r="J467" s="37"/>
    </x:row>
    <x:row r="468" ht="22" customHeight="1">
      <x:c r="A468" s="40" t="str">
        <x:v>9786052757611</x:v>
      </x:c>
      <x:c r="B468" s="37" t="str">
        <x:v>Limit</x:v>
      </x:c>
      <x:c r="C468" s="37" t="str">
        <x:v>10. Sınıf</x:v>
      </x:c>
      <x:c r="D468" s="37" t="str">
        <x:v>Coğrafya</x:v>
      </x:c>
      <x:c r="E468" s="37"/>
      <x:c r="F468" s="37" t="str">
        <x:v>Soru Bankası</x:v>
      </x:c>
      <x:c r="G468" s="43" t="n">
        <x:v>622</x:v>
      </x:c>
      <x:c r="H468" s="46" t="str">
        <x:f>IF(SUMIFS('İndirimler'!$C$2:$C$110,'İndirimler'!$A$2:$A$110,B468,'İndirimler'!$B$2:$B$110,C468)&gt;0,ROUND(G468*(1-SUMIFS('İndirimler'!$C$2:$C$110,'İndirimler'!$A$2:$A$110,B468,'İndirimler'!$B$2:$B$110,C468)),2),"")</x:f>
      </x:c>
      <x:c r="I468" s="49" t="str">
        <x:f>IF(SUMIFS('İndirimler'!$D$2:$D$110,'İndirimler'!$A$2:$A$110,B468,'İndirimler'!$B$2:$B$110,C468)&gt;0,ROUND(G468*(1-SUMIFS('İndirimler'!$D$2:$D$110,'İndirimler'!$A$2:$A$110,B468,'İndirimler'!$B$2:$B$110,C468)),2),"")</x:f>
      </x:c>
      <x:c r="J468" s="37"/>
    </x:row>
    <x:row r="469" ht="22" customHeight="1">
      <x:c r="A469" s="40" t="str">
        <x:v>9786256142251</x:v>
      </x:c>
      <x:c r="B469" s="37" t="str">
        <x:v>Miray</x:v>
      </x:c>
      <x:c r="C469" s="37" t="str">
        <x:v>10. Sınıf</x:v>
      </x:c>
      <x:c r="D469" s="37" t="str">
        <x:v>Coğrafya</x:v>
      </x:c>
      <x:c r="E469" s="37" t="str">
        <x:v>Tematik</x:v>
      </x:c>
      <x:c r="F469" s="37" t="str">
        <x:v>Soru Bankası</x:v>
      </x:c>
      <x:c r="G469" s="43" t="n">
        <x:v>475</x:v>
      </x:c>
      <x:c r="H469" s="46" t="str">
        <x:f>IF(SUMIFS('İndirimler'!$C$2:$C$110,'İndirimler'!$A$2:$A$110,B469,'İndirimler'!$B$2:$B$110,C469)&gt;0,ROUND(G469*(1-SUMIFS('İndirimler'!$C$2:$C$110,'İndirimler'!$A$2:$A$110,B469,'İndirimler'!$B$2:$B$110,C469)),2),"")</x:f>
      </x:c>
      <x:c r="I469" s="49" t="str">
        <x:f>IF(SUMIFS('İndirimler'!$D$2:$D$110,'İndirimler'!$A$2:$A$110,B469,'İndirimler'!$B$2:$B$110,C469)&gt;0,ROUND(G469*(1-SUMIFS('İndirimler'!$D$2:$D$110,'İndirimler'!$A$2:$A$110,B469,'İndirimler'!$B$2:$B$110,C469)),2),"")</x:f>
      </x:c>
      <x:c r="J469" s="37"/>
    </x:row>
    <x:row r="470" ht="22" customHeight="1">
      <x:c r="A470" s="40" t="str">
        <x:v>9786255801012</x:v>
      </x:c>
      <x:c r="B470" s="37" t="str">
        <x:v>Çap Yayınları</x:v>
      </x:c>
      <x:c r="C470" s="37" t="str">
        <x:v>10. Sınıf</x:v>
      </x:c>
      <x:c r="D470" s="37" t="str">
        <x:v>Coğrafya</x:v>
      </x:c>
      <x:c r="E470" s="37" t="str">
        <x:v>Tematik</x:v>
      </x:c>
      <x:c r="F470" s="37" t="str">
        <x:v>Soru Bankası</x:v>
      </x:c>
      <x:c r="G470" s="43" t="n">
        <x:v>409</x:v>
      </x:c>
      <x:c r="H470" s="46" t="str">
        <x:f>IF(SUMIFS('İndirimler'!$C$2:$C$110,'İndirimler'!$A$2:$A$110,B470,'İndirimler'!$B$2:$B$110,C470)&gt;0,ROUND(G470*(1-SUMIFS('İndirimler'!$C$2:$C$110,'İndirimler'!$A$2:$A$110,B470,'İndirimler'!$B$2:$B$110,C470)),2),"")</x:f>
      </x:c>
      <x:c r="I470" s="49" t="str">
        <x:f>IF(SUMIFS('İndirimler'!$D$2:$D$110,'İndirimler'!$A$2:$A$110,B470,'İndirimler'!$B$2:$B$110,C470)&gt;0,ROUND(G470*(1-SUMIFS('İndirimler'!$D$2:$D$110,'İndirimler'!$A$2:$A$110,B470,'İndirimler'!$B$2:$B$110,C470)),2),"")</x:f>
      </x:c>
      <x:c r="J470" s="37"/>
    </x:row>
    <x:row r="471" ht="22" customHeight="1">
      <x:c r="A471" s="40" t="str">
        <x:v>9786258160666</x:v>
      </x:c>
      <x:c r="B471" s="37" t="str">
        <x:v>ENS Yayınları</x:v>
      </x:c>
      <x:c r="C471" s="37" t="str">
        <x:v>10. Sınıf</x:v>
      </x:c>
      <x:c r="D471" s="37" t="str">
        <x:v>Coğrafya</x:v>
      </x:c>
      <x:c r="E471" s="37"/>
      <x:c r="F471" s="37" t="str">
        <x:v>Etkinlik Kitabı</x:v>
      </x:c>
      <x:c r="G471" s="43" t="n">
        <x:v>345</x:v>
      </x:c>
      <x:c r="H471" s="46" t="str">
        <x:f>IF(SUMIFS('İndirimler'!$C$2:$C$110,'İndirimler'!$A$2:$A$110,B471,'İndirimler'!$B$2:$B$110,C471)&gt;0,ROUND(G471*(1-SUMIFS('İndirimler'!$C$2:$C$110,'İndirimler'!$A$2:$A$110,B471,'İndirimler'!$B$2:$B$110,C471)),2),"")</x:f>
      </x:c>
      <x:c r="I471" s="49" t="str">
        <x:f>IF(SUMIFS('İndirimler'!$D$2:$D$110,'İndirimler'!$A$2:$A$110,B471,'İndirimler'!$B$2:$B$110,C471)&gt;0,ROUND(G471*(1-SUMIFS('İndirimler'!$D$2:$D$110,'İndirimler'!$A$2:$A$110,B471,'İndirimler'!$B$2:$B$110,C471)),2),"")</x:f>
      </x:c>
      <x:c r="J471" s="37"/>
    </x:row>
    <x:row r="472" ht="22" customHeight="1">
      <x:c r="A472" s="40" t="str">
        <x:v>ORNEK00000055</x:v>
      </x:c>
      <x:c r="B472" s="37" t="str">
        <x:v>Çap Yayınları</x:v>
      </x:c>
      <x:c r="C472" s="37" t="str">
        <x:v>11. Sınıf</x:v>
      </x:c>
      <x:c r="D472" s="37" t="str">
        <x:v>Coğrafya</x:v>
      </x:c>
      <x:c r="E472" s="37"/>
      <x:c r="F472" s="37" t="str">
        <x:v>Fasikül Set</x:v>
      </x:c>
      <x:c r="G472" s="43" t="n">
        <x:v>600</x:v>
      </x:c>
      <x:c r="H472" s="46" t="str">
        <x:f>IF(SUMIFS('İndirimler'!$C$2:$C$110,'İndirimler'!$A$2:$A$110,B472,'İndirimler'!$B$2:$B$110,C472)&gt;0,ROUND(G472*(1-SUMIFS('İndirimler'!$C$2:$C$110,'İndirimler'!$A$2:$A$110,B472,'İndirimler'!$B$2:$B$110,C472)),2),"")</x:f>
      </x:c>
      <x:c r="I472" s="49" t="str">
        <x:f>IF(SUMIFS('İndirimler'!$D$2:$D$110,'İndirimler'!$A$2:$A$110,B472,'İndirimler'!$B$2:$B$110,C472)&gt;0,ROUND(G472*(1-SUMIFS('İndirimler'!$D$2:$D$110,'İndirimler'!$A$2:$A$110,B472,'İndirimler'!$B$2:$B$110,C472)),2),"")</x:f>
      </x:c>
      <x:c r="J472" s="37"/>
    </x:row>
    <x:row r="473" ht="22" customHeight="1">
      <x:c r="A473" s="40" t="str">
        <x:v>9786258139686</x:v>
      </x:c>
      <x:c r="B473" s="37" t="str">
        <x:v>Çap Yayınları</x:v>
      </x:c>
      <x:c r="C473" s="37" t="str">
        <x:v>11. Sınıf</x:v>
      </x:c>
      <x:c r="D473" s="37" t="str">
        <x:v>Coğrafya</x:v>
      </x:c>
      <x:c r="E473" s="37" t="str">
        <x:v>Anadolu</x:v>
      </x:c>
      <x:c r="F473" s="37" t="str">
        <x:v>Fasikül Set</x:v>
      </x:c>
      <x:c r="G473" s="43" t="n">
        <x:v>500</x:v>
      </x:c>
      <x:c r="H473" s="46" t="str">
        <x:f>IF(SUMIFS('İndirimler'!$C$2:$C$110,'İndirimler'!$A$2:$A$110,B473,'İndirimler'!$B$2:$B$110,C473)&gt;0,ROUND(G473*(1-SUMIFS('İndirimler'!$C$2:$C$110,'İndirimler'!$A$2:$A$110,B473,'İndirimler'!$B$2:$B$110,C473)),2),"")</x:f>
      </x:c>
      <x:c r="I473" s="49" t="str">
        <x:f>IF(SUMIFS('İndirimler'!$D$2:$D$110,'İndirimler'!$A$2:$A$110,B473,'İndirimler'!$B$2:$B$110,C473)&gt;0,ROUND(G473*(1-SUMIFS('İndirimler'!$D$2:$D$110,'İndirimler'!$A$2:$A$110,B473,'İndirimler'!$B$2:$B$110,C473)),2),"")</x:f>
      </x:c>
      <x:c r="J473" s="37"/>
    </x:row>
    <x:row r="474" ht="22" customHeight="1">
      <x:c r="A474" s="40" t="str">
        <x:v>ORNEK00000052</x:v>
      </x:c>
      <x:c r="B474" s="37" t="str">
        <x:v>Coğrafya Gurmesi Yayınları</x:v>
      </x:c>
      <x:c r="C474" s="37" t="str">
        <x:v>11. Sınıf</x:v>
      </x:c>
      <x:c r="D474" s="37" t="str">
        <x:v>Coğrafya</x:v>
      </x:c>
      <x:c r="E474" s="37"/>
      <x:c r="F474" s="37" t="str">
        <x:v>Konu Anlatımlı</x:v>
      </x:c>
      <x:c r="G474" s="43" t="n">
        <x:v>500</x:v>
      </x:c>
      <x:c r="H474" s="46" t="str">
        <x:f>IF(SUMIFS('İndirimler'!$C$2:$C$110,'İndirimler'!$A$2:$A$110,B474,'İndirimler'!$B$2:$B$110,C474)&gt;0,ROUND(G474*(1-SUMIFS('İndirimler'!$C$2:$C$110,'İndirimler'!$A$2:$A$110,B474,'İndirimler'!$B$2:$B$110,C474)),2),"")</x:f>
      </x:c>
      <x:c r="I474" s="49" t="str">
        <x:f>IF(SUMIFS('İndirimler'!$D$2:$D$110,'İndirimler'!$A$2:$A$110,B474,'İndirimler'!$B$2:$B$110,C474)&gt;0,ROUND(G474*(1-SUMIFS('İndirimler'!$D$2:$D$110,'İndirimler'!$A$2:$A$110,B474,'İndirimler'!$B$2:$B$110,C474)),2),"")</x:f>
      </x:c>
      <x:c r="J474" s="37"/>
    </x:row>
    <x:row r="475" ht="22" customHeight="1">
      <x:c r="A475" s="40" t="str">
        <x:v>ORNEK00000071</x:v>
      </x:c>
      <x:c r="B475" s="37" t="str">
        <x:v>ENS Yayınları</x:v>
      </x:c>
      <x:c r="C475" s="37" t="str">
        <x:v>11. Sınıf</x:v>
      </x:c>
      <x:c r="D475" s="37" t="str">
        <x:v>Coğrafya</x:v>
      </x:c>
      <x:c r="E475" s="37" t="str">
        <x:v>Defter</x:v>
      </x:c>
      <x:c r="F475" s="37" t="str">
        <x:v>Konu Anlatımlı</x:v>
      </x:c>
      <x:c r="G475" s="43" t="n">
        <x:v>500</x:v>
      </x:c>
      <x:c r="H475" s="46" t="str">
        <x:f>IF(SUMIFS('İndirimler'!$C$2:$C$110,'İndirimler'!$A$2:$A$110,B475,'İndirimler'!$B$2:$B$110,C475)&gt;0,ROUND(G475*(1-SUMIFS('İndirimler'!$C$2:$C$110,'İndirimler'!$A$2:$A$110,B475,'İndirimler'!$B$2:$B$110,C475)),2),"")</x:f>
      </x:c>
      <x:c r="I475" s="49" t="str">
        <x:f>IF(SUMIFS('İndirimler'!$D$2:$D$110,'İndirimler'!$A$2:$A$110,B475,'İndirimler'!$B$2:$B$110,C475)&gt;0,ROUND(G475*(1-SUMIFS('İndirimler'!$D$2:$D$110,'İndirimler'!$A$2:$A$110,B475,'İndirimler'!$B$2:$B$110,C475)),2),"")</x:f>
      </x:c>
      <x:c r="J475" s="37"/>
    </x:row>
    <x:row r="476" ht="22" customHeight="1">
      <x:c r="A476" s="40" t="str">
        <x:v>9786052754184</x:v>
      </x:c>
      <x:c r="B476" s="37" t="str">
        <x:v>Limit</x:v>
      </x:c>
      <x:c r="C476" s="37" t="str">
        <x:v>11. Sınıf</x:v>
      </x:c>
      <x:c r="D476" s="37" t="str">
        <x:v>Coğrafya</x:v>
      </x:c>
      <x:c r="E476" s="37"/>
      <x:c r="F476" s="37" t="str">
        <x:v>Konu Anlatımlı</x:v>
      </x:c>
      <x:c r="G476" s="43" t="n">
        <x:v>498</x:v>
      </x:c>
      <x:c r="H476" s="46" t="str">
        <x:f>IF(SUMIFS('İndirimler'!$C$2:$C$110,'İndirimler'!$A$2:$A$110,B476,'İndirimler'!$B$2:$B$110,C476)&gt;0,ROUND(G476*(1-SUMIFS('İndirimler'!$C$2:$C$110,'İndirimler'!$A$2:$A$110,B476,'İndirimler'!$B$2:$B$110,C476)),2),"")</x:f>
      </x:c>
      <x:c r="I476" s="49" t="str">
        <x:f>IF(SUMIFS('İndirimler'!$D$2:$D$110,'İndirimler'!$A$2:$A$110,B476,'İndirimler'!$B$2:$B$110,C476)&gt;0,ROUND(G476*(1-SUMIFS('İndirimler'!$D$2:$D$110,'İndirimler'!$A$2:$A$110,B476,'İndirimler'!$B$2:$B$110,C476)),2),"")</x:f>
      </x:c>
      <x:c r="J476" s="37"/>
    </x:row>
    <x:row r="477" ht="22" customHeight="1">
      <x:c r="A477" s="40" t="str">
        <x:v>9786256921979</x:v>
      </x:c>
      <x:c r="B477" s="37" t="str">
        <x:v>4K</x:v>
      </x:c>
      <x:c r="C477" s="37" t="str">
        <x:v>11. Sınıf</x:v>
      </x:c>
      <x:c r="D477" s="37" t="str">
        <x:v>Coğrafya</x:v>
      </x:c>
      <x:c r="E477" s="37"/>
      <x:c r="F477" s="37" t="str">
        <x:v>Soru Bankası</x:v>
      </x:c>
      <x:c r="G477" s="43" t="n">
        <x:v>346</x:v>
      </x:c>
      <x:c r="H477" s="46" t="str">
        <x:f>IF(SUMIFS('İndirimler'!$C$2:$C$110,'İndirimler'!$A$2:$A$110,B477,'İndirimler'!$B$2:$B$110,C477)&gt;0,ROUND(G477*(1-SUMIFS('İndirimler'!$C$2:$C$110,'İndirimler'!$A$2:$A$110,B477,'İndirimler'!$B$2:$B$110,C477)),2),"")</x:f>
      </x:c>
      <x:c r="I477" s="49" t="str">
        <x:f>IF(SUMIFS('İndirimler'!$D$2:$D$110,'İndirimler'!$A$2:$A$110,B477,'İndirimler'!$B$2:$B$110,C477)&gt;0,ROUND(G477*(1-SUMIFS('İndirimler'!$D$2:$D$110,'İndirimler'!$A$2:$A$110,B477,'İndirimler'!$B$2:$B$110,C477)),2),"")</x:f>
      </x:c>
      <x:c r="J477" s="37"/>
    </x:row>
    <x:row r="478" ht="22" customHeight="1">
      <x:c r="A478" s="40" t="str">
        <x:v>ORNEK00000018</x:v>
      </x:c>
      <x:c r="B478" s="37" t="str">
        <x:v>Bilgi Sarmal Yayınları</x:v>
      </x:c>
      <x:c r="C478" s="37" t="str">
        <x:v>11. Sınıf</x:v>
      </x:c>
      <x:c r="D478" s="37" t="str">
        <x:v>Coğrafya</x:v>
      </x:c>
      <x:c r="E478" s="37"/>
      <x:c r="F478" s="37" t="str">
        <x:v>Soru Bankası</x:v>
      </x:c>
      <x:c r="G478" s="43" t="n">
        <x:v>500</x:v>
      </x:c>
      <x:c r="H478" s="46" t="str">
        <x:f>IF(SUMIFS('İndirimler'!$C$2:$C$110,'İndirimler'!$A$2:$A$110,B478,'İndirimler'!$B$2:$B$110,C478)&gt;0,ROUND(G478*(1-SUMIFS('İndirimler'!$C$2:$C$110,'İndirimler'!$A$2:$A$110,B478,'İndirimler'!$B$2:$B$110,C478)),2),"")</x:f>
      </x:c>
      <x:c r="I478" s="49" t="str">
        <x:f>IF(SUMIFS('İndirimler'!$D$2:$D$110,'İndirimler'!$A$2:$A$110,B478,'İndirimler'!$B$2:$B$110,C478)&gt;0,ROUND(G478*(1-SUMIFS('İndirimler'!$D$2:$D$110,'İndirimler'!$A$2:$A$110,B478,'İndirimler'!$B$2:$B$110,C478)),2),"")</x:f>
      </x:c>
      <x:c r="J478" s="37"/>
    </x:row>
    <x:row r="479" ht="22" customHeight="1">
      <x:c r="A479" s="40" t="str">
        <x:v>ORNEK00000053</x:v>
      </x:c>
      <x:c r="B479" s="37" t="str">
        <x:v>Coğrafya Gurmesi Yayınları</x:v>
      </x:c>
      <x:c r="C479" s="37" t="str">
        <x:v>11. Sınıf</x:v>
      </x:c>
      <x:c r="D479" s="37" t="str">
        <x:v>Coğrafya</x:v>
      </x:c>
      <x:c r="E479" s="37"/>
      <x:c r="F479" s="37" t="str">
        <x:v>Soru Bankası</x:v>
      </x:c>
      <x:c r="G479" s="43" t="n">
        <x:v>500</x:v>
      </x:c>
      <x:c r="H479" s="46" t="str">
        <x:f>IF(SUMIFS('İndirimler'!$C$2:$C$110,'İndirimler'!$A$2:$A$110,B479,'İndirimler'!$B$2:$B$110,C479)&gt;0,ROUND(G479*(1-SUMIFS('İndirimler'!$C$2:$C$110,'İndirimler'!$A$2:$A$110,B479,'İndirimler'!$B$2:$B$110,C479)),2),"")</x:f>
      </x:c>
      <x:c r="I479" s="49" t="str">
        <x:f>IF(SUMIFS('İndirimler'!$D$2:$D$110,'İndirimler'!$A$2:$A$110,B479,'İndirimler'!$B$2:$B$110,C479)&gt;0,ROUND(G479*(1-SUMIFS('İndirimler'!$D$2:$D$110,'İndirimler'!$A$2:$A$110,B479,'İndirimler'!$B$2:$B$110,C479)),2),"")</x:f>
      </x:c>
      <x:c r="J479" s="37"/>
    </x:row>
    <x:row r="480" ht="22" customHeight="1">
      <x:c r="A480" s="40" t="str">
        <x:v>ORNEK00000094</x:v>
      </x:c>
      <x:c r="B480" s="37" t="str">
        <x:v>Hız ve Renk Yayınları</x:v>
      </x:c>
      <x:c r="C480" s="37" t="str">
        <x:v>11. Sınıf</x:v>
      </x:c>
      <x:c r="D480" s="37" t="str">
        <x:v>Coğrafya</x:v>
      </x:c>
      <x:c r="E480" s="37" t="str">
        <x:v>HİT</x:v>
      </x:c>
      <x:c r="F480" s="37" t="str">
        <x:v>Soru Bankası</x:v>
      </x:c>
      <x:c r="G480" s="43" t="n">
        <x:v>500</x:v>
      </x:c>
      <x:c r="H480" s="46" t="str">
        <x:f>IF(SUMIFS('İndirimler'!$C$2:$C$110,'İndirimler'!$A$2:$A$110,B480,'İndirimler'!$B$2:$B$110,C480)&gt;0,ROUND(G480*(1-SUMIFS('İndirimler'!$C$2:$C$110,'İndirimler'!$A$2:$A$110,B480,'İndirimler'!$B$2:$B$110,C480)),2),"")</x:f>
      </x:c>
      <x:c r="I480" s="49" t="str">
        <x:f>IF(SUMIFS('İndirimler'!$D$2:$D$110,'İndirimler'!$A$2:$A$110,B480,'İndirimler'!$B$2:$B$110,C480)&gt;0,ROUND(G480*(1-SUMIFS('İndirimler'!$D$2:$D$110,'İndirimler'!$A$2:$A$110,B480,'İndirimler'!$B$2:$B$110,C480)),2),"")</x:f>
      </x:c>
      <x:c r="J480" s="37"/>
    </x:row>
    <x:row r="481" ht="22" customHeight="1">
      <x:c r="A481" s="40" t="str">
        <x:v>9786052754009</x:v>
      </x:c>
      <x:c r="B481" s="37" t="str">
        <x:v>Limit</x:v>
      </x:c>
      <x:c r="C481" s="37" t="str">
        <x:v>11. Sınıf</x:v>
      </x:c>
      <x:c r="D481" s="37" t="str">
        <x:v>Coğrafya</x:v>
      </x:c>
      <x:c r="E481" s="37"/>
      <x:c r="F481" s="37" t="str">
        <x:v>Soru Bankası</x:v>
      </x:c>
      <x:c r="G481" s="43" t="n">
        <x:v>490</x:v>
      </x:c>
      <x:c r="H481" s="46" t="str">
        <x:f>IF(SUMIFS('İndirimler'!$C$2:$C$110,'İndirimler'!$A$2:$A$110,B481,'İndirimler'!$B$2:$B$110,C481)&gt;0,ROUND(G481*(1-SUMIFS('İndirimler'!$C$2:$C$110,'İndirimler'!$A$2:$A$110,B481,'İndirimler'!$B$2:$B$110,C481)),2),"")</x:f>
      </x:c>
      <x:c r="I481" s="49" t="str">
        <x:f>IF(SUMIFS('İndirimler'!$D$2:$D$110,'İndirimler'!$A$2:$A$110,B481,'İndirimler'!$B$2:$B$110,C481)&gt;0,ROUND(G481*(1-SUMIFS('İndirimler'!$D$2:$D$110,'İndirimler'!$A$2:$A$110,B481,'İndirimler'!$B$2:$B$110,C481)),2),"")</x:f>
      </x:c>
      <x:c r="J481" s="37"/>
    </x:row>
    <x:row r="482" ht="22" customHeight="1">
      <x:c r="A482" s="40" t="str">
        <x:v>9786256142701</x:v>
      </x:c>
      <x:c r="B482" s="37" t="str">
        <x:v>Miray</x:v>
      </x:c>
      <x:c r="C482" s="37" t="str">
        <x:v>11. Sınıf</x:v>
      </x:c>
      <x:c r="D482" s="37" t="str">
        <x:v>Coğrafya</x:v>
      </x:c>
      <x:c r="E482" s="37" t="str">
        <x:v>Tematik</x:v>
      </x:c>
      <x:c r="F482" s="37" t="str">
        <x:v>Soru Bankası</x:v>
      </x:c>
      <x:c r="G482" s="43" t="n">
        <x:v>598</x:v>
      </x:c>
      <x:c r="H482" s="46" t="str">
        <x:f>IF(SUMIFS('İndirimler'!$C$2:$C$110,'İndirimler'!$A$2:$A$110,B482,'İndirimler'!$B$2:$B$110,C482)&gt;0,ROUND(G482*(1-SUMIFS('İndirimler'!$C$2:$C$110,'İndirimler'!$A$2:$A$110,B482,'İndirimler'!$B$2:$B$110,C482)),2),"")</x:f>
      </x:c>
      <x:c r="I482" s="49" t="str">
        <x:f>IF(SUMIFS('İndirimler'!$D$2:$D$110,'İndirimler'!$A$2:$A$110,B482,'İndirimler'!$B$2:$B$110,C482)&gt;0,ROUND(G482*(1-SUMIFS('İndirimler'!$D$2:$D$110,'İndirimler'!$A$2:$A$110,B482,'İndirimler'!$B$2:$B$110,C482)),2),"")</x:f>
      </x:c>
      <x:c r="J482" s="37"/>
    </x:row>
    <x:row r="483" ht="22" customHeight="1">
      <x:c r="A483" s="40" t="str">
        <x:v>ORNEK00000062</x:v>
      </x:c>
      <x:c r="B483" s="37" t="str">
        <x:v>Çap Yayınları</x:v>
      </x:c>
      <x:c r="C483" s="37" t="str">
        <x:v>11. Sınıf</x:v>
      </x:c>
      <x:c r="D483" s="37" t="str">
        <x:v>Coğrafya</x:v>
      </x:c>
      <x:c r="E483" s="37"/>
      <x:c r="F483" s="37" t="str">
        <x:v>Soru Bankası</x:v>
      </x:c>
      <x:c r="G483" s="43" t="n">
        <x:v>500</x:v>
      </x:c>
      <x:c r="H483" s="46" t="str">
        <x:f>IF(SUMIFS('İndirimler'!$C$2:$C$110,'İndirimler'!$A$2:$A$110,B483,'İndirimler'!$B$2:$B$110,C483)&gt;0,ROUND(G483*(1-SUMIFS('İndirimler'!$C$2:$C$110,'İndirimler'!$A$2:$A$110,B483,'İndirimler'!$B$2:$B$110,C483)),2),"")</x:f>
      </x:c>
      <x:c r="I483" s="49" t="str">
        <x:f>IF(SUMIFS('İndirimler'!$D$2:$D$110,'İndirimler'!$A$2:$A$110,B483,'İndirimler'!$B$2:$B$110,C483)&gt;0,ROUND(G483*(1-SUMIFS('İndirimler'!$D$2:$D$110,'İndirimler'!$A$2:$A$110,B483,'İndirimler'!$B$2:$B$110,C483)),2),"")</x:f>
      </x:c>
      <x:c r="J483" s="37"/>
    </x:row>
    <x:row r="484" ht="22" customHeight="1">
      <x:c r="A484" s="40" t="str">
        <x:v>ORNEK00000079</x:v>
      </x:c>
      <x:c r="B484" s="37" t="str">
        <x:v>ENS Yayınları</x:v>
      </x:c>
      <x:c r="C484" s="37" t="str">
        <x:v>11. Sınıf</x:v>
      </x:c>
      <x:c r="D484" s="37" t="str">
        <x:v>Coğrafya</x:v>
      </x:c>
      <x:c r="E484" s="37"/>
      <x:c r="F484" s="37" t="str">
        <x:v>Etkinlik Kitabı</x:v>
      </x:c>
      <x:c r="G484" s="43" t="n">
        <x:v>500</x:v>
      </x:c>
      <x:c r="H484" s="46" t="str">
        <x:f>IF(SUMIFS('İndirimler'!$C$2:$C$110,'İndirimler'!$A$2:$A$110,B484,'İndirimler'!$B$2:$B$110,C484)&gt;0,ROUND(G484*(1-SUMIFS('İndirimler'!$C$2:$C$110,'İndirimler'!$A$2:$A$110,B484,'İndirimler'!$B$2:$B$110,C484)),2),"")</x:f>
      </x:c>
      <x:c r="I484" s="49" t="str">
        <x:f>IF(SUMIFS('İndirimler'!$D$2:$D$110,'İndirimler'!$A$2:$A$110,B484,'İndirimler'!$B$2:$B$110,C484)&gt;0,ROUND(G484*(1-SUMIFS('İndirimler'!$D$2:$D$110,'İndirimler'!$A$2:$A$110,B484,'İndirimler'!$B$2:$B$110,C484)),2),"")</x:f>
      </x:c>
      <x:c r="J484" s="37"/>
    </x:row>
    <x:row r="485" ht="22" customHeight="1">
      <x:c r="A485" s="40" t="str">
        <x:v>9786256712553</x:v>
      </x:c>
      <x:c r="B485" s="37" t="str">
        <x:v>Bilgi Sarmal Yayınları</x:v>
      </x:c>
      <x:c r="C485" s="37" t="str">
        <x:v>Maarif TYT</x:v>
      </x:c>
      <x:c r="D485" s="37" t="str">
        <x:v>Coğrafya</x:v>
      </x:c>
      <x:c r="E485" s="37"/>
      <x:c r="F485" s="37" t="str">
        <x:v>Soru Bankası</x:v>
      </x:c>
      <x:c r="G485" s="43" t="n">
        <x:v>459</x:v>
      </x:c>
      <x:c r="H485" s="46" t="str">
        <x:f>IF(SUMIFS('İndirimler'!$C$2:$C$110,'İndirimler'!$A$2:$A$110,B485,'İndirimler'!$B$2:$B$110,C485)&gt;0,ROUND(G485*(1-SUMIFS('İndirimler'!$C$2:$C$110,'İndirimler'!$A$2:$A$110,B485,'İndirimler'!$B$2:$B$110,C485)),2),"")</x:f>
      </x:c>
      <x:c r="I485" s="49" t="str">
        <x:f>IF(SUMIFS('İndirimler'!$D$2:$D$110,'İndirimler'!$A$2:$A$110,B485,'İndirimler'!$B$2:$B$110,C485)&gt;0,ROUND(G485*(1-SUMIFS('İndirimler'!$D$2:$D$110,'İndirimler'!$A$2:$A$110,B485,'İndirimler'!$B$2:$B$110,C485)),2),"")</x:f>
      </x:c>
      <x:c r="J485" s="37"/>
    </x:row>
    <x:row r="486" ht="22" customHeight="1">
      <x:c r="A486" s="40" t="str">
        <x:v>9786259490076</x:v>
      </x:c>
      <x:c r="B486" s="37" t="str">
        <x:v>Coğrafya Gurmesi Yayınları</x:v>
      </x:c>
      <x:c r="C486" s="37" t="str">
        <x:v>Maarif TYT</x:v>
      </x:c>
      <x:c r="D486" s="37" t="str">
        <x:v>Coğrafya</x:v>
      </x:c>
      <x:c r="E486" s="37"/>
      <x:c r="F486" s="37" t="str">
        <x:v>Soru Bankası</x:v>
      </x:c>
      <x:c r="G486" s="43" t="n">
        <x:v>429</x:v>
      </x:c>
      <x:c r="H486" s="46" t="str">
        <x:f>IF(SUMIFS('İndirimler'!$C$2:$C$110,'İndirimler'!$A$2:$A$110,B486,'İndirimler'!$B$2:$B$110,C486)&gt;0,ROUND(G486*(1-SUMIFS('İndirimler'!$C$2:$C$110,'İndirimler'!$A$2:$A$110,B486,'İndirimler'!$B$2:$B$110,C486)),2),"")</x:f>
      </x:c>
      <x:c r="I486" s="49" t="str">
        <x:f>IF(SUMIFS('İndirimler'!$D$2:$D$110,'İndirimler'!$A$2:$A$110,B486,'İndirimler'!$B$2:$B$110,C486)&gt;0,ROUND(G486*(1-SUMIFS('İndirimler'!$D$2:$D$110,'İndirimler'!$A$2:$A$110,B486,'İndirimler'!$B$2:$B$110,C486)),2),"")</x:f>
      </x:c>
      <x:c r="J486" s="37"/>
    </x:row>
    <x:row r="487" ht="22" customHeight="1">
      <x:c r="A487" s="40" t="str">
        <x:v>9786052758878</x:v>
      </x:c>
      <x:c r="B487" s="37" t="str">
        <x:v>Limit</x:v>
      </x:c>
      <x:c r="C487" s="37" t="str">
        <x:v>Maarif TYT</x:v>
      </x:c>
      <x:c r="D487" s="37" t="str">
        <x:v>Coğrafya</x:v>
      </x:c>
      <x:c r="E487" s="37"/>
      <x:c r="F487" s="37" t="str">
        <x:v>Soru Bankası</x:v>
      </x:c>
      <x:c r="G487" s="43" t="n">
        <x:v>470</x:v>
      </x:c>
      <x:c r="H487" s="46" t="str">
        <x:f>IF(SUMIFS('İndirimler'!$C$2:$C$110,'İndirimler'!$A$2:$A$110,B487,'İndirimler'!$B$2:$B$110,C487)&gt;0,ROUND(G487*(1-SUMIFS('İndirimler'!$C$2:$C$110,'İndirimler'!$A$2:$A$110,B487,'İndirimler'!$B$2:$B$110,C487)),2),"")</x:f>
      </x:c>
      <x:c r="I487" s="49" t="str">
        <x:f>IF(SUMIFS('İndirimler'!$D$2:$D$110,'İndirimler'!$A$2:$A$110,B487,'İndirimler'!$B$2:$B$110,C487)&gt;0,ROUND(G487*(1-SUMIFS('İndirimler'!$D$2:$D$110,'İndirimler'!$A$2:$A$110,B487,'İndirimler'!$B$2:$B$110,C487)),2),"")</x:f>
      </x:c>
      <x:c r="J487" s="37"/>
    </x:row>
    <x:row r="488" ht="22" customHeight="1">
      <x:c r="A488" s="40" t="str">
        <x:v>9786256911130</x:v>
      </x:c>
      <x:c r="B488" s="37" t="str">
        <x:v>Eğitim Vadisi</x:v>
      </x:c>
      <x:c r="C488" s="37" t="str">
        <x:v>10. Sınıf</x:v>
      </x:c>
      <x:c r="D488" s="37" t="str">
        <x:v>Felsefe</x:v>
      </x:c>
      <x:c r="E488" s="37" t="str">
        <x:v>TAK Tam Anlatım Kitabı</x:v>
      </x:c>
      <x:c r="F488" s="37" t="str">
        <x:v>Konu Anlatımlı</x:v>
      </x:c>
      <x:c r="G488" s="43" t="n">
        <x:v>274</x:v>
      </x:c>
      <x:c r="H488" s="46" t="str">
        <x:f>IF(SUMIFS('İndirimler'!$C$2:$C$110,'İndirimler'!$A$2:$A$110,B488,'İndirimler'!$B$2:$B$110,C488)&gt;0,ROUND(G488*(1-SUMIFS('İndirimler'!$C$2:$C$110,'İndirimler'!$A$2:$A$110,B488,'İndirimler'!$B$2:$B$110,C488)),2),"")</x:f>
      </x:c>
      <x:c r="I488" s="49" t="str">
        <x:f>IF(SUMIFS('İndirimler'!$D$2:$D$110,'İndirimler'!$A$2:$A$110,B488,'İndirimler'!$B$2:$B$110,C488)&gt;0,ROUND(G488*(1-SUMIFS('İndirimler'!$D$2:$D$110,'İndirimler'!$A$2:$A$110,B488,'İndirimler'!$B$2:$B$110,C488)),2),"")</x:f>
      </x:c>
      <x:c r="J488" s="37" t="str">
        <x:v>https://app.karakok.net/spShowFlip/2160</x:v>
      </x:c>
    </x:row>
    <x:row r="489" ht="22" customHeight="1">
      <x:c r="A489" s="40" t="str">
        <x:v>9786256921689</x:v>
      </x:c>
      <x:c r="B489" s="37" t="str">
        <x:v>4K</x:v>
      </x:c>
      <x:c r="C489" s="37" t="str">
        <x:v>10. Sınıf</x:v>
      </x:c>
      <x:c r="D489" s="37" t="str">
        <x:v>Felsefe</x:v>
      </x:c>
      <x:c r="E489" s="37"/>
      <x:c r="F489" s="37" t="str">
        <x:v>Soru Bankası</x:v>
      </x:c>
      <x:c r="G489" s="43" t="n">
        <x:v>278</x:v>
      </x:c>
      <x:c r="H489" s="46" t="str">
        <x:f>IF(SUMIFS('İndirimler'!$C$2:$C$110,'İndirimler'!$A$2:$A$110,B489,'İndirimler'!$B$2:$B$110,C489)&gt;0,ROUND(G489*(1-SUMIFS('İndirimler'!$C$2:$C$110,'İndirimler'!$A$2:$A$110,B489,'İndirimler'!$B$2:$B$110,C489)),2),"")</x:f>
      </x:c>
      <x:c r="I489" s="49" t="str">
        <x:f>IF(SUMIFS('İndirimler'!$D$2:$D$110,'İndirimler'!$A$2:$A$110,B489,'İndirimler'!$B$2:$B$110,C489)&gt;0,ROUND(G489*(1-SUMIFS('İndirimler'!$D$2:$D$110,'İndirimler'!$A$2:$A$110,B489,'İndirimler'!$B$2:$B$110,C489)),2),"")</x:f>
      </x:c>
      <x:c r="J489" s="37" t="str">
        <x:v>https://app.karakok.net/spShowFlip/1918</x:v>
      </x:c>
    </x:row>
    <x:row r="490" ht="22" customHeight="1">
      <x:c r="A490" s="40" t="str">
        <x:v>9786256712218</x:v>
      </x:c>
      <x:c r="B490" s="37" t="str">
        <x:v>Bilgi Sarmal Yayınları</x:v>
      </x:c>
      <x:c r="C490" s="37" t="str">
        <x:v>10. Sınıf</x:v>
      </x:c>
      <x:c r="D490" s="37" t="str">
        <x:v>Felsefe</x:v>
      </x:c>
      <x:c r="E490" s="37"/>
      <x:c r="F490" s="37" t="str">
        <x:v>Soru Bankası</x:v>
      </x:c>
      <x:c r="G490" s="43" t="n">
        <x:v>269</x:v>
      </x:c>
      <x:c r="H490" s="46" t="str">
        <x:f>IF(SUMIFS('İndirimler'!$C$2:$C$110,'İndirimler'!$A$2:$A$110,B490,'İndirimler'!$B$2:$B$110,C490)&gt;0,ROUND(G490*(1-SUMIFS('İndirimler'!$C$2:$C$110,'İndirimler'!$A$2:$A$110,B490,'İndirimler'!$B$2:$B$110,C490)),2),"")</x:f>
      </x:c>
      <x:c r="I490" s="49" t="str">
        <x:f>IF(SUMIFS('İndirimler'!$D$2:$D$110,'İndirimler'!$A$2:$A$110,B490,'İndirimler'!$B$2:$B$110,C490)&gt;0,ROUND(G490*(1-SUMIFS('İndirimler'!$D$2:$D$110,'İndirimler'!$A$2:$A$110,B490,'İndirimler'!$B$2:$B$110,C490)),2),"")</x:f>
      </x:c>
      <x:c r="J490" s="37"/>
    </x:row>
    <x:row r="491" ht="22" customHeight="1">
      <x:c r="A491" s="40" t="str">
        <x:v>9786256457041</x:v>
      </x:c>
      <x:c r="B491" s="37" t="str">
        <x:v>Eğitim Vadisi</x:v>
      </x:c>
      <x:c r="C491" s="37" t="str">
        <x:v>10. Sınıf</x:v>
      </x:c>
      <x:c r="D491" s="37" t="str">
        <x:v>Felsefe</x:v>
      </x:c>
      <x:c r="E491" s="37" t="str">
        <x:v>TİK Tam İzleme Kitabı</x:v>
      </x:c>
      <x:c r="F491" s="37" t="str">
        <x:v>Soru Bankası</x:v>
      </x:c>
      <x:c r="G491" s="43" t="n">
        <x:v>274</x:v>
      </x:c>
      <x:c r="H491" s="46" t="str">
        <x:f>IF(SUMIFS('İndirimler'!$C$2:$C$110,'İndirimler'!$A$2:$A$110,B491,'İndirimler'!$B$2:$B$110,C491)&gt;0,ROUND(G491*(1-SUMIFS('İndirimler'!$C$2:$C$110,'İndirimler'!$A$2:$A$110,B491,'İndirimler'!$B$2:$B$110,C491)),2),"")</x:f>
      </x:c>
      <x:c r="I491" s="49" t="str">
        <x:f>IF(SUMIFS('İndirimler'!$D$2:$D$110,'İndirimler'!$A$2:$A$110,B491,'İndirimler'!$B$2:$B$110,C491)&gt;0,ROUND(G491*(1-SUMIFS('İndirimler'!$D$2:$D$110,'İndirimler'!$A$2:$A$110,B491,'İndirimler'!$B$2:$B$110,C491)),2),"")</x:f>
      </x:c>
      <x:c r="J491" s="37" t="str">
        <x:v>https://app.karakok.net/spShowFlip/2163</x:v>
      </x:c>
    </x:row>
    <x:row r="492" ht="22" customHeight="1">
      <x:c r="A492" s="40" t="str">
        <x:v>9786256142268</x:v>
      </x:c>
      <x:c r="B492" s="37" t="str">
        <x:v>Miray</x:v>
      </x:c>
      <x:c r="C492" s="37" t="str">
        <x:v>10. Sınıf</x:v>
      </x:c>
      <x:c r="D492" s="37" t="str">
        <x:v>Felsefe</x:v>
      </x:c>
      <x:c r="E492" s="37" t="str">
        <x:v>Tematik</x:v>
      </x:c>
      <x:c r="F492" s="37" t="str">
        <x:v>Soru Bankası</x:v>
      </x:c>
      <x:c r="G492" s="43" t="n">
        <x:v>563</x:v>
      </x:c>
      <x:c r="H492" s="46" t="str">
        <x:f>IF(SUMIFS('İndirimler'!$C$2:$C$110,'İndirimler'!$A$2:$A$110,B492,'İndirimler'!$B$2:$B$110,C492)&gt;0,ROUND(G492*(1-SUMIFS('İndirimler'!$C$2:$C$110,'İndirimler'!$A$2:$A$110,B492,'İndirimler'!$B$2:$B$110,C492)),2),"")</x:f>
      </x:c>
      <x:c r="I492" s="49" t="str">
        <x:f>IF(SUMIFS('İndirimler'!$D$2:$D$110,'İndirimler'!$A$2:$A$110,B492,'İndirimler'!$B$2:$B$110,C492)&gt;0,ROUND(G492*(1-SUMIFS('İndirimler'!$D$2:$D$110,'İndirimler'!$A$2:$A$110,B492,'İndirimler'!$B$2:$B$110,C492)),2),"")</x:f>
      </x:c>
      <x:c r="J492" s="37"/>
    </x:row>
    <x:row r="493" ht="22" customHeight="1">
      <x:c r="A493" s="40" t="str">
        <x:v>9786255801159</x:v>
      </x:c>
      <x:c r="B493" s="37" t="str">
        <x:v>Çap Yayınları</x:v>
      </x:c>
      <x:c r="C493" s="37" t="str">
        <x:v>10. Sınıf</x:v>
      </x:c>
      <x:c r="D493" s="37" t="str">
        <x:v>Felsefe</x:v>
      </x:c>
      <x:c r="E493" s="37" t="str">
        <x:v>Tematik</x:v>
      </x:c>
      <x:c r="F493" s="37" t="str">
        <x:v>Soru Bankası</x:v>
      </x:c>
      <x:c r="G493" s="43" t="n">
        <x:v>345</x:v>
      </x:c>
      <x:c r="H493" s="46" t="str">
        <x:f>IF(SUMIFS('İndirimler'!$C$2:$C$110,'İndirimler'!$A$2:$A$110,B493,'İndirimler'!$B$2:$B$110,C493)&gt;0,ROUND(G493*(1-SUMIFS('İndirimler'!$C$2:$C$110,'İndirimler'!$A$2:$A$110,B493,'İndirimler'!$B$2:$B$110,C493)),2),"")</x:f>
      </x:c>
      <x:c r="I493" s="49" t="str">
        <x:f>IF(SUMIFS('İndirimler'!$D$2:$D$110,'İndirimler'!$A$2:$A$110,B493,'İndirimler'!$B$2:$B$110,C493)&gt;0,ROUND(G493*(1-SUMIFS('İndirimler'!$D$2:$D$110,'İndirimler'!$A$2:$A$110,B493,'İndirimler'!$B$2:$B$110,C493)),2),"")</x:f>
      </x:c>
      <x:c r="J493" s="37"/>
    </x:row>
    <x:row r="494" ht="22" customHeight="1">
      <x:c r="A494" s="40" t="str">
        <x:v>ORNEK00000073</x:v>
      </x:c>
      <x:c r="B494" s="37" t="str">
        <x:v>ENS Yayınları</x:v>
      </x:c>
      <x:c r="C494" s="37" t="str">
        <x:v>11. Sınıf</x:v>
      </x:c>
      <x:c r="D494" s="37" t="str">
        <x:v>Felsefe</x:v>
      </x:c>
      <x:c r="E494" s="37" t="str">
        <x:v>Defter</x:v>
      </x:c>
      <x:c r="F494" s="37" t="str">
        <x:v>Konu Anlatımlı</x:v>
      </x:c>
      <x:c r="G494" s="43" t="n">
        <x:v>500</x:v>
      </x:c>
      <x:c r="H494" s="46" t="str">
        <x:f>IF(SUMIFS('İndirimler'!$C$2:$C$110,'İndirimler'!$A$2:$A$110,B494,'İndirimler'!$B$2:$B$110,C494)&gt;0,ROUND(G494*(1-SUMIFS('İndirimler'!$C$2:$C$110,'İndirimler'!$A$2:$A$110,B494,'İndirimler'!$B$2:$B$110,C494)),2),"")</x:f>
      </x:c>
      <x:c r="I494" s="49" t="str">
        <x:f>IF(SUMIFS('İndirimler'!$D$2:$D$110,'İndirimler'!$A$2:$A$110,B494,'İndirimler'!$B$2:$B$110,C494)&gt;0,ROUND(G494*(1-SUMIFS('İndirimler'!$D$2:$D$110,'İndirimler'!$A$2:$A$110,B494,'İndirimler'!$B$2:$B$110,C494)),2),"")</x:f>
      </x:c>
      <x:c r="J494" s="37"/>
    </x:row>
    <x:row r="495" ht="22" customHeight="1">
      <x:c r="A495" s="40" t="str">
        <x:v>9786052754177</x:v>
      </x:c>
      <x:c r="B495" s="37" t="str">
        <x:v>Limit</x:v>
      </x:c>
      <x:c r="C495" s="37" t="str">
        <x:v>11. Sınıf</x:v>
      </x:c>
      <x:c r="D495" s="37" t="str">
        <x:v>Felsefe</x:v>
      </x:c>
      <x:c r="E495" s="37"/>
      <x:c r="F495" s="37" t="str">
        <x:v>Konu Anlatımlı</x:v>
      </x:c>
      <x:c r="G495" s="43" t="n">
        <x:v>338</x:v>
      </x:c>
      <x:c r="H495" s="46" t="str">
        <x:f>IF(SUMIFS('İndirimler'!$C$2:$C$110,'İndirimler'!$A$2:$A$110,B495,'İndirimler'!$B$2:$B$110,C495)&gt;0,ROUND(G495*(1-SUMIFS('İndirimler'!$C$2:$C$110,'İndirimler'!$A$2:$A$110,B495,'İndirimler'!$B$2:$B$110,C495)),2),"")</x:f>
      </x:c>
      <x:c r="I495" s="49" t="str">
        <x:f>IF(SUMIFS('İndirimler'!$D$2:$D$110,'İndirimler'!$A$2:$A$110,B495,'İndirimler'!$B$2:$B$110,C495)&gt;0,ROUND(G495*(1-SUMIFS('İndirimler'!$D$2:$D$110,'İndirimler'!$A$2:$A$110,B495,'İndirimler'!$B$2:$B$110,C495)),2),"")</x:f>
      </x:c>
      <x:c r="J495" s="37"/>
    </x:row>
    <x:row r="496" ht="22" customHeight="1">
      <x:c r="A496" s="40" t="str">
        <x:v>9786256921955</x:v>
      </x:c>
      <x:c r="B496" s="37" t="str">
        <x:v>4K</x:v>
      </x:c>
      <x:c r="C496" s="37" t="str">
        <x:v>11. Sınıf</x:v>
      </x:c>
      <x:c r="D496" s="37" t="str">
        <x:v>Felsefe</x:v>
      </x:c>
      <x:c r="E496" s="37"/>
      <x:c r="F496" s="37" t="str">
        <x:v>Soru Bankası</x:v>
      </x:c>
      <x:c r="G496" s="43" t="n">
        <x:v>256</x:v>
      </x:c>
      <x:c r="H496" s="46" t="str">
        <x:f>IF(SUMIFS('İndirimler'!$C$2:$C$110,'İndirimler'!$A$2:$A$110,B496,'İndirimler'!$B$2:$B$110,C496)&gt;0,ROUND(G496*(1-SUMIFS('İndirimler'!$C$2:$C$110,'İndirimler'!$A$2:$A$110,B496,'İndirimler'!$B$2:$B$110,C496)),2),"")</x:f>
      </x:c>
      <x:c r="I496" s="49" t="str">
        <x:f>IF(SUMIFS('İndirimler'!$D$2:$D$110,'İndirimler'!$A$2:$A$110,B496,'İndirimler'!$B$2:$B$110,C496)&gt;0,ROUND(G496*(1-SUMIFS('İndirimler'!$D$2:$D$110,'İndirimler'!$A$2:$A$110,B496,'İndirimler'!$B$2:$B$110,C496)),2),"")</x:f>
      </x:c>
      <x:c r="J496" s="37"/>
    </x:row>
    <x:row r="497" ht="22" customHeight="1">
      <x:c r="A497" s="40" t="str">
        <x:v>ORNEK00000019</x:v>
      </x:c>
      <x:c r="B497" s="37" t="str">
        <x:v>Bilgi Sarmal Yayınları</x:v>
      </x:c>
      <x:c r="C497" s="37" t="str">
        <x:v>11. Sınıf</x:v>
      </x:c>
      <x:c r="D497" s="37" t="str">
        <x:v>Felsefe</x:v>
      </x:c>
      <x:c r="E497" s="37"/>
      <x:c r="F497" s="37" t="str">
        <x:v>Soru Bankası</x:v>
      </x:c>
      <x:c r="G497" s="43" t="n">
        <x:v>500</x:v>
      </x:c>
      <x:c r="H497" s="46" t="str">
        <x:f>IF(SUMIFS('İndirimler'!$C$2:$C$110,'İndirimler'!$A$2:$A$110,B497,'İndirimler'!$B$2:$B$110,C497)&gt;0,ROUND(G497*(1-SUMIFS('İndirimler'!$C$2:$C$110,'İndirimler'!$A$2:$A$110,B497,'İndirimler'!$B$2:$B$110,C497)),2),"")</x:f>
      </x:c>
      <x:c r="I497" s="49" t="str">
        <x:f>IF(SUMIFS('İndirimler'!$D$2:$D$110,'İndirimler'!$A$2:$A$110,B497,'İndirimler'!$B$2:$B$110,C497)&gt;0,ROUND(G497*(1-SUMIFS('İndirimler'!$D$2:$D$110,'İndirimler'!$A$2:$A$110,B497,'İndirimler'!$B$2:$B$110,C497)),2),"")</x:f>
      </x:c>
      <x:c r="J497" s="37"/>
    </x:row>
    <x:row r="498" ht="22" customHeight="1">
      <x:c r="A498" s="40" t="str">
        <x:v>9786256142718</x:v>
      </x:c>
      <x:c r="B498" s="37" t="str">
        <x:v>Miray</x:v>
      </x:c>
      <x:c r="C498" s="37" t="str">
        <x:v>11. Sınıf</x:v>
      </x:c>
      <x:c r="D498" s="37" t="str">
        <x:v>Felsefe</x:v>
      </x:c>
      <x:c r="E498" s="37" t="str">
        <x:v>Tematik</x:v>
      </x:c>
      <x:c r="F498" s="37" t="str">
        <x:v>Soru Bankası</x:v>
      </x:c>
      <x:c r="G498" s="43" t="n">
        <x:v>493</x:v>
      </x:c>
      <x:c r="H498" s="46" t="str">
        <x:f>IF(SUMIFS('İndirimler'!$C$2:$C$110,'İndirimler'!$A$2:$A$110,B498,'İndirimler'!$B$2:$B$110,C498)&gt;0,ROUND(G498*(1-SUMIFS('İndirimler'!$C$2:$C$110,'İndirimler'!$A$2:$A$110,B498,'İndirimler'!$B$2:$B$110,C498)),2),"")</x:f>
      </x:c>
      <x:c r="I498" s="49" t="str">
        <x:f>IF(SUMIFS('İndirimler'!$D$2:$D$110,'İndirimler'!$A$2:$A$110,B498,'İndirimler'!$B$2:$B$110,C498)&gt;0,ROUND(G498*(1-SUMIFS('İndirimler'!$D$2:$D$110,'İndirimler'!$A$2:$A$110,B498,'İndirimler'!$B$2:$B$110,C498)),2),"")</x:f>
      </x:c>
      <x:c r="J498" s="37"/>
    </x:row>
    <x:row r="499" ht="22" customHeight="1">
      <x:c r="A499" s="40" t="str">
        <x:v>ORNEK00000064</x:v>
      </x:c>
      <x:c r="B499" s="37" t="str">
        <x:v>Çap Yayınları</x:v>
      </x:c>
      <x:c r="C499" s="37" t="str">
        <x:v>11. Sınıf</x:v>
      </x:c>
      <x:c r="D499" s="37" t="str">
        <x:v>Felsefe</x:v>
      </x:c>
      <x:c r="E499" s="37"/>
      <x:c r="F499" s="37" t="str">
        <x:v>Soru Bankası</x:v>
      </x:c>
      <x:c r="G499" s="43" t="n">
        <x:v>500</x:v>
      </x:c>
      <x:c r="H499" s="46" t="str">
        <x:f>IF(SUMIFS('İndirimler'!$C$2:$C$110,'İndirimler'!$A$2:$A$110,B499,'İndirimler'!$B$2:$B$110,C499)&gt;0,ROUND(G499*(1-SUMIFS('İndirimler'!$C$2:$C$110,'İndirimler'!$A$2:$A$110,B499,'İndirimler'!$B$2:$B$110,C499)),2),"")</x:f>
      </x:c>
      <x:c r="I499" s="49" t="str">
        <x:f>IF(SUMIFS('İndirimler'!$D$2:$D$110,'İndirimler'!$A$2:$A$110,B499,'İndirimler'!$B$2:$B$110,C499)&gt;0,ROUND(G499*(1-SUMIFS('İndirimler'!$D$2:$D$110,'İndirimler'!$A$2:$A$110,B499,'İndirimler'!$B$2:$B$110,C499)),2),"")</x:f>
      </x:c>
      <x:c r="J499" s="37"/>
    </x:row>
    <x:row r="500" ht="22" customHeight="1">
      <x:c r="A500" s="40" t="str">
        <x:v>ORNEK00000081</x:v>
      </x:c>
      <x:c r="B500" s="37" t="str">
        <x:v>ENS Yayınları</x:v>
      </x:c>
      <x:c r="C500" s="37" t="str">
        <x:v>11. Sınıf</x:v>
      </x:c>
      <x:c r="D500" s="37" t="str">
        <x:v>Felsefe</x:v>
      </x:c>
      <x:c r="E500" s="37"/>
      <x:c r="F500" s="37" t="str">
        <x:v>Etkinlik Kitabı</x:v>
      </x:c>
      <x:c r="G500" s="43" t="n">
        <x:v>500</x:v>
      </x:c>
      <x:c r="H500" s="46" t="str">
        <x:f>IF(SUMIFS('İndirimler'!$C$2:$C$110,'İndirimler'!$A$2:$A$110,B500,'İndirimler'!$B$2:$B$110,C500)&gt;0,ROUND(G500*(1-SUMIFS('İndirimler'!$C$2:$C$110,'İndirimler'!$A$2:$A$110,B500,'İndirimler'!$B$2:$B$110,C500)),2),"")</x:f>
      </x:c>
      <x:c r="I500" s="49" t="str">
        <x:f>IF(SUMIFS('İndirimler'!$D$2:$D$110,'İndirimler'!$A$2:$A$110,B500,'İndirimler'!$B$2:$B$110,C500)&gt;0,ROUND(G500*(1-SUMIFS('İndirimler'!$D$2:$D$110,'İndirimler'!$A$2:$A$110,B500,'İndirimler'!$B$2:$B$110,C500)),2),"")</x:f>
      </x:c>
      <x:c r="J500" s="37"/>
    </x:row>
    <x:row r="501" ht="22" customHeight="1">
      <x:c r="A501" s="40" t="str">
        <x:v>9786258715040</x:v>
      </x:c>
      <x:c r="B501" s="37" t="str">
        <x:v>Hız ve Renk Yayınları</x:v>
      </x:c>
      <x:c r="C501" s="37" t="str">
        <x:v>Maarif TYT</x:v>
      </x:c>
      <x:c r="D501" s="37" t="str">
        <x:v>Sosyal Bilimler</x:v>
      </x:c>
      <x:c r="E501" s="37"/>
      <x:c r="F501" s="37" t="str">
        <x:v>Soru Bankası</x:v>
      </x:c>
      <x:c r="G501" s="43" t="n">
        <x:v>429</x:v>
      </x:c>
      <x:c r="H501" s="46" t="str">
        <x:f>IF(SUMIFS('İndirimler'!$C$2:$C$110,'İndirimler'!$A$2:$A$110,B501,'İndirimler'!$B$2:$B$110,C501)&gt;0,ROUND(G501*(1-SUMIFS('İndirimler'!$C$2:$C$110,'İndirimler'!$A$2:$A$110,B501,'İndirimler'!$B$2:$B$110,C501)),2),"")</x:f>
      </x:c>
      <x:c r="I501" s="49" t="str">
        <x:f>IF(SUMIFS('İndirimler'!$D$2:$D$110,'İndirimler'!$A$2:$A$110,B501,'İndirimler'!$B$2:$B$110,C501)&gt;0,ROUND(G501*(1-SUMIFS('İndirimler'!$D$2:$D$110,'İndirimler'!$A$2:$A$110,B501,'İndirimler'!$B$2:$B$110,C501)),2),"")</x:f>
      </x:c>
      <x:c r="J501" s="37"/>
    </x:row>
    <x:row r="502" ht="22" customHeight="1">
      <x:c r="A502" s="40" t="str">
        <x:v>ORNEK00000012</x:v>
      </x:c>
      <x:c r="B502" s="37" t="str">
        <x:v>Alan Yayınları</x:v>
      </x:c>
      <x:c r="C502" s="37" t="str">
        <x:v>9. Sınıf</x:v>
      </x:c>
      <x:c r="D502" s="37" t="str">
        <x:v>Tüm Dersler</x:v>
      </x:c>
      <x:c r="E502" s="37"/>
      <x:c r="F502" s="37" t="str">
        <x:v>Konu Anlatımlı</x:v>
      </x:c>
      <x:c r="G502" s="43" t="n">
        <x:v>500</x:v>
      </x:c>
      <x:c r="H502" s="46" t="str">
        <x:f>IF(SUMIFS('İndirimler'!$C$2:$C$110,'İndirimler'!$A$2:$A$110,B502,'İndirimler'!$B$2:$B$110,C502)&gt;0,ROUND(G502*(1-SUMIFS('İndirimler'!$C$2:$C$110,'İndirimler'!$A$2:$A$110,B502,'İndirimler'!$B$2:$B$110,C502)),2),"")</x:f>
      </x:c>
      <x:c r="I502" s="49" t="str">
        <x:f>IF(SUMIFS('İndirimler'!$D$2:$D$110,'İndirimler'!$A$2:$A$110,B502,'İndirimler'!$B$2:$B$110,C502)&gt;0,ROUND(G502*(1-SUMIFS('İndirimler'!$D$2:$D$110,'İndirimler'!$A$2:$A$110,B502,'İndirimler'!$B$2:$B$110,C502)),2),"")</x:f>
      </x:c>
      <x:c r="J502" s="37"/>
    </x:row>
    <x:row r="503" ht="22" customHeight="1">
      <x:c r="A503" s="40" t="str">
        <x:v>ORNEK00000014</x:v>
      </x:c>
      <x:c r="B503" s="37" t="str">
        <x:v>Alan Yayınları</x:v>
      </x:c>
      <x:c r="C503" s="37" t="str">
        <x:v>9. Sınıf</x:v>
      </x:c>
      <x:c r="D503" s="37" t="str">
        <x:v>Tüm Dersler</x:v>
      </x:c>
      <x:c r="E503" s="37"/>
      <x:c r="F503" s="37" t="str">
        <x:v>Soru Bankası</x:v>
      </x:c>
      <x:c r="G503" s="43" t="n">
        <x:v>500</x:v>
      </x:c>
      <x:c r="H503" s="46" t="str">
        <x:f>IF(SUMIFS('İndirimler'!$C$2:$C$110,'İndirimler'!$A$2:$A$110,B503,'İndirimler'!$B$2:$B$110,C503)&gt;0,ROUND(G503*(1-SUMIFS('İndirimler'!$C$2:$C$110,'İndirimler'!$A$2:$A$110,B503,'İndirimler'!$B$2:$B$110,C503)),2),"")</x:f>
      </x:c>
      <x:c r="I503" s="49" t="str">
        <x:f>IF(SUMIFS('İndirimler'!$D$2:$D$110,'İndirimler'!$A$2:$A$110,B503,'İndirimler'!$B$2:$B$110,C503)&gt;0,ROUND(G503*(1-SUMIFS('İndirimler'!$D$2:$D$110,'İndirimler'!$A$2:$A$110,B503,'İndirimler'!$B$2:$B$110,C503)),2),"")</x:f>
      </x:c>
      <x:c r="J503" s="37"/>
    </x:row>
    <x:row r="504" ht="22" customHeight="1">
      <x:c r="A504" s="40" t="str">
        <x:v>9786256712249</x:v>
      </x:c>
      <x:c r="B504" s="37" t="str">
        <x:v>Bilgi Sarmal Yayınları</x:v>
      </x:c>
      <x:c r="C504" s="37" t="str">
        <x:v>9. Sınıf</x:v>
      </x:c>
      <x:c r="D504" s="37" t="str">
        <x:v>Tüm Dersler</x:v>
      </x:c>
      <x:c r="E504" s="37"/>
      <x:c r="F504" s="37" t="str">
        <x:v>Kamp Kitabı</x:v>
      </x:c>
      <x:c r="G504" s="43" t="n">
        <x:v>159</x:v>
      </x:c>
      <x:c r="H504" s="46" t="str">
        <x:f>IF(SUMIFS('İndirimler'!$C$2:$C$110,'İndirimler'!$A$2:$A$110,B504,'İndirimler'!$B$2:$B$110,C504)&gt;0,ROUND(G504*(1-SUMIFS('İndirimler'!$C$2:$C$110,'İndirimler'!$A$2:$A$110,B504,'İndirimler'!$B$2:$B$110,C504)),2),"")</x:f>
      </x:c>
      <x:c r="I504" s="49" t="str">
        <x:f>IF(SUMIFS('İndirimler'!$D$2:$D$110,'İndirimler'!$A$2:$A$110,B504,'İndirimler'!$B$2:$B$110,C504)&gt;0,ROUND(G504*(1-SUMIFS('İndirimler'!$D$2:$D$110,'İndirimler'!$A$2:$A$110,B504,'İndirimler'!$B$2:$B$110,C504)),2),"")</x:f>
      </x:c>
      <x:c r="J504" s="37"/>
    </x:row>
    <x:row r="505" ht="22" customHeight="1">
      <x:c r="A505" s="40" t="str">
        <x:v>ORNEK00000013</x:v>
      </x:c>
      <x:c r="B505" s="37" t="str">
        <x:v>Alan Yayınları</x:v>
      </x:c>
      <x:c r="C505" s="37" t="str">
        <x:v>10. Sınıf</x:v>
      </x:c>
      <x:c r="D505" s="37" t="str">
        <x:v>Tüm Dersler</x:v>
      </x:c>
      <x:c r="E505" s="37"/>
      <x:c r="F505" s="37" t="str">
        <x:v>Konu Anlatımlı</x:v>
      </x:c>
      <x:c r="G505" s="43" t="n">
        <x:v>500</x:v>
      </x:c>
      <x:c r="H505" s="46" t="str">
        <x:f>IF(SUMIFS('İndirimler'!$C$2:$C$110,'İndirimler'!$A$2:$A$110,B505,'İndirimler'!$B$2:$B$110,C505)&gt;0,ROUND(G505*(1-SUMIFS('İndirimler'!$C$2:$C$110,'İndirimler'!$A$2:$A$110,B505,'İndirimler'!$B$2:$B$110,C505)),2),"")</x:f>
      </x:c>
      <x:c r="I505" s="49" t="str">
        <x:f>IF(SUMIFS('İndirimler'!$D$2:$D$110,'İndirimler'!$A$2:$A$110,B505,'İndirimler'!$B$2:$B$110,C505)&gt;0,ROUND(G505*(1-SUMIFS('İndirimler'!$D$2:$D$110,'İndirimler'!$A$2:$A$110,B505,'İndirimler'!$B$2:$B$110,C505)),2),"")</x:f>
      </x:c>
      <x:c r="J505" s="37"/>
    </x:row>
    <x:row r="506" ht="22" customHeight="1">
      <x:c r="A506" s="40" t="str">
        <x:v>ORNEK00000015</x:v>
      </x:c>
      <x:c r="B506" s="37" t="str">
        <x:v>Alan Yayınları</x:v>
      </x:c>
      <x:c r="C506" s="37" t="str">
        <x:v>10. Sınıf</x:v>
      </x:c>
      <x:c r="D506" s="37" t="str">
        <x:v>Tüm Dersler</x:v>
      </x:c>
      <x:c r="E506" s="37"/>
      <x:c r="F506" s="37" t="str">
        <x:v>Soru Bankası</x:v>
      </x:c>
      <x:c r="G506" s="43" t="n">
        <x:v>500</x:v>
      </x:c>
      <x:c r="H506" s="46" t="str">
        <x:f>IF(SUMIFS('İndirimler'!$C$2:$C$110,'İndirimler'!$A$2:$A$110,B506,'İndirimler'!$B$2:$B$110,C506)&gt;0,ROUND(G506*(1-SUMIFS('İndirimler'!$C$2:$C$110,'İndirimler'!$A$2:$A$110,B506,'İndirimler'!$B$2:$B$110,C506)),2),"")</x:f>
      </x:c>
      <x:c r="I506" s="49" t="str">
        <x:f>IF(SUMIFS('İndirimler'!$D$2:$D$110,'İndirimler'!$A$2:$A$110,B506,'İndirimler'!$B$2:$B$110,C506)&gt;0,ROUND(G506*(1-SUMIFS('İndirimler'!$D$2:$D$110,'İndirimler'!$A$2:$A$110,B506,'İndirimler'!$B$2:$B$110,C506)),2),"")</x:f>
      </x:c>
      <x:c r="J506" s="37"/>
    </x:row>
    <x:row r="507" ht="22" customHeight="1">
      <x:c r="A507" s="40" t="str">
        <x:v>9786256412989</x:v>
      </x:c>
      <x:c r="B507" s="37" t="str">
        <x:v>Miray</x:v>
      </x:c>
      <x:c r="C507" s="37" t="str">
        <x:v>9. Sınıf</x:v>
      </x:c>
      <x:c r="D507" s="37" t="str">
        <x:v>Din Kültürü</x:v>
      </x:c>
      <x:c r="E507" s="37" t="str">
        <x:v>Tematik</x:v>
      </x:c>
      <x:c r="F507" s="37" t="str">
        <x:v>Soru Bankası</x:v>
      </x:c>
      <x:c r="G507" s="43" t="n">
        <x:v>282</x:v>
      </x:c>
      <x:c r="H507" s="46" t="str">
        <x:f>IF(SUMIFS('İndirimler'!$C$2:$C$110,'İndirimler'!$A$2:$A$110,B507,'İndirimler'!$B$2:$B$110,C507)&gt;0,ROUND(G507*(1-SUMIFS('İndirimler'!$C$2:$C$110,'İndirimler'!$A$2:$A$110,B507,'İndirimler'!$B$2:$B$110,C507)),2),"")</x:f>
      </x:c>
      <x:c r="I507" s="49" t="str">
        <x:f>IF(SUMIFS('İndirimler'!$D$2:$D$110,'İndirimler'!$A$2:$A$110,B507,'İndirimler'!$B$2:$B$110,C507)&gt;0,ROUND(G507*(1-SUMIFS('İndirimler'!$D$2:$D$110,'İndirimler'!$A$2:$A$110,B507,'İndirimler'!$B$2:$B$110,C507)),2),"")</x:f>
      </x:c>
      <x:c r="J507" s="37"/>
    </x:row>
    <x:row r="508" ht="22" customHeight="1">
      <x:c r="A508" s="41" t="str">
        <x:v>9786256142275</x:v>
      </x:c>
      <x:c r="B508" s="38" t="str">
        <x:v>Miray</x:v>
      </x:c>
      <x:c r="C508" s="38" t="str">
        <x:v>10. Sınıf</x:v>
      </x:c>
      <x:c r="D508" s="38" t="str">
        <x:v>Din Kültürü</x:v>
      </x:c>
      <x:c r="E508" s="38" t="str">
        <x:v>Tematik</x:v>
      </x:c>
      <x:c r="F508" s="38" t="str">
        <x:v>Soru Bankası</x:v>
      </x:c>
      <x:c r="G508" s="44" t="n">
        <x:v>282</x:v>
      </x:c>
      <x:c r="H508" s="47" t="str">
        <x:f>IF(SUMIFS('İndirimler'!$C$2:$C$110,'İndirimler'!$A$2:$A$110,B508,'İndirimler'!$B$2:$B$110,C508)&gt;0,ROUND(G508*(1-SUMIFS('İndirimler'!$C$2:$C$110,'İndirimler'!$A$2:$A$110,B508,'İndirimler'!$B$2:$B$110,C508)),2),"")</x:f>
      </x:c>
      <x:c r="I508" s="50" t="str">
        <x:f>IF(SUMIFS('İndirimler'!$D$2:$D$110,'İndirimler'!$A$2:$A$110,B508,'İndirimler'!$B$2:$B$110,C508)&gt;0,ROUND(G508*(1-SUMIFS('İndirimler'!$D$2:$D$110,'İndirimler'!$A$2:$A$110,B508,'İndirimler'!$B$2:$B$110,C508)),2),"")</x:f>
      </x:c>
      <x:c r="J508" s="38"/>
    </x:row>
  </x:sheetData>
  <x:pageMargins left="0.7" right="0.7" top="0.75" bottom="0.75" header="0.3" footer="0.3"/>
  <x:tableParts count="1">
    <x:tablePart xmlns:r="http://schemas.openxmlformats.org/officeDocument/2006/relationships" r:id="Rfa5ea9e4dd2b44a1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1" hidden="0" customWidth="1"/>
    <x:col min="2" max="2" width="18" hidden="0" customWidth="1"/>
    <x:col min="3" max="3" width="19" hidden="0" customWidth="1"/>
    <x:col min="4" max="4" width="19" hidden="0" customWidth="1"/>
  </x:cols>
  <x:sheetData>
    <x:row r="1" ht="24" customHeight="1">
      <x:c r="A1" s="4" t="str">
        <x:v>Yayın</x:v>
      </x:c>
      <x:c r="B1" s="4" t="str">
        <x:v>Sınıf</x:v>
      </x:c>
      <x:c r="C1" s="4" t="str">
        <x:v>Tekli İndirim %</x:v>
      </x:c>
      <x:c r="D1" s="4" t="str">
        <x:v>Toplu İndirim %</x:v>
      </x:c>
    </x:row>
    <x:row r="2" ht="24" customHeight="1">
      <x:c r="A2" s="8" t="str">
        <x:v>4K</x:v>
      </x:c>
      <x:c r="B2" s="8" t="str">
        <x:v>10. Sınıf</x:v>
      </x:c>
      <x:c r="C2" s="17"/>
      <x:c r="D2" s="17"/>
    </x:row>
    <x:row r="3" ht="24" customHeight="1">
      <x:c r="A3" s="9" t="str">
        <x:v>4K</x:v>
      </x:c>
      <x:c r="B3" s="9" t="str">
        <x:v>11. Sınıf</x:v>
      </x:c>
      <x:c r="C3" s="18"/>
      <x:c r="D3" s="18"/>
    </x:row>
    <x:row r="4" ht="24" customHeight="1">
      <x:c r="A4" s="9" t="str">
        <x:v>4K</x:v>
      </x:c>
      <x:c r="B4" s="9" t="str">
        <x:v>9. Sınıf</x:v>
      </x:c>
      <x:c r="C4" s="18"/>
      <x:c r="D4" s="18"/>
    </x:row>
    <x:row r="5" ht="24" customHeight="1">
      <x:c r="A5" s="9" t="str">
        <x:v>Acil Yayınları</x:v>
      </x:c>
      <x:c r="B5" s="9" t="str">
        <x:v>10. Sınıf</x:v>
      </x:c>
      <x:c r="C5" s="18"/>
      <x:c r="D5" s="18"/>
    </x:row>
    <x:row r="6" ht="24" customHeight="1">
      <x:c r="A6" s="9" t="str">
        <x:v>Acil Yayınları</x:v>
      </x:c>
      <x:c r="B6" s="9" t="str">
        <x:v>11. Sınıf</x:v>
      </x:c>
      <x:c r="C6" s="18"/>
      <x:c r="D6" s="18"/>
    </x:row>
    <x:row r="7" ht="24" customHeight="1">
      <x:c r="A7" s="9" t="str">
        <x:v>Acil Yayınları</x:v>
      </x:c>
      <x:c r="B7" s="9" t="str">
        <x:v>12. Sınıf</x:v>
      </x:c>
      <x:c r="C7" s="18"/>
      <x:c r="D7" s="18"/>
    </x:row>
    <x:row r="8" ht="24" customHeight="1">
      <x:c r="A8" s="9" t="str">
        <x:v>Acil Yayınları</x:v>
      </x:c>
      <x:c r="B8" s="9" t="str">
        <x:v>9. Sınıf</x:v>
      </x:c>
      <x:c r="C8" s="18"/>
      <x:c r="D8" s="18"/>
    </x:row>
    <x:row r="9" ht="24" customHeight="1">
      <x:c r="A9" s="9" t="str">
        <x:v>Acil Yayınları</x:v>
      </x:c>
      <x:c r="B9" s="9" t="str">
        <x:v>Maarif TYT</x:v>
      </x:c>
      <x:c r="C9" s="18"/>
      <x:c r="D9" s="18"/>
    </x:row>
    <x:row r="10" ht="24" customHeight="1">
      <x:c r="A10" s="9" t="str">
        <x:v>Aktif Öğrenme Yayınları</x:v>
      </x:c>
      <x:c r="B10" s="9" t="str">
        <x:v>10. Sınıf</x:v>
      </x:c>
      <x:c r="C10" s="18"/>
      <x:c r="D10" s="18"/>
    </x:row>
    <x:row r="11" ht="24" customHeight="1">
      <x:c r="A11" s="9" t="str">
        <x:v>Aktif Öğrenme Yayınları</x:v>
      </x:c>
      <x:c r="B11" s="9" t="str">
        <x:v>11. Sınıf</x:v>
      </x:c>
      <x:c r="C11" s="18"/>
      <x:c r="D11" s="18"/>
    </x:row>
    <x:row r="12" ht="24" customHeight="1">
      <x:c r="A12" s="9" t="str">
        <x:v>Aktif Öğrenme Yayınları</x:v>
      </x:c>
      <x:c r="B12" s="9" t="str">
        <x:v>9. Sınıf</x:v>
      </x:c>
      <x:c r="C12" s="18"/>
      <x:c r="D12" s="18"/>
    </x:row>
    <x:row r="13" ht="24" customHeight="1">
      <x:c r="A13" s="9" t="str">
        <x:v>Aktif Öğrenme Yayınları</x:v>
      </x:c>
      <x:c r="B13" s="9" t="str">
        <x:v>Maarif TYT</x:v>
      </x:c>
      <x:c r="C13" s="18"/>
      <x:c r="D13" s="18"/>
    </x:row>
    <x:row r="14" ht="24" customHeight="1">
      <x:c r="A14" s="9" t="str">
        <x:v>Alan Yayınları</x:v>
      </x:c>
      <x:c r="B14" s="9" t="str">
        <x:v>10. Sınıf</x:v>
      </x:c>
      <x:c r="C14" s="18"/>
      <x:c r="D14" s="18"/>
    </x:row>
    <x:row r="15" ht="24" customHeight="1">
      <x:c r="A15" s="9" t="str">
        <x:v>Alan Yayınları</x:v>
      </x:c>
      <x:c r="B15" s="9" t="str">
        <x:v>9. Sınıf</x:v>
      </x:c>
      <x:c r="C15" s="18"/>
      <x:c r="D15" s="18"/>
    </x:row>
    <x:row r="16" ht="24" customHeight="1">
      <x:c r="A16" s="9" t="str">
        <x:v>Apotemi Yayınları</x:v>
      </x:c>
      <x:c r="B16" s="9" t="str">
        <x:v>Maarif TYT</x:v>
      </x:c>
      <x:c r="C16" s="18"/>
      <x:c r="D16" s="18"/>
    </x:row>
    <x:row r="17" ht="24" customHeight="1">
      <x:c r="A17" s="9" t="str">
        <x:v>Aydın</x:v>
      </x:c>
      <x:c r="B17" s="9" t="str">
        <x:v>10. Sınıf</x:v>
      </x:c>
      <x:c r="C17" s="18"/>
      <x:c r="D17" s="18"/>
    </x:row>
    <x:row r="18" ht="24" customHeight="1">
      <x:c r="A18" s="9" t="str">
        <x:v>Aydın</x:v>
      </x:c>
      <x:c r="B18" s="9" t="str">
        <x:v>11. Sınıf</x:v>
      </x:c>
      <x:c r="C18" s="18"/>
      <x:c r="D18" s="18"/>
    </x:row>
    <x:row r="19" ht="24" customHeight="1">
      <x:c r="A19" s="9" t="str">
        <x:v>Aydın</x:v>
      </x:c>
      <x:c r="B19" s="9" t="str">
        <x:v>12. Sınıf</x:v>
      </x:c>
      <x:c r="C19" s="18"/>
      <x:c r="D19" s="18"/>
    </x:row>
    <x:row r="20" ht="24" customHeight="1">
      <x:c r="A20" s="9" t="str">
        <x:v>Aydın</x:v>
      </x:c>
      <x:c r="B20" s="9" t="str">
        <x:v>9. Sınıf</x:v>
      </x:c>
      <x:c r="C20" s="18"/>
      <x:c r="D20" s="18"/>
    </x:row>
    <x:row r="21" ht="24" customHeight="1">
      <x:c r="A21" s="9" t="str">
        <x:v>Aydın</x:v>
      </x:c>
      <x:c r="B21" s="9" t="str">
        <x:v>Maarif TYT</x:v>
      </x:c>
      <x:c r="C21" s="18"/>
      <x:c r="D21" s="18"/>
    </x:row>
    <x:row r="22" ht="24" customHeight="1">
      <x:c r="A22" s="9" t="str">
        <x:v>Bilgi Arşivi Yayınları</x:v>
      </x:c>
      <x:c r="B22" s="9" t="str">
        <x:v>10. Sınıf</x:v>
      </x:c>
      <x:c r="C22" s="18"/>
      <x:c r="D22" s="18"/>
    </x:row>
    <x:row r="23" ht="24" customHeight="1">
      <x:c r="A23" s="9" t="str">
        <x:v>Bilgi Arşivi Yayınları</x:v>
      </x:c>
      <x:c r="B23" s="9" t="str">
        <x:v>11. Sınıf</x:v>
      </x:c>
      <x:c r="C23" s="18"/>
      <x:c r="D23" s="18"/>
    </x:row>
    <x:row r="24" ht="24" customHeight="1">
      <x:c r="A24" s="9" t="str">
        <x:v>Bilgi Arşivi Yayınları</x:v>
      </x:c>
      <x:c r="B24" s="9" t="str">
        <x:v>9. Sınıf</x:v>
      </x:c>
      <x:c r="C24" s="18"/>
      <x:c r="D24" s="18"/>
    </x:row>
    <x:row r="25" ht="24" customHeight="1">
      <x:c r="A25" s="9" t="str">
        <x:v>Bilgi Sarmal Yayınları</x:v>
      </x:c>
      <x:c r="B25" s="9" t="str">
        <x:v>10. Sınıf</x:v>
      </x:c>
      <x:c r="C25" s="18"/>
      <x:c r="D25" s="18"/>
    </x:row>
    <x:row r="26" ht="24" customHeight="1">
      <x:c r="A26" s="9" t="str">
        <x:v>Bilgi Sarmal Yayınları</x:v>
      </x:c>
      <x:c r="B26" s="9" t="str">
        <x:v>11. Sınıf</x:v>
      </x:c>
      <x:c r="C26" s="18"/>
      <x:c r="D26" s="18"/>
    </x:row>
    <x:row r="27" ht="24" customHeight="1">
      <x:c r="A27" s="9" t="str">
        <x:v>Bilgi Sarmal Yayınları</x:v>
      </x:c>
      <x:c r="B27" s="9" t="str">
        <x:v>9. Sınıf</x:v>
      </x:c>
      <x:c r="C27" s="18"/>
      <x:c r="D27" s="18"/>
    </x:row>
    <x:row r="28" ht="24" customHeight="1">
      <x:c r="A28" s="9" t="str">
        <x:v>Bilgi Sarmal Yayınları</x:v>
      </x:c>
      <x:c r="B28" s="9" t="str">
        <x:v>Maarif TYT</x:v>
      </x:c>
      <x:c r="C28" s="18"/>
      <x:c r="D28" s="18"/>
    </x:row>
    <x:row r="29" ht="24" customHeight="1">
      <x:c r="A29" s="9" t="str">
        <x:v>Biyotik Yayınları</x:v>
      </x:c>
      <x:c r="B29" s="9" t="str">
        <x:v>10. Sınıf</x:v>
      </x:c>
      <x:c r="C29" s="18"/>
      <x:c r="D29" s="18"/>
    </x:row>
    <x:row r="30" ht="24" customHeight="1">
      <x:c r="A30" s="9" t="str">
        <x:v>Biyotik Yayınları</x:v>
      </x:c>
      <x:c r="B30" s="9" t="str">
        <x:v>11. Sınıf</x:v>
      </x:c>
      <x:c r="C30" s="18"/>
      <x:c r="D30" s="18"/>
    </x:row>
    <x:row r="31" ht="24" customHeight="1">
      <x:c r="A31" s="9" t="str">
        <x:v>Biyotik Yayınları</x:v>
      </x:c>
      <x:c r="B31" s="9" t="str">
        <x:v>9. Sınıf</x:v>
      </x:c>
      <x:c r="C31" s="18"/>
      <x:c r="D31" s="18"/>
    </x:row>
    <x:row r="32" ht="24" customHeight="1">
      <x:c r="A32" s="9" t="str">
        <x:v>Biyotik Yayınları</x:v>
      </x:c>
      <x:c r="B32" s="9" t="str">
        <x:v>Maarif TYT</x:v>
      </x:c>
      <x:c r="C32" s="18"/>
      <x:c r="D32" s="18"/>
    </x:row>
    <x:row r="33" ht="24" customHeight="1">
      <x:c r="A33" s="9" t="str">
        <x:v>Coğrafya Gurmesi Yayınları</x:v>
      </x:c>
      <x:c r="B33" s="9" t="str">
        <x:v>10. Sınıf</x:v>
      </x:c>
      <x:c r="C33" s="18"/>
      <x:c r="D33" s="18"/>
    </x:row>
    <x:row r="34" ht="24" customHeight="1">
      <x:c r="A34" s="9" t="str">
        <x:v>Coğrafya Gurmesi Yayınları</x:v>
      </x:c>
      <x:c r="B34" s="9" t="str">
        <x:v>11. Sınıf</x:v>
      </x:c>
      <x:c r="C34" s="18"/>
      <x:c r="D34" s="18"/>
    </x:row>
    <x:row r="35" ht="24" customHeight="1">
      <x:c r="A35" s="9" t="str">
        <x:v>Coğrafya Gurmesi Yayınları</x:v>
      </x:c>
      <x:c r="B35" s="9" t="str">
        <x:v>9. Sınıf</x:v>
      </x:c>
      <x:c r="C35" s="18"/>
      <x:c r="D35" s="18"/>
    </x:row>
    <x:row r="36" ht="24" customHeight="1">
      <x:c r="A36" s="9" t="str">
        <x:v>Coğrafya Gurmesi Yayınları</x:v>
      </x:c>
      <x:c r="B36" s="9" t="str">
        <x:v>Maarif TYT</x:v>
      </x:c>
      <x:c r="C36" s="18"/>
      <x:c r="D36" s="18"/>
    </x:row>
    <x:row r="37" ht="24" customHeight="1">
      <x:c r="A37" s="9" t="str">
        <x:v>Çap Yayınları</x:v>
      </x:c>
      <x:c r="B37" s="9" t="str">
        <x:v>10. Sınıf</x:v>
      </x:c>
      <x:c r="C37" s="18"/>
      <x:c r="D37" s="18"/>
    </x:row>
    <x:row r="38" ht="24" customHeight="1">
      <x:c r="A38" s="9" t="str">
        <x:v>Çap Yayınları</x:v>
      </x:c>
      <x:c r="B38" s="9" t="str">
        <x:v>11. Sınıf</x:v>
      </x:c>
      <x:c r="C38" s="18"/>
      <x:c r="D38" s="18"/>
    </x:row>
    <x:row r="39" ht="24" customHeight="1">
      <x:c r="A39" s="9" t="str">
        <x:v>Çap Yayınları</x:v>
      </x:c>
      <x:c r="B39" s="9" t="str">
        <x:v>12. Sınıf</x:v>
      </x:c>
      <x:c r="C39" s="18"/>
      <x:c r="D39" s="18"/>
    </x:row>
    <x:row r="40" ht="24" customHeight="1">
      <x:c r="A40" s="9" t="str">
        <x:v>Çap Yayınları</x:v>
      </x:c>
      <x:c r="B40" s="9" t="str">
        <x:v>9. Sınıf</x:v>
      </x:c>
      <x:c r="C40" s="18"/>
      <x:c r="D40" s="18"/>
    </x:row>
    <x:row r="41" ht="24" customHeight="1">
      <x:c r="A41" s="9" t="str">
        <x:v>Çap Yayınları</x:v>
      </x:c>
      <x:c r="B41" s="9" t="str">
        <x:v>Maarif TYT</x:v>
      </x:c>
      <x:c r="C41" s="18"/>
      <x:c r="D41" s="18"/>
    </x:row>
    <x:row r="42" ht="24" customHeight="1">
      <x:c r="A42" s="9" t="str">
        <x:v>Edebiyat Sokağı Yayınları</x:v>
      </x:c>
      <x:c r="B42" s="9" t="str">
        <x:v>Maarif TYT</x:v>
      </x:c>
      <x:c r="C42" s="18"/>
      <x:c r="D42" s="18"/>
    </x:row>
    <x:row r="43" ht="24" customHeight="1">
      <x:c r="A43" s="9" t="str">
        <x:v>Egzersiz Yayınları</x:v>
      </x:c>
      <x:c r="B43" s="9" t="str">
        <x:v>10. Sınıf</x:v>
      </x:c>
      <x:c r="C43" s="18"/>
      <x:c r="D43" s="18"/>
    </x:row>
    <x:row r="44" ht="24" customHeight="1">
      <x:c r="A44" s="9" t="str">
        <x:v>Egzersiz Yayınları</x:v>
      </x:c>
      <x:c r="B44" s="9" t="str">
        <x:v>11. Sınıf</x:v>
      </x:c>
      <x:c r="C44" s="18"/>
      <x:c r="D44" s="18"/>
    </x:row>
    <x:row r="45" ht="24" customHeight="1">
      <x:c r="A45" s="9" t="str">
        <x:v>Egzersiz Yayınları</x:v>
      </x:c>
      <x:c r="B45" s="9" t="str">
        <x:v>9. Sınıf</x:v>
      </x:c>
      <x:c r="C45" s="18"/>
      <x:c r="D45" s="18"/>
    </x:row>
    <x:row r="46" ht="24" customHeight="1">
      <x:c r="A46" s="9" t="str">
        <x:v>Egzersiz Yayınları</x:v>
      </x:c>
      <x:c r="B46" s="9" t="str">
        <x:v>Maarif TYT</x:v>
      </x:c>
      <x:c r="C46" s="18"/>
      <x:c r="D46" s="18"/>
    </x:row>
    <x:row r="47" ht="24" customHeight="1">
      <x:c r="A47" s="9" t="str">
        <x:v>Eğitim Vadisi</x:v>
      </x:c>
      <x:c r="B47" s="9" t="str">
        <x:v>10. Sınıf</x:v>
      </x:c>
      <x:c r="C47" s="18"/>
      <x:c r="D47" s="18"/>
    </x:row>
    <x:row r="48" ht="24" customHeight="1">
      <x:c r="A48" s="9" t="str">
        <x:v>Eğitim Vadisi</x:v>
      </x:c>
      <x:c r="B48" s="9" t="str">
        <x:v>9. Sınıf</x:v>
      </x:c>
      <x:c r="C48" s="18"/>
      <x:c r="D48" s="18"/>
    </x:row>
    <x:row r="49" ht="24" customHeight="1">
      <x:c r="A49" s="9" t="str">
        <x:v>ENS Yayınları</x:v>
      </x:c>
      <x:c r="B49" s="9" t="str">
        <x:v>10. Sınıf</x:v>
      </x:c>
      <x:c r="C49" s="18"/>
      <x:c r="D49" s="18"/>
    </x:row>
    <x:row r="50" ht="24" customHeight="1">
      <x:c r="A50" s="9" t="str">
        <x:v>ENS Yayınları</x:v>
      </x:c>
      <x:c r="B50" s="9" t="str">
        <x:v>11. Sınıf</x:v>
      </x:c>
      <x:c r="C50" s="18"/>
      <x:c r="D50" s="18"/>
    </x:row>
    <x:row r="51" ht="24" customHeight="1">
      <x:c r="A51" s="9" t="str">
        <x:v>ENS Yayınları</x:v>
      </x:c>
      <x:c r="B51" s="9" t="str">
        <x:v>9. Sınıf</x:v>
      </x:c>
      <x:c r="C51" s="18"/>
      <x:c r="D51" s="18"/>
    </x:row>
    <x:row r="52" ht="24" customHeight="1">
      <x:c r="A52" s="9" t="str">
        <x:v>Etkili Matematik Yayınları</x:v>
      </x:c>
      <x:c r="B52" s="9" t="str">
        <x:v>11. Sınıf</x:v>
      </x:c>
      <x:c r="C52" s="18"/>
      <x:c r="D52" s="18"/>
    </x:row>
    <x:row r="53" ht="24" customHeight="1">
      <x:c r="A53" s="9" t="str">
        <x:v>Fizik Pedia Yayınları</x:v>
      </x:c>
      <x:c r="B53" s="9" t="str">
        <x:v>10. Sınıf</x:v>
      </x:c>
      <x:c r="C53" s="18"/>
      <x:c r="D53" s="18"/>
    </x:row>
    <x:row r="54" ht="24" customHeight="1">
      <x:c r="A54" s="9" t="str">
        <x:v>Fizik Pedia Yayınları</x:v>
      </x:c>
      <x:c r="B54" s="9" t="str">
        <x:v>11. Sınıf</x:v>
      </x:c>
      <x:c r="C54" s="18"/>
      <x:c r="D54" s="18"/>
    </x:row>
    <x:row r="55" ht="24" customHeight="1">
      <x:c r="A55" s="9" t="str">
        <x:v>Fizik Pedia Yayınları</x:v>
      </x:c>
      <x:c r="B55" s="9" t="str">
        <x:v>9. Sınıf</x:v>
      </x:c>
      <x:c r="C55" s="18"/>
      <x:c r="D55" s="18"/>
    </x:row>
    <x:row r="56" ht="24" customHeight="1">
      <x:c r="A56" s="9" t="str">
        <x:v>Fizik Pedia Yayınları</x:v>
      </x:c>
      <x:c r="B56" s="9" t="str">
        <x:v>Maarif TYT</x:v>
      </x:c>
      <x:c r="C56" s="18"/>
      <x:c r="D56" s="18"/>
    </x:row>
    <x:row r="57" ht="24" customHeight="1">
      <x:c r="A57" s="9" t="str">
        <x:v>Full Matematik Yayınları</x:v>
      </x:c>
      <x:c r="B57" s="9" t="str">
        <x:v>10. Sınıf</x:v>
      </x:c>
      <x:c r="C57" s="18"/>
      <x:c r="D57" s="18"/>
    </x:row>
    <x:row r="58" ht="24" customHeight="1">
      <x:c r="A58" s="9" t="str">
        <x:v>Full Matematik Yayınları</x:v>
      </x:c>
      <x:c r="B58" s="9" t="str">
        <x:v>11. Sınıf</x:v>
      </x:c>
      <x:c r="C58" s="18"/>
      <x:c r="D58" s="18"/>
    </x:row>
    <x:row r="59" ht="24" customHeight="1">
      <x:c r="A59" s="9" t="str">
        <x:v>Full Matematik Yayınları</x:v>
      </x:c>
      <x:c r="B59" s="9" t="str">
        <x:v>9. Sınıf</x:v>
      </x:c>
      <x:c r="C59" s="18"/>
      <x:c r="D59" s="18"/>
    </x:row>
    <x:row r="60" ht="24" customHeight="1">
      <x:c r="A60" s="9" t="str">
        <x:v>Full Matematik Yayınları</x:v>
      </x:c>
      <x:c r="B60" s="9" t="str">
        <x:v>Maarif TYT</x:v>
      </x:c>
      <x:c r="C60" s="18"/>
      <x:c r="D60" s="18"/>
    </x:row>
    <x:row r="61" ht="24" customHeight="1">
      <x:c r="A61" s="9" t="str">
        <x:v>Hız ve Renk Yayınları</x:v>
      </x:c>
      <x:c r="B61" s="9" t="str">
        <x:v>10. Sınıf</x:v>
      </x:c>
      <x:c r="C61" s="18"/>
      <x:c r="D61" s="18"/>
    </x:row>
    <x:row r="62" ht="24" customHeight="1">
      <x:c r="A62" s="9" t="str">
        <x:v>Hız ve Renk Yayınları</x:v>
      </x:c>
      <x:c r="B62" s="9" t="str">
        <x:v>11. Sınıf</x:v>
      </x:c>
      <x:c r="C62" s="18"/>
      <x:c r="D62" s="18"/>
    </x:row>
    <x:row r="63" ht="24" customHeight="1">
      <x:c r="A63" s="9" t="str">
        <x:v>Hız ve Renk Yayınları</x:v>
      </x:c>
      <x:c r="B63" s="9" t="str">
        <x:v>9. Sınıf</x:v>
      </x:c>
      <x:c r="C63" s="18"/>
      <x:c r="D63" s="18"/>
    </x:row>
    <x:row r="64" ht="24" customHeight="1">
      <x:c r="A64" s="9" t="str">
        <x:v>Hız ve Renk Yayınları</x:v>
      </x:c>
      <x:c r="B64" s="9" t="str">
        <x:v>Maarif TYT</x:v>
      </x:c>
      <x:c r="C64" s="18"/>
      <x:c r="D64" s="18"/>
    </x:row>
    <x:row r="65" ht="24" customHeight="1">
      <x:c r="A65" s="9" t="str">
        <x:v>Limit</x:v>
      </x:c>
      <x:c r="B65" s="9" t="str">
        <x:v>10. Sınıf</x:v>
      </x:c>
      <x:c r="C65" s="18"/>
      <x:c r="D65" s="18"/>
    </x:row>
    <x:row r="66" ht="24" customHeight="1">
      <x:c r="A66" s="9" t="str">
        <x:v>Limit</x:v>
      </x:c>
      <x:c r="B66" s="9" t="str">
        <x:v>11. Sınıf</x:v>
      </x:c>
      <x:c r="C66" s="18"/>
      <x:c r="D66" s="18"/>
    </x:row>
    <x:row r="67" ht="24" customHeight="1">
      <x:c r="A67" s="9" t="str">
        <x:v>Limit</x:v>
      </x:c>
      <x:c r="B67" s="9" t="str">
        <x:v>9. Sınıf</x:v>
      </x:c>
      <x:c r="C67" s="18"/>
      <x:c r="D67" s="18"/>
    </x:row>
    <x:row r="68" ht="24" customHeight="1">
      <x:c r="A68" s="9" t="str">
        <x:v>Limit</x:v>
      </x:c>
      <x:c r="B68" s="9" t="str">
        <x:v>Maarif TYT</x:v>
      </x:c>
      <x:c r="C68" s="18"/>
      <x:c r="D68" s="18"/>
    </x:row>
    <x:row r="69" ht="24" customHeight="1">
      <x:c r="A69" s="9" t="str">
        <x:v>Mikro Orijinal Yayınları</x:v>
      </x:c>
      <x:c r="B69" s="9" t="str">
        <x:v>10. Sınıf</x:v>
      </x:c>
      <x:c r="C69" s="18"/>
      <x:c r="D69" s="18"/>
    </x:row>
    <x:row r="70" ht="24" customHeight="1">
      <x:c r="A70" s="9" t="str">
        <x:v>Mikro Orijinal Yayınları</x:v>
      </x:c>
      <x:c r="B70" s="9" t="str">
        <x:v>11. Sınıf</x:v>
      </x:c>
      <x:c r="C70" s="18"/>
      <x:c r="D70" s="18"/>
    </x:row>
    <x:row r="71" ht="24" customHeight="1">
      <x:c r="A71" s="9" t="str">
        <x:v>Mikro Orijinal Yayınları</x:v>
      </x:c>
      <x:c r="B71" s="9" t="str">
        <x:v>12. Sınıf</x:v>
      </x:c>
      <x:c r="C71" s="18"/>
      <x:c r="D71" s="18"/>
    </x:row>
    <x:row r="72" ht="24" customHeight="1">
      <x:c r="A72" s="9" t="str">
        <x:v>Mikro Orijinal Yayınları</x:v>
      </x:c>
      <x:c r="B72" s="9" t="str">
        <x:v>9. Sınıf</x:v>
      </x:c>
      <x:c r="C72" s="18"/>
      <x:c r="D72" s="18"/>
    </x:row>
    <x:row r="73" ht="24" customHeight="1">
      <x:c r="A73" s="9" t="str">
        <x:v>Mikro Orijinal Yayınları</x:v>
      </x:c>
      <x:c r="B73" s="9" t="str">
        <x:v>Maarif TYT</x:v>
      </x:c>
      <x:c r="C73" s="18"/>
      <x:c r="D73" s="18"/>
    </x:row>
    <x:row r="74" ht="24" customHeight="1">
      <x:c r="A74" s="9" t="str">
        <x:v>Miray</x:v>
      </x:c>
      <x:c r="B74" s="9" t="str">
        <x:v>10. Sınıf</x:v>
      </x:c>
      <x:c r="C74" s="18"/>
      <x:c r="D74" s="18"/>
    </x:row>
    <x:row r="75" ht="24" customHeight="1">
      <x:c r="A75" s="9" t="str">
        <x:v>Miray</x:v>
      </x:c>
      <x:c r="B75" s="9" t="str">
        <x:v>11. Sınıf</x:v>
      </x:c>
      <x:c r="C75" s="18"/>
      <x:c r="D75" s="18"/>
    </x:row>
    <x:row r="76" ht="24" customHeight="1">
      <x:c r="A76" s="9" t="str">
        <x:v>Miray</x:v>
      </x:c>
      <x:c r="B76" s="9" t="str">
        <x:v>12. Sınıf</x:v>
      </x:c>
      <x:c r="C76" s="18"/>
      <x:c r="D76" s="18"/>
    </x:row>
    <x:row r="77" ht="24" customHeight="1">
      <x:c r="A77" s="9" t="str">
        <x:v>Miray</x:v>
      </x:c>
      <x:c r="B77" s="9" t="str">
        <x:v>9. Sınıf</x:v>
      </x:c>
      <x:c r="C77" s="18"/>
      <x:c r="D77" s="18"/>
    </x:row>
    <x:row r="78" ht="24" customHeight="1">
      <x:c r="A78" s="9" t="str">
        <x:v>Miray</x:v>
      </x:c>
      <x:c r="B78" s="9" t="str">
        <x:v>Maarif TYT</x:v>
      </x:c>
      <x:c r="C78" s="18"/>
      <x:c r="D78" s="18"/>
    </x:row>
    <x:row r="79" ht="24" customHeight="1">
      <x:c r="A79" s="9" t="str">
        <x:v>Oktet Yayınları</x:v>
      </x:c>
      <x:c r="B79" s="9" t="str">
        <x:v>10. Sınıf</x:v>
      </x:c>
      <x:c r="C79" s="18"/>
      <x:c r="D79" s="18"/>
    </x:row>
    <x:row r="80" ht="24" customHeight="1">
      <x:c r="A80" s="9" t="str">
        <x:v>Oktet Yayınları</x:v>
      </x:c>
      <x:c r="B80" s="9" t="str">
        <x:v>11. Sınıf</x:v>
      </x:c>
      <x:c r="C80" s="18"/>
      <x:c r="D80" s="18"/>
    </x:row>
    <x:row r="81" ht="24" customHeight="1">
      <x:c r="A81" s="9" t="str">
        <x:v>Oktet Yayınları</x:v>
      </x:c>
      <x:c r="B81" s="9" t="str">
        <x:v>9. Sınıf</x:v>
      </x:c>
      <x:c r="C81" s="18"/>
      <x:c r="D81" s="18"/>
    </x:row>
    <x:row r="82" ht="24" customHeight="1">
      <x:c r="A82" s="9" t="str">
        <x:v>Oktet Yayınları</x:v>
      </x:c>
      <x:c r="B82" s="9" t="str">
        <x:v>Maarif TYT</x:v>
      </x:c>
      <x:c r="C82" s="18"/>
      <x:c r="D82" s="18"/>
    </x:row>
    <x:row r="83" ht="24" customHeight="1">
      <x:c r="A83" s="9" t="str">
        <x:v>Orbital Yayınları</x:v>
      </x:c>
      <x:c r="B83" s="9" t="str">
        <x:v>10. Sınıf</x:v>
      </x:c>
      <x:c r="C83" s="18"/>
      <x:c r="D83" s="18"/>
    </x:row>
    <x:row r="84" ht="24" customHeight="1">
      <x:c r="A84" s="9" t="str">
        <x:v>Orbital Yayınları</x:v>
      </x:c>
      <x:c r="B84" s="9" t="str">
        <x:v>11. Sınıf</x:v>
      </x:c>
      <x:c r="C84" s="18"/>
      <x:c r="D84" s="18"/>
    </x:row>
    <x:row r="85" ht="24" customHeight="1">
      <x:c r="A85" s="9" t="str">
        <x:v>Orbital Yayınları</x:v>
      </x:c>
      <x:c r="B85" s="9" t="str">
        <x:v>12. Sınıf</x:v>
      </x:c>
      <x:c r="C85" s="18"/>
      <x:c r="D85" s="18"/>
    </x:row>
    <x:row r="86" ht="24" customHeight="1">
      <x:c r="A86" s="9" t="str">
        <x:v>Orbital Yayınları</x:v>
      </x:c>
      <x:c r="B86" s="9" t="str">
        <x:v>9. Sınıf</x:v>
      </x:c>
      <x:c r="C86" s="18"/>
      <x:c r="D86" s="18"/>
    </x:row>
    <x:row r="87" ht="24" customHeight="1">
      <x:c r="A87" s="9" t="str">
        <x:v>Orbital Yayınları</x:v>
      </x:c>
      <x:c r="B87" s="9" t="str">
        <x:v>Maarif TYT</x:v>
      </x:c>
      <x:c r="C87" s="18"/>
      <x:c r="D87" s="18"/>
    </x:row>
    <x:row r="88" ht="24" customHeight="1">
      <x:c r="A88" s="9" t="str">
        <x:v>Orijinal Matematik Yayınları</x:v>
      </x:c>
      <x:c r="B88" s="9" t="str">
        <x:v>10. Sınıf</x:v>
      </x:c>
      <x:c r="C88" s="18"/>
      <x:c r="D88" s="18"/>
    </x:row>
    <x:row r="89" ht="24" customHeight="1">
      <x:c r="A89" s="9" t="str">
        <x:v>Orijinal Matematik Yayınları</x:v>
      </x:c>
      <x:c r="B89" s="9" t="str">
        <x:v>11. Sınıf</x:v>
      </x:c>
      <x:c r="C89" s="18"/>
      <x:c r="D89" s="18"/>
    </x:row>
    <x:row r="90" ht="24" customHeight="1">
      <x:c r="A90" s="9" t="str">
        <x:v>Orijinal Matematik Yayınları</x:v>
      </x:c>
      <x:c r="B90" s="9" t="str">
        <x:v>12. Sınıf</x:v>
      </x:c>
      <x:c r="C90" s="18"/>
      <x:c r="D90" s="18"/>
    </x:row>
    <x:row r="91" ht="24" customHeight="1">
      <x:c r="A91" s="9" t="str">
        <x:v>Orijinal Matematik Yayınları</x:v>
      </x:c>
      <x:c r="B91" s="9" t="str">
        <x:v>9. Sınıf</x:v>
      </x:c>
      <x:c r="C91" s="18"/>
      <x:c r="D91" s="18"/>
    </x:row>
    <x:row r="92" ht="24" customHeight="1">
      <x:c r="A92" s="9" t="str">
        <x:v>Orijinal Matematik Yayınları</x:v>
      </x:c>
      <x:c r="B92" s="9" t="str">
        <x:v>Maarif TYT</x:v>
      </x:c>
      <x:c r="C92" s="18"/>
      <x:c r="D92" s="18"/>
    </x:row>
    <x:row r="93" ht="24" customHeight="1">
      <x:c r="A93" s="9" t="str">
        <x:v>Profizik</x:v>
      </x:c>
      <x:c r="B93" s="9" t="str">
        <x:v>10. Sınıf</x:v>
      </x:c>
      <x:c r="C93" s="18"/>
      <x:c r="D93" s="18"/>
    </x:row>
    <x:row r="94" ht="24" customHeight="1">
      <x:c r="A94" s="9" t="str">
        <x:v>Profizik</x:v>
      </x:c>
      <x:c r="B94" s="9" t="str">
        <x:v>12. Sınıf</x:v>
      </x:c>
      <x:c r="C94" s="18"/>
      <x:c r="D94" s="18"/>
    </x:row>
    <x:row r="95" ht="24" customHeight="1">
      <x:c r="A95" s="9" t="str">
        <x:v>Profizik</x:v>
      </x:c>
      <x:c r="B95" s="9" t="str">
        <x:v>9. Sınıf</x:v>
      </x:c>
      <x:c r="C95" s="18"/>
      <x:c r="D95" s="18"/>
    </x:row>
    <x:row r="96" ht="24" customHeight="1">
      <x:c r="A96" s="9" t="str">
        <x:v>Rehber Matematik Yayınları</x:v>
      </x:c>
      <x:c r="B96" s="9" t="str">
        <x:v>Maarif TYT</x:v>
      </x:c>
      <x:c r="C96" s="18"/>
      <x:c r="D96" s="18"/>
    </x:row>
    <x:row r="97" ht="24" customHeight="1">
      <x:c r="A97" s="9" t="str">
        <x:v>Ritim Biyoloji Yayınları</x:v>
      </x:c>
      <x:c r="B97" s="9" t="str">
        <x:v>10. Sınıf</x:v>
      </x:c>
      <x:c r="C97" s="18"/>
      <x:c r="D97" s="18"/>
    </x:row>
    <x:row r="98" ht="24" customHeight="1">
      <x:c r="A98" s="9" t="str">
        <x:v>Ritim Biyoloji Yayınları</x:v>
      </x:c>
      <x:c r="B98" s="9" t="str">
        <x:v>11. Sınıf</x:v>
      </x:c>
      <x:c r="C98" s="18"/>
      <x:c r="D98" s="18"/>
    </x:row>
    <x:row r="99" ht="24" customHeight="1">
      <x:c r="A99" s="9" t="str">
        <x:v>Ritim Biyoloji Yayınları</x:v>
      </x:c>
      <x:c r="B99" s="9" t="str">
        <x:v>9. Sınıf</x:v>
      </x:c>
      <x:c r="C99" s="18"/>
      <x:c r="D99" s="18"/>
    </x:row>
    <x:row r="100" ht="24" customHeight="1">
      <x:c r="A100" s="9" t="str">
        <x:v>Süre Yayınları</x:v>
      </x:c>
      <x:c r="B100" s="9" t="str">
        <x:v>10. Sınıf</x:v>
      </x:c>
      <x:c r="C100" s="18"/>
      <x:c r="D100" s="18"/>
    </x:row>
    <x:row r="101" ht="24" customHeight="1">
      <x:c r="A101" s="9" t="str">
        <x:v>Süre Yayınları</x:v>
      </x:c>
      <x:c r="B101" s="9" t="str">
        <x:v>11. Sınıf</x:v>
      </x:c>
      <x:c r="C101" s="18"/>
      <x:c r="D101" s="18"/>
    </x:row>
    <x:row r="102" ht="24" customHeight="1">
      <x:c r="A102" s="9" t="str">
        <x:v>Süre Yayınları</x:v>
      </x:c>
      <x:c r="B102" s="9" t="str">
        <x:v>9. Sınıf</x:v>
      </x:c>
      <x:c r="C102" s="18"/>
      <x:c r="D102" s="18"/>
    </x:row>
    <x:row r="103" ht="24" customHeight="1">
      <x:c r="A103" s="9" t="str">
        <x:v>Ulti Yayınları</x:v>
      </x:c>
      <x:c r="B103" s="9" t="str">
        <x:v>10. Sınıf</x:v>
      </x:c>
      <x:c r="C103" s="18"/>
      <x:c r="D103" s="18"/>
    </x:row>
    <x:row r="104" ht="24" customHeight="1">
      <x:c r="A104" s="9" t="str">
        <x:v>Ulti Yayınları</x:v>
      </x:c>
      <x:c r="B104" s="9" t="str">
        <x:v>9. Sınıf</x:v>
      </x:c>
      <x:c r="C104" s="18"/>
      <x:c r="D104" s="18"/>
    </x:row>
    <x:row r="105" ht="24" customHeight="1">
      <x:c r="A105" s="9" t="str">
        <x:v>Viral Yayınları</x:v>
      </x:c>
      <x:c r="B105" s="9" t="str">
        <x:v>Maarif TYT</x:v>
      </x:c>
      <x:c r="C105" s="18"/>
      <x:c r="D105" s="18"/>
    </x:row>
    <x:row r="106" ht="24" customHeight="1">
      <x:c r="A106" s="9" t="str">
        <x:v>Yarıçap Yayınları</x:v>
      </x:c>
      <x:c r="B106" s="9" t="str">
        <x:v>10. Sınıf</x:v>
      </x:c>
      <x:c r="C106" s="18"/>
      <x:c r="D106" s="18"/>
    </x:row>
    <x:row r="107" ht="24" customHeight="1">
      <x:c r="A107" s="9" t="str">
        <x:v>Yarıçap Yayınları</x:v>
      </x:c>
      <x:c r="B107" s="9" t="str">
        <x:v>11. Sınıf</x:v>
      </x:c>
      <x:c r="C107" s="18"/>
      <x:c r="D107" s="18"/>
    </x:row>
    <x:row r="108" ht="24" customHeight="1">
      <x:c r="A108" s="9" t="str">
        <x:v>Yarıçap Yayınları</x:v>
      </x:c>
      <x:c r="B108" s="9" t="str">
        <x:v>12. Sınıf</x:v>
      </x:c>
      <x:c r="C108" s="18"/>
      <x:c r="D108" s="18"/>
    </x:row>
    <x:row r="109" ht="24" customHeight="1">
      <x:c r="A109" s="9" t="str">
        <x:v>Yarıçap Yayınları</x:v>
      </x:c>
      <x:c r="B109" s="9" t="str">
        <x:v>9. Sınıf</x:v>
      </x:c>
      <x:c r="C109" s="18"/>
      <x:c r="D109" s="18"/>
    </x:row>
    <x:row r="110" ht="24" customHeight="1">
      <x:c r="A110" s="10" t="str">
        <x:v>Yarıçap Yayınları</x:v>
      </x:c>
      <x:c r="B110" s="10" t="str">
        <x:v>Maarif TYT</x:v>
      </x:c>
      <x:c r="C110" s="19"/>
      <x:c r="D110" s="19"/>
    </x:row>
  </x:sheetData>
  <x:dataValidations count="1">
    <x:dataValidation type="decimal" operator="between" sqref="C2:D110">
      <x:formula1>0</x:formula1>
      <x:formula2>1</x:formula2>
    </x:dataValidation>
  </x:dataValidations>
  <x:pageMargins left="0.7" right="0.7" top="0.75" bottom="0.75" header="0.3" footer="0.3"/>
  <x:tableParts count="1">
    <x:tablePart xmlns:r="http://schemas.openxmlformats.org/officeDocument/2006/relationships" r:id="R30f867c27463419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78" hidden="0" customWidth="1"/>
  </x:cols>
  <x:sheetData>
    <x:row r="1" ht="30" customHeight="1">
      <x:c r="A1" s="2" t="str">
        <x:v>Tasarım Ayarı</x:v>
      </x:c>
      <x:c r="B1" s="2" t="str">
        <x:v>Değer</x:v>
      </x:c>
    </x:row>
    <x:row r="2" ht="30" customHeight="1">
      <x:c r="A2" s="60" t="str">
        <x:v>Başlık</x:v>
      </x:c>
      <x:c r="B2" s="61" t="str">
        <x:v>2026-2027 Öğretmen Fiyat Listesi</x:v>
      </x:c>
    </x:row>
    <x:row r="3" ht="30" customHeight="1">
      <x:c r="A3" s="60" t="str">
        <x:v>Alt Başlık</x:v>
      </x:c>
      <x:c r="B3" s="61" t="str">
        <x:v>Dersi seçin, sınıflara ayrılmış kitapları ve fiyatları görüntüleyin.</x:v>
      </x:c>
    </x:row>
    <x:row r="4" ht="30" customHeight="1">
      <x:c r="A4" s="60" t="str">
        <x:v>Ana Renk</x:v>
      </x:c>
      <x:c r="B4" s="61" t="str">
        <x:v>#173F5F</x:v>
      </x:c>
    </x:row>
    <x:row r="5" ht="30" customHeight="1">
      <x:c r="A5" s="60" t="str">
        <x:v>Vurgu Rengi</x:v>
      </x:c>
      <x:c r="B5" s="61" t="str">
        <x:v>#F2B134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82" hidden="0" customWidth="1"/>
  </x:cols>
  <x:sheetData>
    <x:row r="1" ht="42" customHeight="1">
      <x:c r="A1" s="52" t="str">
        <x:v>Fiyat Listesi Yönetim Dosyası</x:v>
      </x:c>
      <x:c r="B1" s="52"/>
      <x:c r="C1" s="52"/>
      <x:c r="D1" s="52"/>
      <x:c r="E1" s="52"/>
      <x:c r="F1" s="52"/>
    </x:row>
    <x:row r="3" ht="34" customHeight="1">
      <x:c r="A3" s="57" t="str">
        <x:v>Nasıl kullanılır?</x:v>
      </x:c>
      <x:c r="B3" s="57" t="str"/>
    </x:row>
    <x:row r="4" ht="34" customHeight="1">
      <x:c r="A4" s="58" t="str">
        <x:v>1</x:v>
      </x:c>
      <x:c r="B4" s="58" t="str">
        <x:v>Yeni ürünü Ürünler sayfasındaki tablonun en altına ekleyin.</x:v>
      </x:c>
    </x:row>
    <x:row r="5" ht="34" customHeight="1">
      <x:c r="A5" s="58" t="str">
        <x:v>2</x:v>
      </x:c>
      <x:c r="B5" s="58" t="str">
        <x:v>Fiyat sütunu normal satış fiyatıdır.</x:v>
      </x:c>
    </x:row>
    <x:row r="6" ht="34" customHeight="1">
      <x:c r="A6" s="58" t="str">
        <x:v>3</x:v>
      </x:c>
      <x:c r="B6" s="58" t="str">
        <x:v>İndirimler sayfasında Yayın ve Sınıf bazında Tekli/Toplu indirim oranlarını yazın.</x:v>
      </x:c>
    </x:row>
    <x:row r="7" ht="34" customHeight="1">
      <x:c r="A7" s="58" t="str">
        <x:v>4</x:v>
      </x:c>
      <x:c r="B7" s="58" t="str">
        <x:v>Ürünler sayfasındaki İnd ve Toplu fiyatlar otomatik hesaplanır.</x:v>
      </x:c>
    </x:row>
    <x:row r="8" ht="34" customHeight="1">
      <x:c r="A8" s="58" t="str">
        <x:v>5</x:v>
      </x:c>
      <x:c r="B8" s="58" t="str">
        <x:v>Tanıtım Linki varsa kitap adına otomatik olarak bağlanır.</x:v>
      </x:c>
    </x:row>
    <x:row r="9" ht="34" customHeight="1">
      <x:c r="A9" s="58" t="str">
        <x:v>6</x:v>
      </x:c>
      <x:c r="B9" s="58" t="str">
        <x:v>Dosya GitHub'a yüklendiğinde web programı ve PDF otomatik yenilenir.</x:v>
      </x:c>
    </x:row>
  </x:sheetData>
  <x:mergeCells>
    <x:mergeCell ref="A1:F1"/>
  </x:mergeCells>
  <x:pageMargins left="0.7" right="0.7" top="0.75" bottom="0.75" header="0.3" footer="0.3"/>
</x:worksheet>
</file>