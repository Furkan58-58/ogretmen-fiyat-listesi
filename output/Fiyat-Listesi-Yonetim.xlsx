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44e6fbfd522482e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Ürünler" sheetId="1" r:id="R5da03a1f94064d93"/>
    <x:sheet xmlns:r="http://schemas.openxmlformats.org/officeDocument/2006/relationships" name="İndirimler" sheetId="2" r:id="R280de119b2ef4dd1"/>
    <x:sheet xmlns:r="http://schemas.openxmlformats.org/officeDocument/2006/relationships" name="Tasarım" sheetId="3" r:id="Re076a537326a4e13"/>
    <x:sheet xmlns:r="http://schemas.openxmlformats.org/officeDocument/2006/relationships" name="Kullanım" sheetId="4" r:id="Ra9b9c9a01a124e4b"/>
    <x:sheet xmlns:r="http://schemas.openxmlformats.org/officeDocument/2006/relationships" name="Ayarlar" sheetId="5" r:id="R5e2293e460704ad2"/>
    <x:sheet xmlns:r="http://schemas.openxmlformats.org/officeDocument/2006/relationships" name="Sayfa Ayarları" sheetId="6" r:id="Rea7644fd068e40de"/>
    <x:sheet xmlns:r="http://schemas.openxmlformats.org/officeDocument/2006/relationships" name="İletişim" sheetId="7" r:id="Ra3cbeeadadf34d3a"/>
  </x:sheets>
</x:workbook>
</file>

<file path=xl/sharedStrings.xml><?xml version="1.0" encoding="utf-8"?>
<x:sst xmlns:x="http://schemas.openxmlformats.org/spreadsheetml/2006/main">
  <x:si>
    <x:t xml:space="preserve">Barkod</x:t>
  </x:si>
  <x:si>
    <x:t xml:space="preserve">Yayın</x:t>
  </x:si>
  <x:si>
    <x:t xml:space="preserve">Sınıf</x:t>
  </x:si>
  <x:si>
    <x:t xml:space="preserve">Ders</x:t>
  </x:si>
  <x:si>
    <x:t xml:space="preserve">Genel Tür</x:t>
  </x:si>
  <x:si>
    <x:t xml:space="preserve">Tür</x:t>
  </x:si>
  <x:si>
    <x:t xml:space="preserve">Fiyat</x:t>
  </x:si>
  <x:si>
    <x:t xml:space="preserve">İnd</x:t>
  </x:si>
  <x:si>
    <x:t xml:space="preserve">Toplu</x:t>
  </x:si>
  <x:si>
    <x:t xml:space="preserve">Tanıtım Linki</x:t>
  </x:si>
  <x:si>
    <x:t xml:space="preserve">Yeni Barkodlar</x:t>
  </x:si>
  <x:si>
    <x:t xml:space="preserve">9786256648630</x:t>
  </x:si>
  <x:si>
    <x:t xml:space="preserve">Apotemi Yayınları</x:t>
  </x:si>
  <x:si>
    <x:t xml:space="preserve">Maarif TYT</x:t>
  </x:si>
  <x:si>
    <x:t xml:space="preserve">Türkçe</x:t>
  </x:si>
  <x:si>
    <x:t xml:space="preserve">Paragraf</x:t>
  </x:si>
  <x:si>
    <x:t xml:space="preserve">Soru Bankası</x:t>
  </x:si>
  <x:si>
    <x:t xml:space="preserve">9786256712614</x:t>
  </x:si>
  <x:si>
    <x:t xml:space="preserve">Bilgi Sarmal Yayınları</x:t>
  </x:si>
  <x:si>
    <x:t xml:space="preserve">https://online.fliphtml5.com/udqwy/etww/</x:t>
  </x:si>
  <x:si>
    <x:t xml:space="preserve">9786259206219</x:t>
  </x:si>
  <x:si>
    <x:t xml:space="preserve">Edebiyat Sokağı Yayınları</x:t>
  </x:si>
  <x:si>
    <x:t xml:space="preserve">9786052758861</x:t>
  </x:si>
  <x:si>
    <x:t xml:space="preserve">Limit</x:t>
  </x:si>
  <x:si>
    <x:t xml:space="preserve">ORNEK00000257</x:t>
  </x:si>
  <x:si>
    <x:t xml:space="preserve">Mikro Orijinal Yayınları</x:t>
  </x:si>
  <x:si>
    <x:t xml:space="preserve">Dil Bilgisi</x:t>
  </x:si>
  <x:si>
    <x:t xml:space="preserve">ORNEK00000263</x:t>
  </x:si>
  <x:si>
    <x:t xml:space="preserve">Mikro</x:t>
  </x:si>
  <x:si>
    <x:t xml:space="preserve">9786255708427</x:t>
  </x:si>
  <x:si>
    <x:t xml:space="preserve">Yazım ve Noktalama</x:t>
  </x:si>
  <x:si>
    <x:t xml:space="preserve">9786259205748</x:t>
  </x:si>
  <x:si>
    <x:t xml:space="preserve">Ulti Yayınları</x:t>
  </x:si>
  <x:si>
    <x:t xml:space="preserve">9. Sınıf</x:t>
  </x:si>
  <x:si>
    <x:t xml:space="preserve">Türk Dili ve Edebiyatı</x:t>
  </x:si>
  <x:si>
    <x:t xml:space="preserve">Fasikül Set</x:t>
  </x:si>
  <x:si>
    <x:t xml:space="preserve">https://online.fliphtml5.com/kbscf/eahn/</x:t>
  </x:si>
  <x:si>
    <x:t xml:space="preserve">9786256040229</x:t>
  </x:si>
  <x:si>
    <x:t xml:space="preserve">Çap Yayınları</x:t>
  </x:si>
  <x:si>
    <x:t xml:space="preserve">https://online.fliphtml5.com/chncu/mibj/</x:t>
  </x:si>
  <x:si>
    <x:t xml:space="preserve">ORNEK00000036</x:t>
  </x:si>
  <x:si>
    <x:t xml:space="preserve">Tema</x:t>
  </x:si>
  <x:si>
    <x:t xml:space="preserve">Konu Anlatımlı</x:t>
  </x:si>
  <x:si>
    <x:t xml:space="preserve">9786256630413</x:t>
  </x:si>
  <x:si>
    <x:t xml:space="preserve">Eğitim Vadisi</x:t>
  </x:si>
  <x:si>
    <x:t xml:space="preserve">TAK Tam Anlatım Kitabı</x:t>
  </x:si>
  <x:si>
    <x:t xml:space="preserve">https://app.karakok.net/spShowFlip/1546</x:t>
  </x:si>
  <x:si>
    <x:t xml:space="preserve">9786052756713</x:t>
  </x:si>
  <x:si>
    <x:t xml:space="preserve">https://online.fliphtml5.com/cotrr/kaoj/</x:t>
  </x:si>
  <x:si>
    <x:t xml:space="preserve">9786256412958</x:t>
  </x:si>
  <x:si>
    <x:t xml:space="preserve">Miray</x:t>
  </x:si>
  <x:si>
    <x:t xml:space="preserve">Ders Anlatım Fasikülleri</x:t>
  </x:si>
  <x:si>
    <x:t xml:space="preserve">9786259981284</x:t>
  </x:si>
  <x:si>
    <x:t xml:space="preserve">Süre Yayınları</x:t>
  </x:si>
  <x:si>
    <x:t xml:space="preserve">9786256921481</x:t>
  </x:si>
  <x:si>
    <x:t xml:space="preserve">4K</x:t>
  </x:si>
  <x:si>
    <x:t xml:space="preserve">https://app.karakok.net/spShowFlip/2140</x:t>
  </x:si>
  <x:si>
    <x:t xml:space="preserve">9786256712157</x:t>
  </x:si>
  <x:si>
    <x:t xml:space="preserve">https://online.fliphtml5.com/udqwy/tjur/</x:t>
  </x:si>
  <x:si>
    <x:t xml:space="preserve">9786256630475</x:t>
  </x:si>
  <x:si>
    <x:t xml:space="preserve">TİK Tam İzleme Kitabı</x:t>
  </x:si>
  <x:si>
    <x:t xml:space="preserve">https://app.karakok.net/spShowFlip/1553</x:t>
  </x:si>
  <x:si>
    <x:t xml:space="preserve">9786257532754</x:t>
  </x:si>
  <x:si>
    <x:t xml:space="preserve">Hız ve Renk Yayınları</x:t>
  </x:si>
  <x:si>
    <x:t xml:space="preserve">HİT</x:t>
  </x:si>
  <x:si>
    <x:t xml:space="preserve">https://online.fliphtml5.com/udqwy/ftqu/</x:t>
  </x:si>
  <x:si>
    <x:t xml:space="preserve">9786052756782</x:t>
  </x:si>
  <x:si>
    <x:t xml:space="preserve">https://online.fliphtml5.com/cotrr/cewx/</x:t>
  </x:si>
  <x:si>
    <x:t xml:space="preserve">9786256412835</x:t>
  </x:si>
  <x:si>
    <x:t xml:space="preserve">Tematik</x:t>
  </x:si>
  <x:si>
    <x:t xml:space="preserve">9786256040502</x:t>
  </x:si>
  <x:si>
    <x:t xml:space="preserve">9786258160406</x:t>
  </x:si>
  <x:si>
    <x:t xml:space="preserve">ENS Yayınları</x:t>
  </x:si>
  <x:si>
    <x:t xml:space="preserve">Etkinlik Kitabı</x:t>
  </x:si>
  <x:si>
    <x:t xml:space="preserve">9786258160895</x:t>
  </x:si>
  <x:si>
    <x:t xml:space="preserve">9786259052601</x:t>
  </x:si>
  <x:si>
    <x:t xml:space="preserve">10. Sınıf</x:t>
  </x:si>
  <x:si>
    <x:t xml:space="preserve">https://online.fliphtml5.com/kbscf/nfsd/</x:t>
  </x:si>
  <x:si>
    <x:t xml:space="preserve">9786256040977</x:t>
  </x:si>
  <x:si>
    <x:t xml:space="preserve">https://online.fliphtml5.com/chncu/jgqp/</x:t>
  </x:si>
  <x:si>
    <x:t xml:space="preserve">ORNEK00000040</x:t>
  </x:si>
  <x:si>
    <x:t xml:space="preserve">9786256911680</x:t>
  </x:si>
  <x:si>
    <x:t xml:space="preserve">https://app.karakok.net/spShowFlip/2166</x:t>
  </x:si>
  <x:si>
    <x:t xml:space="preserve">9786052757567</x:t>
  </x:si>
  <x:si>
    <x:t xml:space="preserve">https://online.fliphtml5.com/cotrr/qanl/</x:t>
  </x:si>
  <x:si>
    <x:t xml:space="preserve">9786256142176</x:t>
  </x:si>
  <x:si>
    <x:t xml:space="preserve">9786256921740</x:t>
  </x:si>
  <x:si>
    <x:t xml:space="preserve">https://app.karakok.net/spShowFlip/1917</x:t>
  </x:si>
  <x:si>
    <x:t xml:space="preserve">9786256712409</x:t>
  </x:si>
  <x:si>
    <x:t xml:space="preserve">https://online.fliphtml5.com/udqwy/peka/</x:t>
  </x:si>
  <x:si>
    <x:t xml:space="preserve">9786256457256</x:t>
  </x:si>
  <x:si>
    <x:t xml:space="preserve">https://app.karakok.net/spShowFlip/2167</x:t>
  </x:si>
  <x:si>
    <x:t xml:space="preserve">9786257532914</x:t>
  </x:si>
  <x:si>
    <x:t xml:space="preserve">https://online.fliphtml5.com/udqwy/qkos/</x:t>
  </x:si>
  <x:si>
    <x:t xml:space="preserve">9786052757574</x:t>
  </x:si>
  <x:si>
    <x:t xml:space="preserve">https://online.fliphtml5.com/cotrr/mdzj/</x:t>
  </x:si>
  <x:si>
    <x:t xml:space="preserve">9786256142190</x:t>
  </x:si>
  <x:si>
    <x:t xml:space="preserve">9786259981291</x:t>
  </x:si>
  <x:si>
    <x:t xml:space="preserve">9786255801043</x:t>
  </x:si>
  <x:si>
    <x:t xml:space="preserve">9786258160673</x:t>
  </x:si>
  <x:si>
    <x:t xml:space="preserve">ORNEK00000059</x:t>
  </x:si>
  <x:si>
    <x:t xml:space="preserve">11. Sınıf</x:t>
  </x:si>
  <x:si>
    <x:t xml:space="preserve">ORNEK00000045</x:t>
  </x:si>
  <x:si>
    <x:t xml:space="preserve">ORNEK00000072</x:t>
  </x:si>
  <x:si>
    <x:t xml:space="preserve">Defter</x:t>
  </x:si>
  <x:si>
    <x:t xml:space="preserve">9786052754122</x:t>
  </x:si>
  <x:si>
    <x:t xml:space="preserve">https://online.fliphtml5.com/cotrr/ykpf/</x:t>
  </x:si>
  <x:si>
    <x:t xml:space="preserve">9786256142664</x:t>
  </x:si>
  <x:si>
    <x:t xml:space="preserve">9786256921962</x:t>
  </x:si>
  <x:si>
    <x:t xml:space="preserve">ORNEK00000024</x:t>
  </x:si>
  <x:si>
    <x:t xml:space="preserve">ORNEK00000095</x:t>
  </x:si>
  <x:si>
    <x:t xml:space="preserve">https://online.fliphtml5.com/udqwy/tioy/</x:t>
  </x:si>
  <x:si>
    <x:t xml:space="preserve">9786052753781</x:t>
  </x:si>
  <x:si>
    <x:t xml:space="preserve">https://online.fliphtml5.com/cotrr/behf/</x:t>
  </x:si>
  <x:si>
    <x:t xml:space="preserve">9786256142671</x:t>
  </x:si>
  <x:si>
    <x:t xml:space="preserve">ORNEK00000111</x:t>
  </x:si>
  <x:si>
    <x:t xml:space="preserve">ORNEK00000063</x:t>
  </x:si>
  <x:si>
    <x:t xml:space="preserve">ORNEK00000080</x:t>
  </x:si>
  <x:si>
    <x:t xml:space="preserve">9786259012292</x:t>
  </x:si>
  <x:si>
    <x:t xml:space="preserve">9786257134484</x:t>
  </x:si>
  <x:si>
    <x:t xml:space="preserve">Acil Yayınları</x:t>
  </x:si>
  <x:si>
    <x:t xml:space="preserve">Matematik</x:t>
  </x:si>
  <x:si>
    <x:t xml:space="preserve">9786257134903</x:t>
  </x:si>
  <x:si>
    <x:t xml:space="preserve">ORNEK00000009</x:t>
  </x:si>
  <x:si>
    <x:t xml:space="preserve">Aktif Öğrenme Yayınları</x:t>
  </x:si>
  <x:si>
    <x:t xml:space="preserve">Prime</x:t>
  </x:si>
  <x:si>
    <x:t xml:space="preserve">9786256531451</x:t>
  </x:si>
  <x:si>
    <x:t xml:space="preserve">MÖF</x:t>
  </x:si>
  <x:si>
    <x:t xml:space="preserve">9786255708076</x:t>
  </x:si>
  <x:si>
    <x:t xml:space="preserve">Orijinal Matematik Yayınları</x:t>
  </x:si>
  <x:si>
    <x:t xml:space="preserve">ODF</x:t>
  </x:si>
  <x:si>
    <x:t xml:space="preserve">9786256531536</x:t>
  </x:si>
  <x:si>
    <x:t xml:space="preserve">9786259205762</x:t>
  </x:si>
  <x:si>
    <x:t xml:space="preserve">https://online.fliphtml5.com/kbscf/wtkw/</x:t>
  </x:si>
  <x:si>
    <x:t xml:space="preserve">9786057997326</x:t>
  </x:si>
  <x:si>
    <x:t xml:space="preserve">Yarıçap Yayınları</x:t>
  </x:si>
  <x:si>
    <x:t xml:space="preserve">9786256040328</x:t>
  </x:si>
  <x:si>
    <x:t xml:space="preserve">https://online.fliphtml5.com/chncu/xxtv/</x:t>
  </x:si>
  <x:si>
    <x:t xml:space="preserve">9786256142121</x:t>
  </x:si>
  <x:si>
    <x:t xml:space="preserve">Aydın</x:t>
  </x:si>
  <x:si>
    <x:t xml:space="preserve">Tematik / Ders İşleyiş Modülleri</x:t>
  </x:si>
  <x:si>
    <x:t xml:space="preserve">https://online.fliphtml5.com/wrbmv/lxrj/#p=1</x:t>
  </x:si>
  <x:si>
    <x:t xml:space="preserve">9786256630420</x:t>
  </x:si>
  <x:si>
    <x:t xml:space="preserve">Tematik / TAK Tam Anlatım Kitabı</x:t>
  </x:si>
  <x:si>
    <x:t xml:space="preserve">https://app.karakok.net/spShowFlip/1549</x:t>
  </x:si>
  <x:si>
    <x:t xml:space="preserve">9786052756706</x:t>
  </x:si>
  <x:si>
    <x:t xml:space="preserve">Konu Anlatımlı 1</x:t>
  </x:si>
  <x:si>
    <x:t xml:space="preserve">https://online.fliphtml5.com/cotrr/puqp/</x:t>
  </x:si>
  <x:si>
    <x:t xml:space="preserve">9786052757048</x:t>
  </x:si>
  <x:si>
    <x:t xml:space="preserve">Konu Anlatımlı 2</x:t>
  </x:si>
  <x:si>
    <x:t xml:space="preserve">https://online.fliphtml5.com/cotrr/btbf/</x:t>
  </x:si>
  <x:si>
    <x:t xml:space="preserve">9786256412965</x:t>
  </x:si>
  <x:si>
    <x:t xml:space="preserve">Tematik / Ders Anlatım Fasikülleri</x:t>
  </x:si>
  <x:si>
    <x:t xml:space="preserve">9786256921559</x:t>
  </x:si>
  <x:si>
    <x:t xml:space="preserve">https://app.karakok.net/spShowFlip/2143</x:t>
  </x:si>
  <x:si>
    <x:t xml:space="preserve">9786257134477</x:t>
  </x:si>
  <x:si>
    <x:t xml:space="preserve">9786255811134</x:t>
  </x:si>
  <x:si>
    <x:t xml:space="preserve">Matematiğin İlacı</x:t>
  </x:si>
  <x:si>
    <x:t xml:space="preserve">9786256412804</x:t>
  </x:si>
  <x:si>
    <x:t xml:space="preserve">https://online.fliphtml5.com/wrbmv/yois/#p=1</x:t>
  </x:si>
  <x:si>
    <x:t xml:space="preserve">9786259800943</x:t>
  </x:si>
  <x:si>
    <x:t xml:space="preserve">https://online.fliphtml5.com/udqwy/wobl/</x:t>
  </x:si>
  <x:si>
    <x:t xml:space="preserve">9786256712447</x:t>
  </x:si>
  <x:si>
    <x:t xml:space="preserve">9786256630482</x:t>
  </x:si>
  <x:si>
    <x:t xml:space="preserve">Tematik / TİK Tam İzleme Kitabı</x:t>
  </x:si>
  <x:si>
    <x:t xml:space="preserve">https://app.karakok.net/spShowFlip/1556</x:t>
  </x:si>
  <x:si>
    <x:t xml:space="preserve">9786259682297</x:t>
  </x:si>
  <x:si>
    <x:t xml:space="preserve">Full Matematik Yayınları</x:t>
  </x:si>
  <x:si>
    <x:t xml:space="preserve">9786257532860</x:t>
  </x:si>
  <x:si>
    <x:t xml:space="preserve">https://online.fliphtml5.com/udqwy/lark/</x:t>
  </x:si>
  <x:si>
    <x:t xml:space="preserve">9786052756775</x:t>
  </x:si>
  <x:si>
    <x:t xml:space="preserve">https://online.fliphtml5.com/cotrr/uoyw/</x:t>
  </x:si>
  <x:si>
    <x:t xml:space="preserve">ORNEK00000254</x:t>
  </x:si>
  <x:si>
    <x:t xml:space="preserve">9786256142008</x:t>
  </x:si>
  <x:si>
    <x:t xml:space="preserve">9786256531765</x:t>
  </x:si>
  <x:si>
    <x:t xml:space="preserve">9786057997319</x:t>
  </x:si>
  <x:si>
    <x:t xml:space="preserve">9786256040489</x:t>
  </x:si>
  <x:si>
    <x:t xml:space="preserve">https://online.fliphtml5.com/chncu/ynai/</x:t>
  </x:si>
  <x:si>
    <x:t xml:space="preserve">9786258160871</x:t>
  </x:si>
  <x:si>
    <x:t xml:space="preserve">9786255811042</x:t>
  </x:si>
  <x:si>
    <x:t xml:space="preserve">ORNEK00000010</x:t>
  </x:si>
  <x:si>
    <x:t xml:space="preserve">9786256531826</x:t>
  </x:si>
  <x:si>
    <x:t xml:space="preserve">9786255708083</x:t>
  </x:si>
  <x:si>
    <x:t xml:space="preserve">9786259052618</x:t>
  </x:si>
  <x:si>
    <x:t xml:space="preserve">https://online.fliphtml5.com/kbscf/ifyh/</x:t>
  </x:si>
  <x:si>
    <x:t xml:space="preserve">9786057997432</x:t>
  </x:si>
  <x:si>
    <x:t xml:space="preserve">9786255801005</x:t>
  </x:si>
  <x:si>
    <x:t xml:space="preserve">https://online.fliphtml5.com/chncu/iosj/</x:t>
  </x:si>
  <x:si>
    <x:t xml:space="preserve">9786256142138</x:t>
  </x:si>
  <x:si>
    <x:t xml:space="preserve">https://online.fliphtml5.com/wrbmv/muup/#p=1</x:t>
  </x:si>
  <x:si>
    <x:t xml:space="preserve">9786256457225</x:t>
  </x:si>
  <x:si>
    <x:t xml:space="preserve">https://app.karakok.net/spShowFlip/2173</x:t>
  </x:si>
  <x:si>
    <x:t xml:space="preserve">9786052757581</x:t>
  </x:si>
  <x:si>
    <x:t xml:space="preserve">9786256142152</x:t>
  </x:si>
  <x:si>
    <x:t xml:space="preserve">9786256921757</x:t>
  </x:si>
  <x:si>
    <x:t xml:space="preserve">https://app.karakok.net/spShowFlip/1921</x:t>
  </x:si>
  <x:si>
    <x:t xml:space="preserve">9786255811059</x:t>
  </x:si>
  <x:si>
    <x:t xml:space="preserve">9786255811066</x:t>
  </x:si>
  <x:si>
    <x:t xml:space="preserve">9786256142145</x:t>
  </x:si>
  <x:si>
    <x:t xml:space="preserve">https://online.fliphtml5.com/wrbmv/hicw/</x:t>
  </x:si>
  <x:si>
    <x:t xml:space="preserve">9786256712430</x:t>
  </x:si>
  <x:si>
    <x:t xml:space="preserve">https://online.fliphtml5.com/udqwy/mdvp/</x:t>
  </x:si>
  <x:si>
    <x:t xml:space="preserve">9786256712454</x:t>
  </x:si>
  <x:si>
    <x:t xml:space="preserve">9786256911314</x:t>
  </x:si>
  <x:si>
    <x:t xml:space="preserve">https://app.karakok.net/spShowFlip/2250</x:t>
  </x:si>
  <x:si>
    <x:t xml:space="preserve">9786259399805</x:t>
  </x:si>
  <x:si>
    <x:t xml:space="preserve">9786257532945</x:t>
  </x:si>
  <x:si>
    <x:t xml:space="preserve">https://online.fliphtml5.com/udqwy/aois/</x:t>
  </x:si>
  <x:si>
    <x:t xml:space="preserve">9786052757598</x:t>
  </x:si>
  <x:si>
    <x:t xml:space="preserve">https://online.fliphtml5.com/cotrr/sonr/</x:t>
  </x:si>
  <x:si>
    <x:t xml:space="preserve">ORNEK00000255</x:t>
  </x:si>
  <x:si>
    <x:t xml:space="preserve">9786256142169</x:t>
  </x:si>
  <x:si>
    <x:t xml:space="preserve">9786256531772</x:t>
  </x:si>
  <x:si>
    <x:t xml:space="preserve">9786057997449</x:t>
  </x:si>
  <x:si>
    <x:t xml:space="preserve">9786255801173</x:t>
  </x:si>
  <x:si>
    <x:t xml:space="preserve">https://online.fliphtml5.com/chncu/zbnn/</x:t>
  </x:si>
  <x:si>
    <x:t xml:space="preserve">9786258160888</x:t>
  </x:si>
  <x:si>
    <x:t xml:space="preserve">ORNEK00000001</x:t>
  </x:si>
  <x:si>
    <x:t xml:space="preserve">ORNEK00000011</x:t>
  </x:si>
  <x:si>
    <x:t xml:space="preserve">ORNEK00000107</x:t>
  </x:si>
  <x:si>
    <x:t xml:space="preserve">ORNEK00000108</x:t>
  </x:si>
  <x:si>
    <x:t xml:space="preserve">9786057997494</x:t>
  </x:si>
  <x:si>
    <x:t xml:space="preserve">ORNEK00000058</x:t>
  </x:si>
  <x:si>
    <x:t xml:space="preserve">9786057710055</x:t>
  </x:si>
  <x:si>
    <x:t xml:space="preserve">ORNEK00000041</x:t>
  </x:si>
  <x:si>
    <x:t xml:space="preserve">ORNEK00000076</x:t>
  </x:si>
  <x:si>
    <x:t xml:space="preserve">9786256349063</x:t>
  </x:si>
  <x:si>
    <x:t xml:space="preserve">Etkili Matematik Yayınları</x:t>
  </x:si>
  <x:si>
    <x:t xml:space="preserve">9786052754146</x:t>
  </x:si>
  <x:si>
    <x:t xml:space="preserve">https://online.fliphtml5.com/cotrr/vrgv/</x:t>
  </x:si>
  <x:si>
    <x:t xml:space="preserve">9786256142640</x:t>
  </x:si>
  <x:si>
    <x:t xml:space="preserve">9786256921924</x:t>
  </x:si>
  <x:si>
    <x:t xml:space="preserve">ORNEK00000002</x:t>
  </x:si>
  <x:si>
    <x:t xml:space="preserve">ORNEK00000003</x:t>
  </x:si>
  <x:si>
    <x:t xml:space="preserve">İlacı</x:t>
  </x:si>
  <x:si>
    <x:t xml:space="preserve">9786057710116</x:t>
  </x:si>
  <x:si>
    <x:t xml:space="preserve">ORNEK00000022</x:t>
  </x:si>
  <x:si>
    <x:t xml:space="preserve">ORNEK00000088</x:t>
  </x:si>
  <x:si>
    <x:t xml:space="preserve">ORNEK00000098</x:t>
  </x:si>
  <x:si>
    <x:t xml:space="preserve">https://online.fliphtml5.com/udqwy/afjs/</x:t>
  </x:si>
  <x:si>
    <x:t xml:space="preserve">9786052753972</x:t>
  </x:si>
  <x:si>
    <x:t xml:space="preserve">https://online.fliphtml5.com/cotrr/kgkl/</x:t>
  </x:si>
  <x:si>
    <x:t xml:space="preserve">ORNEK00000256</x:t>
  </x:si>
  <x:si>
    <x:t xml:space="preserve">9786256142657</x:t>
  </x:si>
  <x:si>
    <x:t xml:space="preserve">ORNEK00000109</x:t>
  </x:si>
  <x:si>
    <x:t xml:space="preserve">ORNEK00000113</x:t>
  </x:si>
  <x:si>
    <x:t xml:space="preserve">ORNEK00000067</x:t>
  </x:si>
  <x:si>
    <x:t xml:space="preserve">ORNEK00000084</x:t>
  </x:si>
  <x:si>
    <x:t xml:space="preserve">9786257134668</x:t>
  </x:si>
  <x:si>
    <x:t xml:space="preserve">12. Sınıf</x:t>
  </x:si>
  <x:si>
    <x:t xml:space="preserve">9786256531642</x:t>
  </x:si>
  <x:si>
    <x:t xml:space="preserve">9786256531062</x:t>
  </x:si>
  <x:si>
    <x:t xml:space="preserve">9786057997296</x:t>
  </x:si>
  <x:si>
    <x:t xml:space="preserve">9786258139136</x:t>
  </x:si>
  <x:si>
    <x:t xml:space="preserve">Anadolu</x:t>
  </x:si>
  <x:si>
    <x:t xml:space="preserve">https://online.fliphtml5.com/chncu/naki/</x:t>
  </x:si>
  <x:si>
    <x:t xml:space="preserve">9786258139440</x:t>
  </x:si>
  <x:si>
    <x:t xml:space="preserve">Fen Lisesi</x:t>
  </x:si>
  <x:si>
    <x:t xml:space="preserve">https://online.fliphtml5.com/chncu/dhzq/</x:t>
  </x:si>
  <x:si>
    <x:t xml:space="preserve">9786258104318</x:t>
  </x:si>
  <x:si>
    <x:t xml:space="preserve">https://online.fliphtml5.com/wrbmv/cyqo/#p=1</x:t>
  </x:si>
  <x:si>
    <x:t xml:space="preserve">9786256412460</x:t>
  </x:si>
  <x:si>
    <x:t xml:space="preserve">9786255708373</x:t>
  </x:si>
  <x:si>
    <x:t xml:space="preserve">ORNEK00000004</x:t>
  </x:si>
  <x:si>
    <x:t xml:space="preserve">9786255811110</x:t>
  </x:si>
  <x:si>
    <x:t xml:space="preserve">Sistematik</x:t>
  </x:si>
  <x:si>
    <x:t xml:space="preserve">ORNEK00000008</x:t>
  </x:si>
  <x:si>
    <x:t xml:space="preserve">0 Dan Başlayanlara</x:t>
  </x:si>
  <x:si>
    <x:t xml:space="preserve">9786258188141</x:t>
  </x:si>
  <x:si>
    <x:t xml:space="preserve">9786256142435</x:t>
  </x:si>
  <x:si>
    <x:t xml:space="preserve">9786256712591</x:t>
  </x:si>
  <x:si>
    <x:t xml:space="preserve">https://online.fliphtml5.com/udqwy/dssa/</x:t>
  </x:si>
  <x:si>
    <x:t xml:space="preserve">ORNEK00000089</x:t>
  </x:si>
  <x:si>
    <x:t xml:space="preserve">Nicelik Değişimler</x:t>
  </x:si>
  <x:si>
    <x:t xml:space="preserve">ORNEK00000091</x:t>
  </x:si>
  <x:si>
    <x:t xml:space="preserve">Sayılar</x:t>
  </x:si>
  <x:si>
    <x:t xml:space="preserve">9786052758892</x:t>
  </x:si>
  <x:si>
    <x:t xml:space="preserve">ORNEK00000261</x:t>
  </x:si>
  <x:si>
    <x:t xml:space="preserve">9786255708281</x:t>
  </x:si>
  <x:si>
    <x:t xml:space="preserve">ORNEK00000268</x:t>
  </x:si>
  <x:si>
    <x:t xml:space="preserve">Sıfır</x:t>
  </x:si>
  <x:si>
    <x:t xml:space="preserve">9786256142398</x:t>
  </x:si>
  <x:si>
    <x:t xml:space="preserve">9786255708304</x:t>
  </x:si>
  <x:si>
    <x:t xml:space="preserve">ORNEK00000267</x:t>
  </x:si>
  <x:si>
    <x:t xml:space="preserve">9786259266527</x:t>
  </x:si>
  <x:si>
    <x:t xml:space="preserve">Viral Yayınları</x:t>
  </x:si>
  <x:si>
    <x:t xml:space="preserve">9786057997500</x:t>
  </x:si>
  <x:si>
    <x:t xml:space="preserve">9786259012285</x:t>
  </x:si>
  <x:si>
    <x:t xml:space="preserve">9786259195421</x:t>
  </x:si>
  <x:si>
    <x:t xml:space="preserve">Rehber Matematik Yayınları</x:t>
  </x:si>
  <x:si>
    <x:t xml:space="preserve">Video Ders Kitabı</x:t>
  </x:si>
  <x:si>
    <x:t xml:space="preserve">9786255708410</x:t>
  </x:si>
  <x:si>
    <x:t xml:space="preserve">Geometri</x:t>
  </x:si>
  <x:si>
    <x:t xml:space="preserve">9786255811127</x:t>
  </x:si>
  <x:si>
    <x:t xml:space="preserve">ORNEK00000005</x:t>
  </x:si>
  <x:si>
    <x:t xml:space="preserve">ORNEK00000007</x:t>
  </x:si>
  <x:si>
    <x:t xml:space="preserve">9786256712607</x:t>
  </x:si>
  <x:si>
    <x:t xml:space="preserve">https://online.fliphtml5.com/udqwy/xruh/</x:t>
  </x:si>
  <x:si>
    <x:t xml:space="preserve">ORNEK00000090</x:t>
  </x:si>
  <x:si>
    <x:t xml:space="preserve">Üçgenler</x:t>
  </x:si>
  <x:si>
    <x:t xml:space="preserve">9786052758908</x:t>
  </x:si>
  <x:si>
    <x:t xml:space="preserve">ORNEK00000259</x:t>
  </x:si>
  <x:si>
    <x:t xml:space="preserve">9786255708298</x:t>
  </x:si>
  <x:si>
    <x:t xml:space="preserve">ORNEK00000269</x:t>
  </x:si>
  <x:si>
    <x:t xml:space="preserve">9786256142466</x:t>
  </x:si>
  <x:si>
    <x:t xml:space="preserve">ORNEK00000266</x:t>
  </x:si>
  <x:si>
    <x:t xml:space="preserve">9786259794716</x:t>
  </x:si>
  <x:si>
    <x:t xml:space="preserve">Fizik Pedia Yayınları</x:t>
  </x:si>
  <x:si>
    <x:t xml:space="preserve">Fizik</x:t>
  </x:si>
  <x:si>
    <x:t xml:space="preserve">Kavramsal</x:t>
  </x:si>
  <x:si>
    <x:t xml:space="preserve">9786256531857</x:t>
  </x:si>
  <x:si>
    <x:t xml:space="preserve">9786256531864</x:t>
  </x:si>
  <x:si>
    <x:t xml:space="preserve">9786259205700</x:t>
  </x:si>
  <x:si>
    <x:t xml:space="preserve">https://online.fliphtml5.com/kbscf/bilu/</x:t>
  </x:si>
  <x:si>
    <x:t xml:space="preserve">9786256040250</x:t>
  </x:si>
  <x:si>
    <x:t xml:space="preserve">https://online.fliphtml5.com/chncu/zgpd/</x:t>
  </x:si>
  <x:si>
    <x:t xml:space="preserve">9786256142237</x:t>
  </x:si>
  <x:si>
    <x:t xml:space="preserve">Ders İşleyiş Modülleri</x:t>
  </x:si>
  <x:si>
    <x:t xml:space="preserve">https://online.fliphtml5.com/wrbmv/jhtg/</x:t>
  </x:si>
  <x:si>
    <x:t xml:space="preserve">ORNEK00000033</x:t>
  </x:si>
  <x:si>
    <x:t xml:space="preserve">9786256630437</x:t>
  </x:si>
  <x:si>
    <x:t xml:space="preserve">https://app.karakok.net/spShowFlip/1547</x:t>
  </x:si>
  <x:si>
    <x:t xml:space="preserve">9786052756676</x:t>
  </x:si>
  <x:si>
    <x:t xml:space="preserve">https://online.fliphtml5.com/cotrr/ywyp/</x:t>
  </x:si>
  <x:si>
    <x:t xml:space="preserve">9786256412767</x:t>
  </x:si>
  <x:si>
    <x:t xml:space="preserve">9786259626802</x:t>
  </x:si>
  <x:si>
    <x:t xml:space="preserve">Profizik</x:t>
  </x:si>
  <x:si>
    <x:t xml:space="preserve">9786256921511</x:t>
  </x:si>
  <x:si>
    <x:t xml:space="preserve">https://app.karakok.net/spShowFlip/2141</x:t>
  </x:si>
  <x:si>
    <x:t xml:space="preserve">9786256412811</x:t>
  </x:si>
  <x:si>
    <x:t xml:space="preserve">https://online.fliphtml5.com/wrbmv/etlo/</x:t>
  </x:si>
  <x:si>
    <x:t xml:space="preserve">9786256712164</x:t>
  </x:si>
  <x:si>
    <x:t xml:space="preserve">https://online.fliphtml5.com/udqwy/myzu/</x:t>
  </x:si>
  <x:si>
    <x:t xml:space="preserve">9786259429755</x:t>
  </x:si>
  <x:si>
    <x:t xml:space="preserve">Egzersiz Yayınları</x:t>
  </x:si>
  <x:si>
    <x:t xml:space="preserve">9786256630499</x:t>
  </x:si>
  <x:si>
    <x:t xml:space="preserve">https://app.karakok.net/spShowFlip/1554</x:t>
  </x:si>
  <x:si>
    <x:t xml:space="preserve">ORNEK00000285</x:t>
  </x:si>
  <x:si>
    <x:t xml:space="preserve">9786259695433</x:t>
  </x:si>
  <x:si>
    <x:t xml:space="preserve">9786258160444</x:t>
  </x:si>
  <x:si>
    <x:t xml:space="preserve">https://online.fliphtml5.com/udqwy/qqfx/</x:t>
  </x:si>
  <x:si>
    <x:t xml:space="preserve">9786052756744</x:t>
  </x:si>
  <x:si>
    <x:t xml:space="preserve">https://online.fliphtml5.com/cotrr/ebfi/</x:t>
  </x:si>
  <x:si>
    <x:t xml:space="preserve">9786256412774</x:t>
  </x:si>
  <x:si>
    <x:t xml:space="preserve">9786256040595</x:t>
  </x:si>
  <x:si>
    <x:t xml:space="preserve">https://online.fliphtml5.com/chncu/xwmz/</x:t>
  </x:si>
  <x:si>
    <x:t xml:space="preserve">9786258160628</x:t>
  </x:si>
  <x:si>
    <x:t xml:space="preserve">9786259066929</x:t>
  </x:si>
  <x:si>
    <x:t xml:space="preserve">9786259794778</x:t>
  </x:si>
  <x:si>
    <x:t xml:space="preserve">9786255708137</x:t>
  </x:si>
  <x:si>
    <x:t xml:space="preserve">9786259205779</x:t>
  </x:si>
  <x:si>
    <x:t xml:space="preserve">https://online.fliphtml5.com/kbscf/pqrm/</x:t>
  </x:si>
  <x:si>
    <x:t xml:space="preserve">9786256040960</x:t>
  </x:si>
  <x:si>
    <x:t xml:space="preserve">https://online.fliphtml5.com/chncu/xycg/</x:t>
  </x:si>
  <x:si>
    <x:t xml:space="preserve">9786256142220</x:t>
  </x:si>
  <x:si>
    <x:t xml:space="preserve">https://online.fliphtml5.com/wrbmv/xurw/#p=1</x:t>
  </x:si>
  <x:si>
    <x:t xml:space="preserve">ORNEK00000037</x:t>
  </x:si>
  <x:si>
    <x:t xml:space="preserve">9786256457287</x:t>
  </x:si>
  <x:si>
    <x:t xml:space="preserve">https://app.karakok.net/spShowFlip/2168</x:t>
  </x:si>
  <x:si>
    <x:t xml:space="preserve">9786052757642</x:t>
  </x:si>
  <x:si>
    <x:t xml:space="preserve">https://online.fliphtml5.com/cotrr/mqkz/</x:t>
  </x:si>
  <x:si>
    <x:t xml:space="preserve">9786256142183</x:t>
  </x:si>
  <x:si>
    <x:t xml:space="preserve">9786259626819</x:t>
  </x:si>
  <x:si>
    <x:t xml:space="preserve">9786256921696</x:t>
  </x:si>
  <x:si>
    <x:t xml:space="preserve">https://app.karakok.net/spShowFlip/1919</x:t>
  </x:si>
  <x:si>
    <x:t xml:space="preserve">9786256142213</x:t>
  </x:si>
  <x:si>
    <x:t xml:space="preserve">https://online.fliphtml5.com/wrbmv/ufuz/#p=1</x:t>
  </x:si>
  <x:si>
    <x:t xml:space="preserve">9786256712362</x:t>
  </x:si>
  <x:si>
    <x:t xml:space="preserve">https://online.fliphtml5.com/udqwy/atkt/</x:t>
  </x:si>
  <x:si>
    <x:t xml:space="preserve">9786259429762</x:t>
  </x:si>
  <x:si>
    <x:t xml:space="preserve">9786259429786</x:t>
  </x:si>
  <x:si>
    <x:t xml:space="preserve">9786256911949</x:t>
  </x:si>
  <x:si>
    <x:t xml:space="preserve">https://app.karakok.net/spShowFlip/2169</x:t>
  </x:si>
  <x:si>
    <x:t xml:space="preserve">ORNEK00000286</x:t>
  </x:si>
  <x:si>
    <x:t xml:space="preserve">9786259695440</x:t>
  </x:si>
  <x:si>
    <x:t xml:space="preserve">9786257532921</x:t>
  </x:si>
  <x:si>
    <x:t xml:space="preserve">https://online.fliphtml5.com/udqwy/xjvc/</x:t>
  </x:si>
  <x:si>
    <x:t xml:space="preserve">9786052757659</x:t>
  </x:si>
  <x:si>
    <x:t xml:space="preserve">https://online.fliphtml5.com/cotrr/abfr/</x:t>
  </x:si>
  <x:si>
    <x:t xml:space="preserve">9786256142206</x:t>
  </x:si>
  <x:si>
    <x:t xml:space="preserve">9786256040816</x:t>
  </x:si>
  <x:si>
    <x:t xml:space="preserve">https://online.fliphtml5.com/chncu/serp/</x:t>
  </x:si>
  <x:si>
    <x:t xml:space="preserve">9786258160833</x:t>
  </x:si>
  <x:si>
    <x:t xml:space="preserve">ORNEK00000106</x:t>
  </x:si>
  <x:si>
    <x:t xml:space="preserve">ORNEK00000056</x:t>
  </x:si>
  <x:si>
    <x:t xml:space="preserve">9786057710192</x:t>
  </x:si>
  <x:si>
    <x:t xml:space="preserve">ORNEK00000042</x:t>
  </x:si>
  <x:si>
    <x:t xml:space="preserve">ORNEK00000074</x:t>
  </x:si>
  <x:si>
    <x:t xml:space="preserve">9786052754160</x:t>
  </x:si>
  <x:si>
    <x:t xml:space="preserve">https://online.fliphtml5.com/cotrr/lmsz/</x:t>
  </x:si>
  <x:si>
    <x:t xml:space="preserve">9786256142688</x:t>
  </x:si>
  <x:si>
    <x:t xml:space="preserve">9786256921931</x:t>
  </x:si>
  <x:si>
    <x:t xml:space="preserve">9786057710185</x:t>
  </x:si>
  <x:si>
    <x:t xml:space="preserve">ORNEK00000020</x:t>
  </x:si>
  <x:si>
    <x:t xml:space="preserve">ORNEK00000069</x:t>
  </x:si>
  <x:si>
    <x:t xml:space="preserve">ORNEK00000087</x:t>
  </x:si>
  <x:si>
    <x:t xml:space="preserve">ORNEK00000287</x:t>
  </x:si>
  <x:si>
    <x:t xml:space="preserve">ORNEK00000096</x:t>
  </x:si>
  <x:si>
    <x:t xml:space="preserve">https://online.fliphtml5.com/udqwy/wlxl/</x:t>
  </x:si>
  <x:si>
    <x:t xml:space="preserve">9786052753996</x:t>
  </x:si>
  <x:si>
    <x:t xml:space="preserve">https://online.fliphtml5.com/cotrr/sdlj/</x:t>
  </x:si>
  <x:si>
    <x:t xml:space="preserve">9786256142695</x:t>
  </x:si>
  <x:si>
    <x:t xml:space="preserve">ORNEK00000065</x:t>
  </x:si>
  <x:si>
    <x:t xml:space="preserve">ORNEK00000082</x:t>
  </x:si>
  <x:si>
    <x:t xml:space="preserve">9786256531321</x:t>
  </x:si>
  <x:si>
    <x:t xml:space="preserve">9786256531956</x:t>
  </x:si>
  <x:si>
    <x:t xml:space="preserve">MÖF 4. Fasikül</x:t>
  </x:si>
  <x:si>
    <x:t xml:space="preserve">9786257732499</x:t>
  </x:si>
  <x:si>
    <x:t xml:space="preserve">https://online.fliphtml5.com/chncu/topp/</x:t>
  </x:si>
  <x:si>
    <x:t xml:space="preserve">9786258139204</x:t>
  </x:si>
  <x:si>
    <x:t xml:space="preserve">https://online.fliphtml5.com/chncu/prwq/</x:t>
  </x:si>
  <x:si>
    <x:t xml:space="preserve">9786258104493</x:t>
  </x:si>
  <x:si>
    <x:t xml:space="preserve"> https://online.fliphtml5.com/wrbmv/vxmu/#p=1</x:t>
  </x:si>
  <x:si>
    <x:t xml:space="preserve">9786256412507</x:t>
  </x:si>
  <x:si>
    <x:t xml:space="preserve">9786259626840</x:t>
  </x:si>
  <x:si>
    <x:t xml:space="preserve">9786259626857</x:t>
  </x:si>
  <x:si>
    <x:t xml:space="preserve">9786256142442</x:t>
  </x:si>
  <x:si>
    <x:t xml:space="preserve">9786256712621</x:t>
  </x:si>
  <x:si>
    <x:t xml:space="preserve">ORNEK00000284</x:t>
  </x:si>
  <x:si>
    <x:t xml:space="preserve">ORNEK00000086</x:t>
  </x:si>
  <x:si>
    <x:t xml:space="preserve">9786052758915</x:t>
  </x:si>
  <x:si>
    <x:t xml:space="preserve">ORNEK00000258</x:t>
  </x:si>
  <x:si>
    <x:t xml:space="preserve">9786256142473</x:t>
  </x:si>
  <x:si>
    <x:t xml:space="preserve">9786255708311</x:t>
  </x:si>
  <x:si>
    <x:t xml:space="preserve">ORNEK00000264</x:t>
  </x:si>
  <x:si>
    <x:t xml:space="preserve">9786259026329</x:t>
  </x:si>
  <x:si>
    <x:t xml:space="preserve">9786259534169</x:t>
  </x:si>
  <x:si>
    <x:t xml:space="preserve">Orbital Yayınları</x:t>
  </x:si>
  <x:si>
    <x:t xml:space="preserve">Kimya</x:t>
  </x:si>
  <x:si>
    <x:t xml:space="preserve">Odam</x:t>
  </x:si>
  <x:si>
    <x:t xml:space="preserve">https://online.fliphtml5.com/udqwy/rwci/</x:t>
  </x:si>
  <x:si>
    <x:t xml:space="preserve">9786259205724</x:t>
  </x:si>
  <x:si>
    <x:t xml:space="preserve">https://online.fliphtml5.com/kbscf/uclz/</x:t>
  </x:si>
  <x:si>
    <x:t xml:space="preserve">9786256040472</x:t>
  </x:si>
  <x:si>
    <x:t xml:space="preserve">https://online.fliphtml5.com/chncu/zjmx/</x:t>
  </x:si>
  <x:si>
    <x:t xml:space="preserve">9786256142053</x:t>
  </x:si>
  <x:si>
    <x:t xml:space="preserve">https://online.fliphtml5.com/wrbmv/wcqa/</x:t>
  </x:si>
  <x:si>
    <x:t xml:space="preserve">ORNEK00000034</x:t>
  </x:si>
  <x:si>
    <x:t xml:space="preserve">9786256630444</x:t>
  </x:si>
  <x:si>
    <x:t xml:space="preserve">https://app.karakok.net/spShowFlip/1548</x:t>
  </x:si>
  <x:si>
    <x:t xml:space="preserve">9786052756652</x:t>
  </x:si>
  <x:si>
    <x:t xml:space="preserve">https://online.fliphtml5.com/cotrr/mgkp/</x:t>
  </x:si>
  <x:si>
    <x:t xml:space="preserve">9786256412743</x:t>
  </x:si>
  <x:si>
    <x:t xml:space="preserve">ORNEK00000101</x:t>
  </x:si>
  <x:si>
    <x:t xml:space="preserve">Oktet Yayınları</x:t>
  </x:si>
  <x:si>
    <x:t xml:space="preserve">9786256921573</x:t>
  </x:si>
  <x:si>
    <x:t xml:space="preserve">https://app.karakok.net/spShowFlip/2142</x:t>
  </x:si>
  <x:si>
    <x:t xml:space="preserve">9786256412675</x:t>
  </x:si>
  <x:si>
    <x:t xml:space="preserve">https://online.fliphtml5.com/wrbmv/lspl/#p=1</x:t>
  </x:si>
  <x:si>
    <x:t xml:space="preserve">9786259800929</x:t>
  </x:si>
  <x:si>
    <x:t xml:space="preserve">https://online.fliphtml5.com/udqwy/ssrj/</x:t>
  </x:si>
  <x:si>
    <x:t xml:space="preserve">9786256630505</x:t>
  </x:si>
  <x:si>
    <x:t xml:space="preserve">https://app.karakok.net/spShowFlip/1555</x:t>
  </x:si>
  <x:si>
    <x:t xml:space="preserve">9786257532747</x:t>
  </x:si>
  <x:si>
    <x:t xml:space="preserve">https://online.fliphtml5.com/udqwy/glnk/</x:t>
  </x:si>
  <x:si>
    <x:t xml:space="preserve">9786052756720</x:t>
  </x:si>
  <x:si>
    <x:t xml:space="preserve">https://online.fliphtml5.com/cotrr/jwjt/</x:t>
  </x:si>
  <x:si>
    <x:t xml:space="preserve">9786256412750</x:t>
  </x:si>
  <x:si>
    <x:t xml:space="preserve">9786259534107</x:t>
  </x:si>
  <x:si>
    <x:t xml:space="preserve">https://online.fliphtml5.com/udqwy/zgtb/</x:t>
  </x:si>
  <x:si>
    <x:t xml:space="preserve">9786256040588</x:t>
  </x:si>
  <x:si>
    <x:t xml:space="preserve">https://online.fliphtml5.com/chncu/bref/</x:t>
  </x:si>
  <x:si>
    <x:t xml:space="preserve">9786258160840</x:t>
  </x:si>
  <x:si>
    <x:t xml:space="preserve">9786259677828</x:t>
  </x:si>
  <x:si>
    <x:t xml:space="preserve">https://online.fliphtml5.com/udqwy/zymh/</x:t>
  </x:si>
  <x:si>
    <x:t xml:space="preserve">9786259205717</x:t>
  </x:si>
  <x:si>
    <x:t xml:space="preserve">https://online.fliphtml5.com/kbscf/rwrl/</x:t>
  </x:si>
  <x:si>
    <x:t xml:space="preserve">9786256040984</x:t>
  </x:si>
  <x:si>
    <x:t xml:space="preserve">https://online.fliphtml5.com/chncu/tucv/</x:t>
  </x:si>
  <x:si>
    <x:t xml:space="preserve">9786256142060</x:t>
  </x:si>
  <x:si>
    <x:t xml:space="preserve">https://online.fliphtml5.com/wrbmv/erke/#p=1</x:t>
  </x:si>
  <x:si>
    <x:t xml:space="preserve">ORNEK00000038</x:t>
  </x:si>
  <x:si>
    <x:t xml:space="preserve">9786256457577</x:t>
  </x:si>
  <x:si>
    <x:t xml:space="preserve">https://app.karakok.net/spShowFlip/2158</x:t>
  </x:si>
  <x:si>
    <x:t xml:space="preserve">9786052757666</x:t>
  </x:si>
  <x:si>
    <x:t xml:space="preserve">https://online.fliphtml5.com/cotrr/qkuq/</x:t>
  </x:si>
  <x:si>
    <x:t xml:space="preserve">9786256142084</x:t>
  </x:si>
  <x:si>
    <x:t xml:space="preserve">ORNEK00000102</x:t>
  </x:si>
  <x:si>
    <x:t xml:space="preserve">9786256921702</x:t>
  </x:si>
  <x:si>
    <x:t xml:space="preserve">https://app.karakok.net/spShowFlip/1920</x:t>
  </x:si>
  <x:si>
    <x:t xml:space="preserve">9786256142077</x:t>
  </x:si>
  <x:si>
    <x:t xml:space="preserve">https://online.fliphtml5.com/wrbmv/ktlu/#p=1</x:t>
  </x:si>
  <x:si>
    <x:t xml:space="preserve">9786256712393</x:t>
  </x:si>
  <x:si>
    <x:t xml:space="preserve">https://online.fliphtml5.com/udqwy/xwsi/</x:t>
  </x:si>
  <x:si>
    <x:t xml:space="preserve">9786256911925</x:t>
  </x:si>
  <x:si>
    <x:t xml:space="preserve">https://app.karakok.net/spShowFlip/2164</x:t>
  </x:si>
  <x:si>
    <x:t xml:space="preserve">9786257532891</x:t>
  </x:si>
  <x:si>
    <x:t xml:space="preserve">https://online.fliphtml5.com/udqwy/wsau/</x:t>
  </x:si>
  <x:si>
    <x:t xml:space="preserve">9786052757673</x:t>
  </x:si>
  <x:si>
    <x:t xml:space="preserve">https://online.fliphtml5.com/cotrr/ijlj/</x:t>
  </x:si>
  <x:si>
    <x:t xml:space="preserve">9786256142091</x:t>
  </x:si>
  <x:si>
    <x:t xml:space="preserve">9786259677811</x:t>
  </x:si>
  <x:si>
    <x:t xml:space="preserve">https://online.fliphtml5.com/udqwy/dydh/</x:t>
  </x:si>
  <x:si>
    <x:t xml:space="preserve">9786256040861</x:t>
  </x:si>
  <x:si>
    <x:t xml:space="preserve">https://online.fliphtml5.com/chncu/zlro/</x:t>
  </x:si>
  <x:si>
    <x:t xml:space="preserve">9786258160789</x:t>
  </x:si>
  <x:si>
    <x:t xml:space="preserve">ORNEK00000104</x:t>
  </x:si>
  <x:si>
    <x:t xml:space="preserve">ORNEK00000057</x:t>
  </x:si>
  <x:si>
    <x:t xml:space="preserve">9786057710154</x:t>
  </x:si>
  <x:si>
    <x:t xml:space="preserve">ORNEK00000043</x:t>
  </x:si>
  <x:si>
    <x:t xml:space="preserve">ORNEK00000075</x:t>
  </x:si>
  <x:si>
    <x:t xml:space="preserve">9786052754153</x:t>
  </x:si>
  <x:si>
    <x:t xml:space="preserve">https://online.fliphtml5.com/cotrr/oanf/</x:t>
  </x:si>
  <x:si>
    <x:t xml:space="preserve">9786256142565</x:t>
  </x:si>
  <x:si>
    <x:t xml:space="preserve">ORNEK00000103</x:t>
  </x:si>
  <x:si>
    <x:t xml:space="preserve">9786256921986</x:t>
  </x:si>
  <x:si>
    <x:t xml:space="preserve">9786057710161</x:t>
  </x:si>
  <x:si>
    <x:t xml:space="preserve">ORNEK00000021</x:t>
  </x:si>
  <x:si>
    <x:t xml:space="preserve">https://online.fliphtml5.com/udqwy/hbis/</x:t>
  </x:si>
  <x:si>
    <x:t xml:space="preserve">ORNEK00000097</x:t>
  </x:si>
  <x:si>
    <x:t xml:space="preserve">https://online.fliphtml5.com/udqwy/engb/</x:t>
  </x:si>
  <x:si>
    <x:t xml:space="preserve">9786052753989</x:t>
  </x:si>
  <x:si>
    <x:t xml:space="preserve">https://online.fliphtml5.com/cotrr/xhqw/</x:t>
  </x:si>
  <x:si>
    <x:t xml:space="preserve">9786256142572</x:t>
  </x:si>
  <x:si>
    <x:t xml:space="preserve">ORNEK00000066</x:t>
  </x:si>
  <x:si>
    <x:t xml:space="preserve">ORNEK00000083</x:t>
  </x:si>
  <x:si>
    <x:t xml:space="preserve">9786257732574</x:t>
  </x:si>
  <x:si>
    <x:t xml:space="preserve">https://online.fliphtml5.com/chncu/xzrr/</x:t>
  </x:si>
  <x:si>
    <x:t xml:space="preserve">9786258139648</x:t>
  </x:si>
  <x:si>
    <x:t xml:space="preserve">https://online.fliphtml5.com/chncu/lhfz/</x:t>
  </x:si>
  <x:si>
    <x:t xml:space="preserve">9786258104486</x:t>
  </x:si>
  <x:si>
    <x:t xml:space="preserve">https://online.fliphtml5.com/wrbmv/ibrt/#p=1</x:t>
  </x:si>
  <x:si>
    <x:t xml:space="preserve">9786258104547</x:t>
  </x:si>
  <x:si>
    <x:t xml:space="preserve">9786057323408</x:t>
  </x:si>
  <x:si>
    <x:t xml:space="preserve">9786057323415</x:t>
  </x:si>
  <x:si>
    <x:t xml:space="preserve">9786256412453</x:t>
  </x:si>
  <x:si>
    <x:t xml:space="preserve">9786256142428</x:t>
  </x:si>
  <x:si>
    <x:t xml:space="preserve">9786256712577</x:t>
  </x:si>
  <x:si>
    <x:t xml:space="preserve">https://online.fliphtml5.com/udqwy/ofyh/</x:t>
  </x:si>
  <x:si>
    <x:t xml:space="preserve">9786052758922</x:t>
  </x:si>
  <x:si>
    <x:t xml:space="preserve">9786256142527</x:t>
  </x:si>
  <x:si>
    <x:t xml:space="preserve">ORNEK00000100</x:t>
  </x:si>
  <x:si>
    <x:t xml:space="preserve">9786259677873</x:t>
  </x:si>
  <x:si>
    <x:t xml:space="preserve">9786259026312</x:t>
  </x:si>
  <x:si>
    <x:t xml:space="preserve">9786259205731</x:t>
  </x:si>
  <x:si>
    <x:t xml:space="preserve">Biyoloji</x:t>
  </x:si>
  <x:si>
    <x:t xml:space="preserve">https://online.fliphtml5.com/kbscf/wxxz/</x:t>
  </x:si>
  <x:si>
    <x:t xml:space="preserve">9786256040298</x:t>
  </x:si>
  <x:si>
    <x:t xml:space="preserve">https://online.fliphtml5.com/chncu/bkiw/</x:t>
  </x:si>
  <x:si>
    <x:t xml:space="preserve">ORNEK00000035</x:t>
  </x:si>
  <x:si>
    <x:t xml:space="preserve">9786259188904</x:t>
  </x:si>
  <x:si>
    <x:t xml:space="preserve">Biyotik Yayınları</x:t>
  </x:si>
  <x:si>
    <x:t xml:space="preserve">Konu Anlatım Föyleri</x:t>
  </x:si>
  <x:si>
    <x:t xml:space="preserve">https://biyotik.com.tr/view/img/pdf/9_bikaf_demo.pdf</x:t>
  </x:si>
  <x:si>
    <x:t xml:space="preserve">9786057361967</x:t>
  </x:si>
  <x:si>
    <x:t xml:space="preserve">9786256630451</x:t>
  </x:si>
  <x:si>
    <x:t xml:space="preserve">https://app.karakok.net/spShowFlip/1544</x:t>
  </x:si>
  <x:si>
    <x:t xml:space="preserve">9786052756669</x:t>
  </x:si>
  <x:si>
    <x:t xml:space="preserve">https://online.fliphtml5.com/cotrr/hqex/</x:t>
  </x:si>
  <x:si>
    <x:t xml:space="preserve">9786256412781</x:t>
  </x:si>
  <x:si>
    <x:t xml:space="preserve">9786256921597</x:t>
  </x:si>
  <x:si>
    <x:t xml:space="preserve">https://app.karakok.net/spShowFlip/2138</x:t>
  </x:si>
  <x:si>
    <x:t xml:space="preserve">9786256412828</x:t>
  </x:si>
  <x:si>
    <x:t xml:space="preserve">https://online.fliphtml5.com/wrbmv/llma/</x:t>
  </x:si>
  <x:si>
    <x:t xml:space="preserve">9786259800936</x:t>
  </x:si>
  <x:si>
    <x:t xml:space="preserve">https://online.fliphtml5.com/udqwy/arvp/</x:t>
  </x:si>
  <x:si>
    <x:t xml:space="preserve">9786259674773</x:t>
  </x:si>
  <x:si>
    <x:t xml:space="preserve">https://biyotik.com.tr/view/img/pdf/9.pdf</x:t>
  </x:si>
  <x:si>
    <x:t xml:space="preserve">9786057361950</x:t>
  </x:si>
  <x:si>
    <x:t xml:space="preserve">9786259188928</x:t>
  </x:si>
  <x:si>
    <x:t xml:space="preserve">İnteraktif Etkinlik</x:t>
  </x:si>
  <x:si>
    <x:t xml:space="preserve">https://biyotik.com.tr/view/img/pdf/9_btt_demo.pdf</x:t>
  </x:si>
  <x:si>
    <x:t xml:space="preserve">9786057361974</x:t>
  </x:si>
  <x:si>
    <x:t xml:space="preserve">9786256630512</x:t>
  </x:si>
  <x:si>
    <x:t xml:space="preserve">https://app.karakok.net/spShowFlip/1551</x:t>
  </x:si>
  <x:si>
    <x:t xml:space="preserve">9786257532907</x:t>
  </x:si>
  <x:si>
    <x:t xml:space="preserve">https://online.fliphtml5.com/udqwy/ewtq/</x:t>
  </x:si>
  <x:si>
    <x:t xml:space="preserve">9786052756737</x:t>
  </x:si>
  <x:si>
    <x:t xml:space="preserve">https://online.fliphtml5.com/cotrr/nzux/</x:t>
  </x:si>
  <x:si>
    <x:t xml:space="preserve">9786256412798</x:t>
  </x:si>
  <x:si>
    <x:t xml:space="preserve">9786259473925</x:t>
  </x:si>
  <x:si>
    <x:t xml:space="preserve">Ritim Biyoloji Yayınları</x:t>
  </x:si>
  <x:si>
    <x:t xml:space="preserve">9786256040625</x:t>
  </x:si>
  <x:si>
    <x:t xml:space="preserve">https://online.fliphtml5.com/chncu/ymyi/</x:t>
  </x:si>
  <x:si>
    <x:t xml:space="preserve">9786258160802</x:t>
  </x:si>
  <x:si>
    <x:t xml:space="preserve">9786259205793</x:t>
  </x:si>
  <x:si>
    <x:t xml:space="preserve">https://online.fliphtml5.com/kbscf/uste/</x:t>
  </x:si>
  <x:si>
    <x:t xml:space="preserve">9786255801067</x:t>
  </x:si>
  <x:si>
    <x:t xml:space="preserve">https://online.fliphtml5.com/chncu/gytr/</x:t>
  </x:si>
  <x:si>
    <x:t xml:space="preserve">ORNEK00000039</x:t>
  </x:si>
  <x:si>
    <x:t xml:space="preserve">9786259188911</x:t>
  </x:si>
  <x:si>
    <x:t xml:space="preserve">https://biyotik.com.tr/view/img/kitap/2026-10.sinif-konu-anlatim-foyleri-demo.pdf</x:t>
  </x:si>
  <x:si>
    <x:t xml:space="preserve">9786057361998</x:t>
  </x:si>
  <x:si>
    <x:t xml:space="preserve">9786256457300</x:t>
  </x:si>
  <x:si>
    <x:t xml:space="preserve">https://app.karakok.net/spShowFlip/2248</x:t>
  </x:si>
  <x:si>
    <x:t xml:space="preserve">9786052757680</x:t>
  </x:si>
  <x:si>
    <x:t xml:space="preserve">https://online.fliphtml5.com/cotrr/kima/</x:t>
  </x:si>
  <x:si>
    <x:t xml:space="preserve">9786256142114</x:t>
  </x:si>
  <x:si>
    <x:t xml:space="preserve">9786256921719</x:t>
  </x:si>
  <x:si>
    <x:t xml:space="preserve">https://app.karakok.net/spShowFlip/1915</x:t>
  </x:si>
  <x:si>
    <x:t xml:space="preserve">9786256142107</x:t>
  </x:si>
  <x:si>
    <x:t xml:space="preserve">https://online.fliphtml5.com/wrbmv/rjsu/#p=1</x:t>
  </x:si>
  <x:si>
    <x:t xml:space="preserve">9786256712379</x:t>
  </x:si>
  <x:si>
    <x:t xml:space="preserve">https://online.fliphtml5.com/udqwy/nxnv/</x:t>
  </x:si>
  <x:si>
    <x:t xml:space="preserve">9786259674780</x:t>
  </x:si>
  <x:si>
    <x:t xml:space="preserve">https://biyotik.com.tr/view/img/kitap/2026_yeni_mufredat_10_sinif_soru_bankasi_DEMO_yeni.pdf</x:t>
  </x:si>
  <x:si>
    <x:t xml:space="preserve">9786057361981</x:t>
  </x:si>
  <x:si>
    <x:t xml:space="preserve">9786259188935</x:t>
  </x:si>
  <x:si>
    <x:t xml:space="preserve">https://biyotik.com.tr/view/img/pdf/10_btt_demo.pdf</x:t>
  </x:si>
  <x:si>
    <x:t xml:space="preserve">9786259674704</x:t>
  </x:si>
  <x:si>
    <x:t xml:space="preserve">9786256911789</x:t>
  </x:si>
  <x:si>
    <x:t xml:space="preserve">https://app.karakok.net/spShowFlip/2249</x:t>
  </x:si>
  <x:si>
    <x:t xml:space="preserve">9786257532938</x:t>
  </x:si>
  <x:si>
    <x:t xml:space="preserve">9786052757697</x:t>
  </x:si>
  <x:si>
    <x:t xml:space="preserve">https://online.fliphtml5.com/cotrr/pobr/</x:t>
  </x:si>
  <x:si>
    <x:t xml:space="preserve">9786256412378</x:t>
  </x:si>
  <x:si>
    <x:t xml:space="preserve">9786259473963</x:t>
  </x:si>
  <x:si>
    <x:t xml:space="preserve">9786255801029</x:t>
  </x:si>
  <x:si>
    <x:t xml:space="preserve">9786258160819</x:t>
  </x:si>
  <x:si>
    <x:t xml:space="preserve">ORNEK00000054</x:t>
  </x:si>
  <x:si>
    <x:t xml:space="preserve">ORNEK00000044</x:t>
  </x:si>
  <x:si>
    <x:t xml:space="preserve">ORNEK00000070</x:t>
  </x:si>
  <x:si>
    <x:t xml:space="preserve">9786052754191</x:t>
  </x:si>
  <x:si>
    <x:t xml:space="preserve">https://online.fliphtml5.com/cotrr/povz/</x:t>
  </x:si>
  <x:si>
    <x:t xml:space="preserve">9786256142596</x:t>
  </x:si>
  <x:si>
    <x:t xml:space="preserve">9786256921948</x:t>
  </x:si>
  <x:si>
    <x:t xml:space="preserve">9786057710178</x:t>
  </x:si>
  <x:si>
    <x:t xml:space="preserve">ORNEK00000017</x:t>
  </x:si>
  <x:si>
    <x:t xml:space="preserve">9786259674797</x:t>
  </x:si>
  <x:si>
    <x:t xml:space="preserve">https://biyotik.com.tr/view/img/pdf/11.pdf</x:t>
  </x:si>
  <x:si>
    <x:t xml:space="preserve">ORNEK00000093</x:t>
  </x:si>
  <x:si>
    <x:t xml:space="preserve">https://online.fliphtml5.com/udqwy/mdhg/</x:t>
  </x:si>
  <x:si>
    <x:t xml:space="preserve">9786052754016</x:t>
  </x:si>
  <x:si>
    <x:t xml:space="preserve">https://online.fliphtml5.com/cotrr/vjuv/</x:t>
  </x:si>
  <x:si>
    <x:t xml:space="preserve">9786256142558</x:t>
  </x:si>
  <x:si>
    <x:t xml:space="preserve">ORNEK00000110</x:t>
  </x:si>
  <x:si>
    <x:t xml:space="preserve">ORNEK00000061</x:t>
  </x:si>
  <x:si>
    <x:t xml:space="preserve">ORNEK00000078</x:t>
  </x:si>
  <x:si>
    <x:t xml:space="preserve">9786258225006</x:t>
  </x:si>
  <x:si>
    <x:t xml:space="preserve">https://online.fliphtml5.com/chncu/avcj/</x:t>
  </x:si>
  <x:si>
    <x:t xml:space="preserve">9786258139518</x:t>
  </x:si>
  <x:si>
    <x:t xml:space="preserve">https://online.fliphtml5.com/chncu/swka/</x:t>
  </x:si>
  <x:si>
    <x:t xml:space="preserve">9786256412514</x:t>
  </x:si>
  <x:si>
    <x:t xml:space="preserve">9786259674766</x:t>
  </x:si>
  <x:si>
    <x:t xml:space="preserve">9786256142459</x:t>
  </x:si>
  <x:si>
    <x:t xml:space="preserve">9786256712560</x:t>
  </x:si>
  <x:si>
    <x:t xml:space="preserve">https://online.fliphtml5.com/udqwy/wpto/</x:t>
  </x:si>
  <x:si>
    <x:t xml:space="preserve">9786259674759</x:t>
  </x:si>
  <x:si>
    <x:t xml:space="preserve">9786052758939</x:t>
  </x:si>
  <x:si>
    <x:t xml:space="preserve">9786256142480</x:t>
  </x:si>
  <x:si>
    <x:t xml:space="preserve">9786259026305</x:t>
  </x:si>
  <x:si>
    <x:t xml:space="preserve">9786259052625</x:t>
  </x:si>
  <x:si>
    <x:t xml:space="preserve">Tarih</x:t>
  </x:si>
  <x:si>
    <x:t xml:space="preserve">https://online.fliphtml5.com/kbscf/gitx/</x:t>
  </x:si>
  <x:si>
    <x:t xml:space="preserve">9786256040441</x:t>
  </x:si>
  <x:si>
    <x:t xml:space="preserve">https://online.fliphtml5.com/chncu/fljb/</x:t>
  </x:si>
  <x:si>
    <x:t xml:space="preserve">9786256630383</x:t>
  </x:si>
  <x:si>
    <x:t xml:space="preserve">https://app.karakok.net/spShowFlip/1550</x:t>
  </x:si>
  <x:si>
    <x:t xml:space="preserve">9786052756683</x:t>
  </x:si>
  <x:si>
    <x:t xml:space="preserve">https://online.fliphtml5.com/cotrr/emrs/</x:t>
  </x:si>
  <x:si>
    <x:t xml:space="preserve">9786256921535</x:t>
  </x:si>
  <x:si>
    <x:t xml:space="preserve">https://app.karakok.net/spShowFlip/2144</x:t>
  </x:si>
  <x:si>
    <x:t xml:space="preserve">9786259793603</x:t>
  </x:si>
  <x:si>
    <x:t xml:space="preserve">Bilgi Arşivi Yayınları</x:t>
  </x:si>
  <x:si>
    <x:t xml:space="preserve">9786259800905</x:t>
  </x:si>
  <x:si>
    <x:t xml:space="preserve">https://online.fliphtml5.com/udqwy/byqm/</x:t>
  </x:si>
  <x:si>
    <x:t xml:space="preserve">9786256630529</x:t>
  </x:si>
  <x:si>
    <x:t xml:space="preserve">https://app.karakok.net/spShowFlip/1557</x:t>
  </x:si>
  <x:si>
    <x:t xml:space="preserve">9786257532785</x:t>
  </x:si>
  <x:si>
    <x:t xml:space="preserve">https://online.fliphtml5.com/udqwy/lcil/</x:t>
  </x:si>
  <x:si>
    <x:t xml:space="preserve">9786052756751</x:t>
  </x:si>
  <x:si>
    <x:t xml:space="preserve">https://online.fliphtml5.com/cotrr/xubu/</x:t>
  </x:si>
  <x:si>
    <x:t xml:space="preserve">9786256412972</x:t>
  </x:si>
  <x:si>
    <x:t xml:space="preserve">9786256040496</x:t>
  </x:si>
  <x:si>
    <x:t xml:space="preserve">9786258160642</x:t>
  </x:si>
  <x:si>
    <x:t xml:space="preserve">9786255801142</x:t>
  </x:si>
  <x:si>
    <x:t xml:space="preserve">https://online.fliphtml5.com/chncu/bysh/</x:t>
  </x:si>
  <x:si>
    <x:t xml:space="preserve">9786256911338</x:t>
  </x:si>
  <x:si>
    <x:t xml:space="preserve">https://app.karakok.net/spShowFlip/2159</x:t>
  </x:si>
  <x:si>
    <x:t xml:space="preserve">9786052757628</x:t>
  </x:si>
  <x:si>
    <x:t xml:space="preserve">https://online.fliphtml5.com/cotrr/hdvv/</x:t>
  </x:si>
  <x:si>
    <x:t xml:space="preserve">9786256921726</x:t>
  </x:si>
  <x:si>
    <x:t xml:space="preserve">https://app.karakok.net/spShowFlip/1922</x:t>
  </x:si>
  <x:si>
    <x:t xml:space="preserve">9786259793658</x:t>
  </x:si>
  <x:si>
    <x:t xml:space="preserve">9786256712423</x:t>
  </x:si>
  <x:si>
    <x:t xml:space="preserve">https://online.fliphtml5.com/udqwy/ehfc/</x:t>
  </x:si>
  <x:si>
    <x:t xml:space="preserve">9786256911215</x:t>
  </x:si>
  <x:si>
    <x:t xml:space="preserve">https://app.karakok.net/spShowFlip/2165</x:t>
  </x:si>
  <x:si>
    <x:t xml:space="preserve">9786257532853</x:t>
  </x:si>
  <x:si>
    <x:t xml:space="preserve">https://online.fliphtml5.com/udqwy/qdll/</x:t>
  </x:si>
  <x:si>
    <x:t xml:space="preserve">9786052757635</x:t>
  </x:si>
  <x:si>
    <x:t xml:space="preserve">https://online.fliphtml5.com/cotrr/kilo/</x:t>
  </x:si>
  <x:si>
    <x:t xml:space="preserve">9786256142244</x:t>
  </x:si>
  <x:si>
    <x:t xml:space="preserve">9786256040878</x:t>
  </x:si>
  <x:si>
    <x:t xml:space="preserve">https://online.fliphtml5.com/chncu/bzor/</x:t>
  </x:si>
  <x:si>
    <x:t xml:space="preserve">9786258160680</x:t>
  </x:si>
  <x:si>
    <x:t xml:space="preserve">ORNEK00000060</x:t>
  </x:si>
  <x:si>
    <x:t xml:space="preserve">ORNEK00000077</x:t>
  </x:si>
  <x:si>
    <x:t xml:space="preserve">9786052754139</x:t>
  </x:si>
  <x:si>
    <x:t xml:space="preserve">https://online.fliphtml5.com/cotrr/szhp/</x:t>
  </x:si>
  <x:si>
    <x:t xml:space="preserve">9786256921917</x:t>
  </x:si>
  <x:si>
    <x:t xml:space="preserve">ORNEK00000016</x:t>
  </x:si>
  <x:si>
    <x:t xml:space="preserve">ORNEK00000023</x:t>
  </x:si>
  <x:si>
    <x:t xml:space="preserve">ORNEK00000099</x:t>
  </x:si>
  <x:si>
    <x:t xml:space="preserve">https://online.fliphtml5.com/udqwy/veus/</x:t>
  </x:si>
  <x:si>
    <x:t xml:space="preserve">9786052753965</x:t>
  </x:si>
  <x:si>
    <x:t xml:space="preserve">https://online.fliphtml5.com/cotrr/bspn/</x:t>
  </x:si>
  <x:si>
    <x:t xml:space="preserve">9786256142725</x:t>
  </x:si>
  <x:si>
    <x:t xml:space="preserve">ORNEK00000068</x:t>
  </x:si>
  <x:si>
    <x:t xml:space="preserve">ORNEK00000085</x:t>
  </x:si>
  <x:si>
    <x:t xml:space="preserve">9786256712584</x:t>
  </x:si>
  <x:si>
    <x:t xml:space="preserve">https://online.fliphtml5.com/udqwy/tctd/</x:t>
  </x:si>
  <x:si>
    <x:t xml:space="preserve">9786052758885</x:t>
  </x:si>
  <x:si>
    <x:t xml:space="preserve">ORNEK00000272</x:t>
  </x:si>
  <x:si>
    <x:t xml:space="preserve">Coğrafya</x:t>
  </x:si>
  <x:si>
    <x:t xml:space="preserve">https://online.fliphtml5.com/kbscf/ykgk/</x:t>
  </x:si>
  <x:si>
    <x:t xml:space="preserve">9786256040533</x:t>
  </x:si>
  <x:si>
    <x:t xml:space="preserve">https://online.fliphtml5.com/chncu/zjwx/</x:t>
  </x:si>
  <x:si>
    <x:t xml:space="preserve">ORNEK00000050</x:t>
  </x:si>
  <x:si>
    <x:t xml:space="preserve">Coğrafya Gurmesi Yayınları</x:t>
  </x:si>
  <x:si>
    <x:t xml:space="preserve">9786256630468</x:t>
  </x:si>
  <x:si>
    <x:t xml:space="preserve">https://app.karakok.net/spShowFlip/1545</x:t>
  </x:si>
  <x:si>
    <x:t xml:space="preserve">9786052756690</x:t>
  </x:si>
  <x:si>
    <x:t xml:space="preserve">https://online.fliphtml5.com/cotrr/xgsh/</x:t>
  </x:si>
  <x:si>
    <x:t xml:space="preserve">9786256921474</x:t>
  </x:si>
  <x:si>
    <x:t xml:space="preserve">https://app.karakok.net/spShowFlip/2139</x:t>
  </x:si>
  <x:si>
    <x:t xml:space="preserve">9786259800912</x:t>
  </x:si>
  <x:si>
    <x:t xml:space="preserve">https://online.fliphtml5.com/udqwy/mpgu/</x:t>
  </x:si>
  <x:si>
    <x:t xml:space="preserve">9786259490045</x:t>
  </x:si>
  <x:si>
    <x:t xml:space="preserve">9786256630536</x:t>
  </x:si>
  <x:si>
    <x:t xml:space="preserve">https://app.karakok.net/spShowFlip/1552</x:t>
  </x:si>
  <x:si>
    <x:t xml:space="preserve">9786257532730</x:t>
  </x:si>
  <x:si>
    <x:t xml:space="preserve">9786052756768</x:t>
  </x:si>
  <x:si>
    <x:t xml:space="preserve">https://online.fliphtml5.com/cotrr/vmkd/</x:t>
  </x:si>
  <x:si>
    <x:t xml:space="preserve">9786256412996</x:t>
  </x:si>
  <x:si>
    <x:t xml:space="preserve">9786256040618</x:t>
  </x:si>
  <x:si>
    <x:t xml:space="preserve">https://online.fliphtml5.com/chncu/jbyq/</x:t>
  </x:si>
  <x:si>
    <x:t xml:space="preserve">9786258160659</x:t>
  </x:si>
  <x:si>
    <x:t xml:space="preserve">9786259052632</x:t>
  </x:si>
  <x:si>
    <x:t xml:space="preserve">https://online.fliphtml5.com/kbscf/xztx/</x:t>
  </x:si>
  <x:si>
    <x:t xml:space="preserve">9786255801104</x:t>
  </x:si>
  <x:si>
    <x:t xml:space="preserve">https://online.fliphtml5.com/chncu/gsqk/</x:t>
  </x:si>
  <x:si>
    <x:t xml:space="preserve">ORNEK00000051</x:t>
  </x:si>
  <x:si>
    <x:t xml:space="preserve">9786256911178</x:t>
  </x:si>
  <x:si>
    <x:t xml:space="preserve">https://app.karakok.net/spShowFlip/2161</x:t>
  </x:si>
  <x:si>
    <x:t xml:space="preserve">9786052757604</x:t>
  </x:si>
  <x:si>
    <x:t xml:space="preserve">https://online.fliphtml5.com/cotrr/odoj/</x:t>
  </x:si>
  <x:si>
    <x:t xml:space="preserve">9786256921733</x:t>
  </x:si>
  <x:si>
    <x:t xml:space="preserve">https://app.karakok.net/spShowFlip/1916</x:t>
  </x:si>
  <x:si>
    <x:t xml:space="preserve">9786256712386</x:t>
  </x:si>
  <x:si>
    <x:t xml:space="preserve">9786259490052</x:t>
  </x:si>
  <x:si>
    <x:t xml:space="preserve">9786256457058</x:t>
  </x:si>
  <x:si>
    <x:t xml:space="preserve">https://app.karakok.net/spShowFlip/2162</x:t>
  </x:si>
  <x:si>
    <x:t xml:space="preserve">9786257532884</x:t>
  </x:si>
  <x:si>
    <x:t xml:space="preserve">https://online.fliphtml5.com/udqwy/qnmp/</x:t>
  </x:si>
  <x:si>
    <x:t xml:space="preserve">9786052757611</x:t>
  </x:si>
  <x:si>
    <x:t xml:space="preserve">https://online.fliphtml5.com/cotrr/fdhk/</x:t>
  </x:si>
  <x:si>
    <x:t xml:space="preserve">9786256142251</x:t>
  </x:si>
  <x:si>
    <x:t xml:space="preserve">9786255801012</x:t>
  </x:si>
  <x:si>
    <x:t xml:space="preserve">https://online.fliphtml5.com/chncu/cwos/</x:t>
  </x:si>
  <x:si>
    <x:t xml:space="preserve">9786258160666</x:t>
  </x:si>
  <x:si>
    <x:t xml:space="preserve">ORNEK00000055</x:t>
  </x:si>
  <x:si>
    <x:t xml:space="preserve">ORNEK00000052</x:t>
  </x:si>
  <x:si>
    <x:t xml:space="preserve">ORNEK00000071</x:t>
  </x:si>
  <x:si>
    <x:t xml:space="preserve">9786052754184</x:t>
  </x:si>
  <x:si>
    <x:t xml:space="preserve">https://online.fliphtml5.com/cotrr/nyli/</x:t>
  </x:si>
  <x:si>
    <x:t xml:space="preserve">9786256921979</x:t>
  </x:si>
  <x:si>
    <x:t xml:space="preserve">ORNEK00000018</x:t>
  </x:si>
  <x:si>
    <x:t xml:space="preserve">https://online.fliphtml5.com/udqwy/yntn/</x:t>
  </x:si>
  <x:si>
    <x:t xml:space="preserve">ORNEK00000053</x:t>
  </x:si>
  <x:si>
    <x:t xml:space="preserve">ORNEK00000094</x:t>
  </x:si>
  <x:si>
    <x:t xml:space="preserve">https://online.fliphtml5.com/udqwy/yxzb/</x:t>
  </x:si>
  <x:si>
    <x:t xml:space="preserve">9786052754009</x:t>
  </x:si>
  <x:si>
    <x:t xml:space="preserve">https://online.fliphtml5.com/cotrr/oumc/</x:t>
  </x:si>
  <x:si>
    <x:t xml:space="preserve">9786256142701</x:t>
  </x:si>
  <x:si>
    <x:t xml:space="preserve">ORNEK00000062</x:t>
  </x:si>
  <x:si>
    <x:t xml:space="preserve">ORNEK00000079</x:t>
  </x:si>
  <x:si>
    <x:t xml:space="preserve">9786256712553</x:t>
  </x:si>
  <x:si>
    <x:t xml:space="preserve">https://online.fliphtml5.com/udqwy/hpbi/</x:t>
  </x:si>
  <x:si>
    <x:t xml:space="preserve">9786259490076</x:t>
  </x:si>
  <x:si>
    <x:t xml:space="preserve">9786052758878</x:t>
  </x:si>
  <x:si>
    <x:t xml:space="preserve">9786256911130</x:t>
  </x:si>
  <x:si>
    <x:t xml:space="preserve">Felsefe</x:t>
  </x:si>
  <x:si>
    <x:t xml:space="preserve">https://app.karakok.net/spShowFlip/2160</x:t>
  </x:si>
  <x:si>
    <x:t xml:space="preserve">9786256921689</x:t>
  </x:si>
  <x:si>
    <x:t xml:space="preserve">https://app.karakok.net/spShowFlip/1918</x:t>
  </x:si>
  <x:si>
    <x:t xml:space="preserve">9786256712218</x:t>
  </x:si>
  <x:si>
    <x:t xml:space="preserve">https://online.fliphtml5.com/udqwy/lixu/</x:t>
  </x:si>
  <x:si>
    <x:t xml:space="preserve">9786256457041</x:t>
  </x:si>
  <x:si>
    <x:t xml:space="preserve">https://app.karakok.net/spShowFlip/2163</x:t>
  </x:si>
  <x:si>
    <x:t xml:space="preserve">9786256142268</x:t>
  </x:si>
  <x:si>
    <x:t xml:space="preserve">9786255801159</x:t>
  </x:si>
  <x:si>
    <x:t xml:space="preserve">https://online.fliphtml5.com/chncu/unbs/</x:t>
  </x:si>
  <x:si>
    <x:t xml:space="preserve">ORNEK00000073</x:t>
  </x:si>
  <x:si>
    <x:t xml:space="preserve">9786052754177</x:t>
  </x:si>
  <x:si>
    <x:t xml:space="preserve">https://online.fliphtml5.com/cotrr/vydq/</x:t>
  </x:si>
  <x:si>
    <x:t xml:space="preserve">9786256921955</x:t>
  </x:si>
  <x:si>
    <x:t xml:space="preserve">ORNEK00000019</x:t>
  </x:si>
  <x:si>
    <x:t xml:space="preserve">9786256142718</x:t>
  </x:si>
  <x:si>
    <x:t xml:space="preserve">ORNEK00000064</x:t>
  </x:si>
  <x:si>
    <x:t xml:space="preserve">ORNEK00000081</x:t>
  </x:si>
  <x:si>
    <x:t xml:space="preserve">9786258715040</x:t>
  </x:si>
  <x:si>
    <x:t xml:space="preserve">Sosyal Bilimler</x:t>
  </x:si>
  <x:si>
    <x:t xml:space="preserve">ORNEK00000012</x:t>
  </x:si>
  <x:si>
    <x:t xml:space="preserve">Alan Yayınları</x:t>
  </x:si>
  <x:si>
    <x:t xml:space="preserve">Tüm Dersler</x:t>
  </x:si>
  <x:si>
    <x:t xml:space="preserve">ORNEK00000014</x:t>
  </x:si>
  <x:si>
    <x:t xml:space="preserve">9786256712249</x:t>
  </x:si>
  <x:si>
    <x:t xml:space="preserve">Kamp Kitabı</x:t>
  </x:si>
  <x:si>
    <x:t xml:space="preserve">ORNEK00000013</x:t>
  </x:si>
  <x:si>
    <x:t xml:space="preserve">ORNEK00000015</x:t>
  </x:si>
  <x:si>
    <x:t xml:space="preserve">9786256412989</x:t>
  </x:si>
  <x:si>
    <x:t xml:space="preserve">Din Kültürü</x:t>
  </x:si>
  <x:si>
    <x:t xml:space="preserve">9786256142275</x:t>
  </x:si>
  <x:si>
    <x:t xml:space="preserve">Tekli İndirim %</x:t>
  </x:si>
  <x:si>
    <x:t xml:space="preserve">Toplu İndirim %</x:t>
  </x:si>
  <x:si>
    <x:t xml:space="preserve">Tasarım Ayarı</x:t>
  </x:si>
  <x:si>
    <x:t xml:space="preserve">Değer</x:t>
  </x:si>
  <x:si>
    <x:t xml:space="preserve">Başlık</x:t>
  </x:si>
  <x:si>
    <x:t xml:space="preserve">2026-2027 Öğretmen Fiyat Listesi</x:t>
  </x:si>
  <x:si>
    <x:t xml:space="preserve">Alt Başlık</x:t>
  </x:si>
  <x:si>
    <x:t xml:space="preserve">Dersi seçin, sınıflara ayrılmış kitapları ve fiyatları görüntüleyin.</x:t>
  </x:si>
  <x:si>
    <x:t xml:space="preserve">Ana Renk</x:t>
  </x:si>
  <x:si>
    <x:t xml:space="preserve">#173F5F</x:t>
  </x:si>
  <x:si>
    <x:t xml:space="preserve">Vurgu Rengi</x:t>
  </x:si>
  <x:si>
    <x:t xml:space="preserve">#F2B134</x:t>
  </x:si>
  <x:si>
    <x:t xml:space="preserve">Fiyat Listesi Yönetim Dosyası</x:t>
  </x:si>
  <x:si>
    <x:t xml:space="preserve">Nasıl kullanılır?</x:t>
  </x:si>
  <x:si>
    <x:t xml:space="preserve">1</x:t>
  </x:si>
  <x:si>
    <x:t xml:space="preserve">Yeni ürünü Ürünler sayfasındaki tablonun en altına ekleyin.</x:t>
  </x:si>
  <x:si>
    <x:t xml:space="preserve">2</x:t>
  </x:si>
  <x:si>
    <x:t xml:space="preserve">Fiyat sütunu normal satış fiyatıdır.</x:t>
  </x:si>
  <x:si>
    <x:t xml:space="preserve">3</x:t>
  </x:si>
  <x:si>
    <x:t xml:space="preserve">İndirimler sayfasında Yayın ve Sınıf bazında Tekli/Toplu indirim oranlarını yazın.</x:t>
  </x:si>
  <x:si>
    <x:t xml:space="preserve">4</x:t>
  </x:si>
  <x:si>
    <x:t xml:space="preserve">Ürünler sayfasındaki İnd ve Toplu fiyatlar otomatik hesaplanır.</x:t>
  </x:si>
  <x:si>
    <x:t xml:space="preserve">5</x:t>
  </x:si>
  <x:si>
    <x:t xml:space="preserve">Tanıtım Linki varsa kitap adına otomatik olarak bağlanır.</x:t>
  </x:si>
  <x:si>
    <x:t xml:space="preserve">6</x:t>
  </x:si>
  <x:si>
    <x:t xml:space="preserve">Dosya GitHub'a yüklendiğinde web programı ve PDF otomatik yenilenir.</x:t>
  </x:si>
  <x:si>
    <x:t xml:space="preserve">7</x:t>
  </x:si>
  <x:si>
    <x:t xml:space="preserve">Yeni bir yayınevi ekleyip Güncelle düğmesine bastığınızda Ayarlar listesine otomatik eklenir. Karşısındaki Kitabevi Kodu'nu seçin.</x:t>
  </x:si>
  <x:si>
    <x:t xml:space="preserve">8</x:t>
  </x:si>
  <x:si>
    <x:t xml:space="preserve">Logo göstermek için Sayfa Ayarları sayfasındaki Logo Linki alanına doğrudan görsel bağlantısını yapıştırın.</x:t>
  </x:si>
  <x:si>
    <x:t xml:space="preserve">Kitabevi Kodu</x:t>
  </x:si>
  <x:si>
    <x:t xml:space="preserve">Kademe</x:t>
  </x:si>
  <x:si>
    <x:t xml:space="preserve">Ad Soyad</x:t>
  </x:si>
  <x:si>
    <x:t xml:space="preserve">Telefon</x:t>
  </x:si>
  <x:si>
    <x:t xml:space="preserve">WhatsApp</x:t>
  </x:si>
  <x:si>
    <x:t xml:space="preserve">kitabevi-1</x:t>
  </x:si>
  <x:si>
    <x:t xml:space="preserve">Ortaokul</x:t>
  </x:si>
  <x:si>
    <x:t xml:space="preserve">Aytaç Arslan</x:t>
  </x:si>
  <x:si>
    <x:t xml:space="preserve">5345556747</x:t>
  </x:si>
  <x:si>
    <x:t xml:space="preserve">Evet</x:t>
  </x:si>
  <x:si>
    <x:t xml:space="preserve">Emre Arslan</x:t>
  </x:si>
  <x:si>
    <x:t xml:space="preserve">5466779329</x:t>
  </x:si>
  <x:si>
    <x:t xml:space="preserve">Lise</x:t>
  </x:si>
  <x:si>
    <x:t xml:space="preserve">kitabevi-2</x:t>
  </x:si>
  <x:si>
    <x:t xml:space="preserve">Furkan ÖZKAN</x:t>
  </x:si>
  <x:si>
    <x:t xml:space="preserve">5434333319</x:t>
  </x:si>
</x:sst>
</file>

<file path=xl/styles.xml><?xml version="1.0" encoding="utf-8"?>
<x:styleSheet xmlns:x="http://schemas.openxmlformats.org/spreadsheetml/2006/main">
  <x:numFmts count="1">
    <x:numFmt numFmtId="164" formatCode="\₺#,##0.00"/>
  </x:numFmts>
  <x:fonts count="9">
    <x:font>
      <x:sz val="11"/>
      <x:name val="Carlito"/>
    </x:font>
    <x:font>
      <x:b/>
      <x:sz val="11"/>
      <x:color rgb="FFFFFFFF"/>
      <x:name val="Carlito"/>
    </x:font>
    <x:font>
      <x:sz val="10"/>
      <x:color rgb="FF17212B"/>
      <x:name val="Carlito"/>
    </x:font>
    <x:font>
      <x:b/>
      <x:sz val="18"/>
      <x:color rgb="FFFFFFFF"/>
      <x:name val="Carlito"/>
    </x:font>
    <x:font>
      <x:b/>
      <x:sz val="11"/>
      <x:color rgb="FF17212B"/>
      <x:name val="Carlito"/>
    </x:font>
    <x:font>
      <x:b/>
      <x:sz val="11"/>
      <x:color rgb="FF173F5F"/>
      <x:name val="Carlito"/>
    </x:font>
    <x:font>
      <x:sz val="11"/>
      <x:color theme="10"/>
      <x:name val="Carlito"/>
    </x:font>
    <x:font>
      <x:b/>
      <x:sz val="14"/>
      <x:color rgb="FFFFFFFF"/>
      <x:name val="Carlito"/>
    </x:font>
    <x:font>
      <x:b/>
      <x:sz val="12"/>
      <x:color rgb="FFFFFFFF"/>
      <x:name val="Carlito"/>
    </x:font>
  </x:fonts>
  <x:fills count="17">
    <x:fill>
      <x:patternFill patternType="none"/>
    </x:fill>
    <x:fill>
      <x:patternFill patternType="gray125"/>
    </x:fill>
    <x:fill>
      <x:patternFill patternType="solid">
        <x:fgColor rgb="FF173F5F"/>
      </x:patternFill>
    </x:fill>
    <x:fill>
      <x:patternFill patternType="solid">
        <x:fgColor rgb="FFFFF4CC"/>
      </x:patternFill>
    </x:fill>
    <x:fill>
      <x:patternFill patternType="solid">
        <x:fgColor rgb="FFE9F8EF"/>
      </x:patternFill>
    </x:fill>
    <x:fill>
      <x:patternFill patternType="solid">
        <x:fgColor rgb="FFF2B134"/>
      </x:patternFill>
    </x:fill>
    <x:fill>
      <x:patternFill patternType="solid">
        <x:fgColor rgb="FFEAF2F7"/>
      </x:patternFill>
    </x:fill>
    <x:fill>
      <x:patternFill patternType="solid">
        <x:fgColor rgb="FFFFF4CC"/>
      </x:patternFill>
    </x:fill>
    <x:fill>
      <x:patternFill patternType="solid">
        <x:fgColor rgb="FF173F5F"/>
      </x:patternFill>
    </x:fill>
    <x:fill>
      <x:patternFill patternType="solid">
        <x:fgColor rgb="FFF2B134"/>
      </x:patternFill>
    </x:fill>
    <x:fill>
      <x:patternFill patternType="solid">
        <x:fgColor rgb="FF173F5F"/>
      </x:patternFill>
    </x:fill>
    <x:fill>
      <x:patternFill patternType="solid">
        <x:fgColor rgb="FFF2B134"/>
      </x:patternFill>
    </x:fill>
    <x:fill>
      <x:patternFill patternType="solid">
        <x:fgColor rgb="FF173F5F"/>
      </x:patternFill>
    </x:fill>
    <x:fill>
      <x:patternFill patternType="solid">
        <x:fgColor rgb="FFFFF4CC"/>
      </x:patternFill>
    </x:fill>
    <x:fill>
      <x:patternFill patternType="solid">
        <x:fgColor rgb="FFFFF4CC"/>
      </x:patternFill>
    </x:fill>
    <x:fill>
      <x:patternFill patternType="solid">
        <x:fgColor rgb="FF173F5F"/>
      </x:patternFill>
    </x:fill>
    <x:fill>
      <x:patternFill patternType="solid">
        <x:fgColor rgb="FFFFF4CC"/>
      </x:patternFill>
    </x:fill>
  </x:fills>
  <x:borders count="10">
    <x:border/>
    <x:border>
      <x:bottom style="thin">
        <x:color rgb="FFE5E7EB"/>
      </x:bottom>
    </x:border>
    <x:border>
      <x:top style="thin">
        <x:color rgb="FFE5E7EB"/>
      </x:top>
      <x:bottom style="thin">
        <x:color rgb="FFE5E7EB"/>
      </x:bottom>
    </x:border>
    <x:border>
      <x:top style="thin">
        <x:color rgb="FFE5E7EB"/>
      </x:top>
    </x:border>
    <x:border>
      <x:left style="medium">
        <x:color rgb="FF173F5F"/>
      </x:left>
      <x:top style="medium">
        <x:color rgb="FF173F5F"/>
      </x:top>
      <x:bottom style="medium">
        <x:color rgb="FF173F5F"/>
      </x:bottom>
    </x:border>
    <x:border>
      <x:top style="medium">
        <x:color rgb="FF173F5F"/>
      </x:top>
      <x:bottom style="medium">
        <x:color rgb="FF173F5F"/>
      </x:bottom>
    </x:border>
    <x:border>
      <x:right style="medium">
        <x:color rgb="FF173F5F"/>
      </x:right>
      <x:top style="medium">
        <x:color rgb="FF173F5F"/>
      </x:top>
      <x:bottom style="medium">
        <x:color rgb="FF173F5F"/>
      </x:bottom>
    </x:border>
    <x:border>
      <x:bottom style="thin">
        <x:color rgb="FFDDE3E8"/>
      </x:bottom>
    </x:border>
    <x:border>
      <x:top style="thin">
        <x:color rgb="FFDDE3E8"/>
      </x:top>
      <x:bottom style="thin">
        <x:color rgb="FFDDE3E8"/>
      </x:bottom>
    </x:border>
    <x:border>
      <x:top style="thin">
        <x:color rgb="FFDDE3E8"/>
      </x:top>
    </x:border>
  </x:borders>
  <x:cellStyleXfs count="2">
    <x:xf numFmtId="0" fontId="0" fillId="0" borderId="0"/>
    <x:xf numFmtId="0" fontId="6" fillId="0" borderId="0" applyNumberFormat="0" applyFill="0" applyBorder="0" applyAlignment="0" applyProtection="0"/>
  </x:cellStyleXfs>
  <x:cellXfs count="61">
    <x:xf numFmtId="0" fontId="0" fillId="0" borderId="0" xfId="0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 vertical="center"/>
    </x:xf>
    <x:xf numFmtId="0" fontId="0" fillId="0" borderId="1" xfId="0" applyNumberFormat="1" applyFont="1" applyFill="1" applyBorder="1" applyAlignment="1">
      <x:alignment vertical="center"/>
    </x:xf>
    <x:xf numFmtId="0" fontId="0" fillId="0" borderId="2" xfId="0" applyNumberFormat="1" applyFont="1" applyFill="1" applyBorder="1" applyAlignment="1">
      <x:alignment vertical="center"/>
    </x:xf>
    <x:xf numFmtId="0" fontId="0" fillId="0" borderId="3" xfId="0" applyNumberFormat="1" applyFont="1" applyFill="1" applyBorder="1" applyAlignment="1">
      <x:alignment vertical="center"/>
    </x:xf>
    <x:xf numFmtId="9" fontId="0" fillId="3" borderId="1" xfId="0" applyNumberFormat="1" applyFont="1" applyFill="1" applyBorder="1" applyAlignment="1">
      <x:alignment horizontal="center" vertical="center"/>
    </x:xf>
    <x:xf numFmtId="9" fontId="0" fillId="3" borderId="2" xfId="0" applyNumberFormat="1" applyFont="1" applyFill="1" applyBorder="1" applyAlignment="1">
      <x:alignment horizontal="center" vertical="center"/>
    </x:xf>
    <x:xf numFmtId="0" fontId="1" fillId="2" borderId="4" xfId="0" applyNumberFormat="1" applyFont="1" applyFill="1" applyBorder="1" applyAlignment="1">
      <x:alignment horizontal="center" vertical="center" wrapText="1"/>
    </x:xf>
    <x:xf numFmtId="0" fontId="1" fillId="2" borderId="5" xfId="0" applyNumberFormat="1" applyFont="1" applyFill="1" applyBorder="1" applyAlignment="1">
      <x:alignment horizontal="center" vertical="center" wrapText="1"/>
    </x:xf>
    <x:xf numFmtId="0" fontId="1" fillId="2" borderId="6" xfId="0" applyNumberFormat="1" applyFont="1" applyFill="1" applyBorder="1" applyAlignment="1">
      <x:alignment horizontal="center" vertical="center" wrapText="1"/>
    </x:xf>
    <x:xf numFmtId="0" fontId="2" fillId="0" borderId="1" xfId="0" applyNumberFormat="1" applyFont="1" applyFill="1" applyBorder="1" applyAlignment="1">
      <x:alignment vertical="center"/>
    </x:xf>
    <x:xf numFmtId="0" fontId="2" fillId="0" borderId="2" xfId="0" applyNumberFormat="1" applyFont="1" applyFill="1" applyBorder="1" applyAlignment="1">
      <x:alignment vertical="center"/>
    </x:xf>
    <x:xf numFmtId="0" fontId="2" fillId="0" borderId="3" xfId="0" applyNumberFormat="1" applyFont="1" applyFill="1" applyBorder="1" applyAlignment="1">
      <x:alignment vertical="center"/>
    </x:xf>
    <x:xf numFmtId="49" fontId="2" fillId="0" borderId="1" xfId="0" applyNumberFormat="1" applyFont="1" applyFill="1" applyBorder="1" applyAlignment="1">
      <x:alignment vertical="center"/>
    </x:xf>
    <x:xf numFmtId="49" fontId="2" fillId="0" borderId="2" xfId="0" applyNumberFormat="1" applyFont="1" applyFill="1" applyBorder="1" applyAlignment="1">
      <x:alignment vertical="center"/>
    </x:xf>
    <x:xf numFmtId="49" fontId="2" fillId="0" borderId="3" xfId="0" applyNumberFormat="1" applyFont="1" applyFill="1" applyBorder="1" applyAlignment="1">
      <x:alignment vertical="center"/>
    </x:xf>
    <x:xf numFmtId="164" fontId="2" fillId="0" borderId="1" xfId="0" applyNumberFormat="1" applyFont="1" applyFill="1" applyBorder="1" applyAlignment="1">
      <x:alignment vertical="center"/>
    </x:xf>
    <x:xf numFmtId="164" fontId="2" fillId="0" borderId="2" xfId="0" applyNumberFormat="1" applyFont="1" applyFill="1" applyBorder="1" applyAlignment="1">
      <x:alignment vertical="center"/>
    </x:xf>
    <x:xf numFmtId="164" fontId="2" fillId="0" borderId="3" xfId="0" applyNumberFormat="1" applyFont="1" applyFill="1" applyBorder="1" applyAlignment="1">
      <x:alignment vertical="center"/>
    </x:xf>
    <x:xf numFmtId="164" fontId="2" fillId="3" borderId="1" xfId="0" applyNumberFormat="1" applyFont="1" applyFill="1" applyBorder="1" applyAlignment="1">
      <x:alignment vertical="center"/>
    </x:xf>
    <x:xf numFmtId="164" fontId="2" fillId="3" borderId="2" xfId="0" applyNumberFormat="1" applyFont="1" applyFill="1" applyBorder="1" applyAlignment="1">
      <x:alignment vertical="center"/>
    </x:xf>
    <x:xf numFmtId="164" fontId="2" fillId="3" borderId="3" xfId="0" applyNumberFormat="1" applyFont="1" applyFill="1" applyBorder="1" applyAlignment="1">
      <x:alignment vertical="center"/>
    </x:xf>
    <x:xf numFmtId="164" fontId="2" fillId="4" borderId="1" xfId="0" applyNumberFormat="1" applyFont="1" applyFill="1" applyBorder="1" applyAlignment="1">
      <x:alignment vertical="center"/>
    </x:xf>
    <x:xf numFmtId="164" fontId="2" fillId="4" borderId="2" xfId="0" applyNumberFormat="1" applyFont="1" applyFill="1" applyBorder="1" applyAlignment="1">
      <x:alignment vertical="center"/>
    </x:xf>
    <x:xf numFmtId="164" fontId="2" fillId="4" borderId="3" xfId="0" applyNumberFormat="1" applyFont="1" applyFill="1" applyBorder="1" applyAlignment="1">
      <x:alignment vertical="center"/>
    </x:xf>
    <x:xf numFmtId="0" fontId="4" fillId="5" borderId="0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 applyAlignment="1">
      <x:alignment vertical="center" wrapText="1"/>
    </x:xf>
    <x:xf numFmtId="0" fontId="5" fillId="6" borderId="0" xfId="0" applyNumberFormat="1" applyFont="1" applyFill="1" applyBorder="1"/>
    <x:xf numFmtId="0" fontId="0" fillId="3" borderId="0" xfId="0" applyNumberFormat="1" applyFont="1" applyFill="1" applyBorder="1"/>
    <x:xf numFmtId="0" fontId="6" fillId="0" borderId="2" xfId="1" applyNumberFormat="1" applyFill="1" applyBorder="1" applyAlignment="1">
      <x:alignment vertical="center"/>
    </x:xf>
    <x:xf numFmtId="49" fontId="0" fillId="0" borderId="0" xfId="0" applyNumberFormat="1" applyFont="1" applyFill="1" applyBorder="1"/>
    <x:xf numFmtId="0" fontId="4" fillId="9" borderId="0" xfId="0" applyNumberFormat="1" applyFont="1" applyFill="1" applyBorder="1" applyAlignment="1">
      <x:alignment horizontal="center"/>
    </x:xf>
    <x:xf numFmtId="0" fontId="0" fillId="0" borderId="7" xfId="0" applyNumberFormat="1" applyFont="1" applyFill="1" applyBorder="1"/>
    <x:xf numFmtId="0" fontId="0" fillId="0" borderId="8" xfId="0" applyNumberFormat="1" applyFont="1" applyFill="1" applyBorder="1"/>
    <x:xf numFmtId="0" fontId="0" fillId="0" borderId="9" xfId="0" applyNumberFormat="1" applyFont="1" applyFill="1" applyBorder="1"/>
    <x:xf numFmtId="0" fontId="0" fillId="7" borderId="7" xfId="0" applyNumberFormat="1" applyFont="1" applyFill="1" applyBorder="1"/>
    <x:xf numFmtId="0" fontId="0" fillId="7" borderId="8" xfId="0" applyNumberFormat="1" applyFont="1" applyFill="1" applyBorder="1"/>
    <x:xf numFmtId="0" fontId="0" fillId="7" borderId="9" xfId="0" applyNumberFormat="1" applyFont="1" applyFill="1" applyBorder="1"/>
    <x:xf numFmtId="0" fontId="1" fillId="8" borderId="0" xfId="0" applyNumberFormat="1" applyFont="1" applyFill="1" applyBorder="1" applyAlignment="1">
      <x:alignment horizontal="center" wrapText="1"/>
    </x:xf>
    <x:xf numFmtId="0" fontId="0" fillId="7" borderId="7" xfId="0" applyNumberFormat="1" applyFont="1" applyFill="1" applyBorder="1" applyAlignment="1">
      <x:alignment vertical="center"/>
    </x:xf>
    <x:xf numFmtId="0" fontId="0" fillId="7" borderId="8" xfId="0" applyNumberFormat="1" applyFont="1" applyFill="1" applyBorder="1" applyAlignment="1">
      <x:alignment vertical="center"/>
    </x:xf>
    <x:xf numFmtId="0" fontId="0" fillId="7" borderId="9" xfId="0" applyNumberFormat="1" applyFont="1" applyFill="1" applyBorder="1" applyAlignment="1">
      <x:alignment vertical="center"/>
    </x:xf>
    <x:xf numFmtId="0" fontId="1" fillId="8" borderId="0" xfId="0" applyNumberFormat="1" applyFont="1" applyFill="1" applyBorder="1" applyAlignment="1">
      <x:alignment horizontal="center"/>
    </x:xf>
    <x:xf numFmtId="49" fontId="0" fillId="7" borderId="7" xfId="0" applyNumberFormat="1" applyFont="1" applyFill="1" applyBorder="1" applyAlignment="1">
      <x:alignment vertical="center"/>
    </x:xf>
    <x:xf numFmtId="49" fontId="0" fillId="7" borderId="8" xfId="0" applyNumberFormat="1" applyFont="1" applyFill="1" applyBorder="1" applyAlignment="1">
      <x:alignment vertical="center"/>
    </x:xf>
    <x:xf numFmtId="49" fontId="0" fillId="7" borderId="9" xfId="0" applyNumberFormat="1" applyFont="1" applyFill="1" applyBorder="1" applyAlignment="1">
      <x:alignment vertical="center"/>
    </x:xf>
    <x:xf numFmtId="0" fontId="4" fillId="11" borderId="0" xfId="0" applyNumberFormat="1" applyFont="1" applyFill="1" applyBorder="1" applyAlignment="1">
      <x:alignment horizontal="center" vertical="center"/>
    </x:xf>
    <x:xf numFmtId="0" fontId="1" fillId="12" borderId="0" xfId="0" applyNumberFormat="1" applyFont="1" applyFill="1" applyBorder="1" applyAlignment="1">
      <x:alignment horizontal="center" vertical="center"/>
    </x:xf>
    <x:xf numFmtId="0" fontId="2" fillId="13" borderId="0" xfId="0" applyNumberFormat="1" applyFont="1" applyFill="1" applyBorder="1" applyAlignment="1">
      <x:alignment vertical="center"/>
    </x:xf>
    <x:xf numFmtId="0" fontId="0" fillId="14" borderId="1" xfId="0" applyNumberFormat="1" applyFont="1" applyFill="1" applyBorder="1" applyAlignment="1">
      <x:alignment vertical="center"/>
    </x:xf>
    <x:xf numFmtId="0" fontId="0" fillId="14" borderId="2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/>
    </x:xf>
    <x:xf numFmtId="0" fontId="7" fillId="8" borderId="0" xfId="0" applyNumberFormat="1" applyFont="1" applyFill="1" applyBorder="1" applyAlignment="1">
      <x:alignment vertical="center"/>
    </x:xf>
    <x:xf numFmtId="0" fontId="8" fillId="10" borderId="0" xfId="0" applyNumberFormat="1" applyFont="1" applyFill="1" applyBorder="1" applyAlignment="1">
      <x:alignment horizontal="center" vertical="center"/>
    </x:xf>
    <x:xf numFmtId="0" fontId="0" fillId="15" borderId="0" xfId="0" applyNumberFormat="1" applyFont="1" applyFill="1" applyBorder="1"/>
    <x:xf numFmtId="0" fontId="1" fillId="15" borderId="0" xfId="0" applyNumberFormat="1" applyFont="1" applyFill="1" applyBorder="1"/>
    <x:xf numFmtId="0" fontId="1" fillId="15" borderId="0" xfId="0" applyNumberFormat="1" applyFont="1" applyFill="1" applyBorder="1" applyAlignment="1">
      <x:alignment wrapText="1"/>
    </x:xf>
    <x:xf numFmtId="0" fontId="1" fillId="15" borderId="0" xfId="0" applyNumberFormat="1" applyFont="1" applyFill="1" applyBorder="1" applyAlignment="1">
      <x:alignment horizontal="center" wrapText="1"/>
    </x:xf>
    <x:xf numFmtId="0" fontId="1" fillId="15" borderId="0" xfId="0" applyNumberFormat="1" applyFont="1" applyFill="1" applyBorder="1" applyAlignment="1">
      <x:alignment horizontal="center" vertical="center" wrapText="1"/>
    </x:xf>
    <x:xf numFmtId="0" fontId="0" fillId="16" borderId="0" xfId="0" applyNumberFormat="1" applyFont="1" applyFill="1" applyBorder="1"/>
  </x:cellXfs>
  <x:cellStyles count="2">
    <x:cellStyle name="Köprü" xfId="1"/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99f7aa199e34d63" /><Relationship Type="http://schemas.openxmlformats.org/officeDocument/2006/relationships/theme" Target="/xl/theme/theme1.xml" Id="R1de5cdcec21e431c" /><Relationship Type="http://schemas.openxmlformats.org/officeDocument/2006/relationships/sharedStrings" Target="/xl/sharedStrings.xml" Id="R7d6c0c5e0b03499a" /><Relationship Type="http://schemas.openxmlformats.org/officeDocument/2006/relationships/worksheet" Target="/xl/worksheets/sheet1.xml" Id="R5da03a1f94064d93" /><Relationship Type="http://schemas.openxmlformats.org/officeDocument/2006/relationships/worksheet" Target="/xl/worksheets/sheet2.xml" Id="R280de119b2ef4dd1" /><Relationship Type="http://schemas.openxmlformats.org/officeDocument/2006/relationships/worksheet" Target="/xl/worksheets/sheet3.xml" Id="Re076a537326a4e13" /><Relationship Type="http://schemas.openxmlformats.org/officeDocument/2006/relationships/worksheet" Target="/xl/worksheets/sheet4.xml" Id="Ra9b9c9a01a124e4b" /><Relationship Type="http://schemas.openxmlformats.org/officeDocument/2006/relationships/worksheet" Target="/xl/worksheets/sheet5.xml" Id="R5e2293e460704ad2" /><Relationship Type="http://schemas.openxmlformats.org/officeDocument/2006/relationships/worksheet" Target="/xl/worksheets/sheet6.xml" Id="Rea7644fd068e40de" /><Relationship Type="http://schemas.openxmlformats.org/officeDocument/2006/relationships/worksheet" Target="/xl/worksheets/sheet7.xml" Id="Ra3cbeeadadf34d3a" /></Relationships>
</file>

<file path=xl/tables/table1.xml><?xml version="1.0" encoding="utf-8"?>
<x:table xmlns:x="http://schemas.openxmlformats.org/spreadsheetml/2006/main" id="7" name="UrunlerTablosu" displayName="UrunlerTablosu" ref="A1:K488" totalsRowShown="0">
  <x:autoFilter ref="A1:K488"/>
  <x:tableColumns count="11">
    <x:tableColumn id="1" name="Barkod"/>
    <x:tableColumn id="2" name="Yayın"/>
    <x:tableColumn id="3" name="Sınıf"/>
    <x:tableColumn id="4" name="Ders"/>
    <x:tableColumn id="5" name="Genel Tür"/>
    <x:tableColumn id="6" name="Tür"/>
    <x:tableColumn id="7" name="Fiyat"/>
    <x:tableColumn id="8" name="İnd"/>
    <x:tableColumn id="9" name="Toplu"/>
    <x:tableColumn id="10" name="Tanıtım Linki"/>
    <x:tableColumn id="11" name="Yeni Barkodlar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1" name="IndirimlerTablosu" displayName="IndirimlerTablosu" ref="A1:D110" totalsRowShown="0">
  <x:tableColumns count="4">
    <x:tableColumn id="1" name="Yayın"/>
    <x:tableColumn id="2" name="Sınıf"/>
    <x:tableColumn id="3" name="Tekli İndirim %"/>
    <x:tableColumn id="4" name="Toplu İndirim %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SinifAyarlariTablosu" displayName="SinifAyarlariTablosu" ref="A3:B12" totalsRowShown="0">
  <x:tableColumns count="2">
    <x:tableColumn id="1" name="Sınıf"/>
    <x:tableColumn id="2" name="Kademe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KitabeviListesiTablosu" displayName="KitabeviListesiTablosu" ref="D3:E20" totalsRowShown="0">
  <x:tableColumns count="2">
    <x:tableColumn id="1" name="Kitabevi Kodu"/>
    <x:tableColumn id="2" name="Kitabevi Adı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SayfaAyarlariTablosu" displayName="SayfaAyarlariTablosu" ref="A1:H20" totalsRowShown="0">
  <x:tableColumns count="8">
    <x:tableColumn id="1" name="Kitabevi Kodu"/>
    <x:tableColumn id="2" name="Kademe"/>
    <x:tableColumn id="3" name="Sayfa Başlığı"/>
    <x:tableColumn id="4" name="Açıklama"/>
    <x:tableColumn id="5" name="Ana Renk"/>
    <x:tableColumn id="6" name="Vurgu Rengi"/>
    <x:tableColumn id="7" name="Aktif"/>
    <x:tableColumn id="8" name="Ana Sayfa Sırası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6" name="IletisimTablosu" displayName="IletisimTablosu" ref="A1:E40" totalsRowShown="0">
  <x:tableColumns count="5">
    <x:tableColumn id="1" name="Kitabevi Kodu"/>
    <x:tableColumn id="2" name="Kademe"/>
    <x:tableColumn id="3" name="Ad Soyad"/>
    <x:tableColumn id="4" name="Telefon"/>
    <x:tableColumn id="5" name="WhatsApp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hyperlink" Target="https://online.fliphtml5.com/kbscf/eahn/" TargetMode="External" Id="Ra8b67e8a81354fd7" /><Relationship Type="http://schemas.openxmlformats.org/officeDocument/2006/relationships/hyperlink" Target="https://online.fliphtml5.com/chncu/mibj/" TargetMode="External" Id="R8c5cf00ff194490e" /><Relationship Type="http://schemas.openxmlformats.org/officeDocument/2006/relationships/hyperlink" Target="https://online.fliphtml5.com/udqwy/tjur/" TargetMode="External" Id="R725be37277c543f3" /><Relationship Type="http://schemas.openxmlformats.org/officeDocument/2006/relationships/hyperlink" Target="https://online.fliphtml5.com/cotrr/cewx/" TargetMode="External" Id="Ra593d1ddc2fc4882" /><Relationship Type="http://schemas.openxmlformats.org/officeDocument/2006/relationships/hyperlink" Target="https://online.fliphtml5.com/kbscf/nfsd/" TargetMode="External" Id="R6509f43898a04599" /><Relationship Type="http://schemas.openxmlformats.org/officeDocument/2006/relationships/hyperlink" Target="https://online.fliphtml5.com/udqwy/peka/" TargetMode="External" Id="R215bf2246fd841bd" /><Relationship Type="http://schemas.openxmlformats.org/officeDocument/2006/relationships/hyperlink" Target="https://online.fliphtml5.com/kbscf/wtkw/" TargetMode="External" Id="R4c04e84133a94f8b" /><Relationship Type="http://schemas.openxmlformats.org/officeDocument/2006/relationships/hyperlink" Target="https://online.fliphtml5.com/chncu/xxtv/" TargetMode="External" Id="Rbb2734d666d543df" /><Relationship Type="http://schemas.openxmlformats.org/officeDocument/2006/relationships/hyperlink" Target="https://online.fliphtml5.com/wrbmv/lxrj/" TargetMode="External" Id="R9e50211ab0cb4730" /><Relationship Type="http://schemas.openxmlformats.org/officeDocument/2006/relationships/hyperlink" Target="https://online.fliphtml5.com/cotrr/puqp/" TargetMode="External" Id="R2e678d0f34bb4a1b" /><Relationship Type="http://schemas.openxmlformats.org/officeDocument/2006/relationships/hyperlink" Target="https://online.fliphtml5.com/wrbmv/yois/" TargetMode="External" Id="R8c76c90be3034c77" /><Relationship Type="http://schemas.openxmlformats.org/officeDocument/2006/relationships/hyperlink" Target="https://online.fliphtml5.com/udqwy/wobl/" TargetMode="External" Id="Ra2a6a84574f343f0" /><Relationship Type="http://schemas.openxmlformats.org/officeDocument/2006/relationships/hyperlink" Target="https://online.fliphtml5.com/cotrr/uoyw/" TargetMode="External" Id="R24153d84382a41c0" /><Relationship Type="http://schemas.openxmlformats.org/officeDocument/2006/relationships/hyperlink" Target="https://online.fliphtml5.com/kbscf/ifyh/" TargetMode="External" Id="R635ae4f039c9487f" /><Relationship Type="http://schemas.openxmlformats.org/officeDocument/2006/relationships/hyperlink" Target="https://online.fliphtml5.com/udqwy/mdvp/" TargetMode="External" Id="Redb89279cd0e485c" /><Relationship Type="http://schemas.openxmlformats.org/officeDocument/2006/relationships/hyperlink" Target="https://online.fliphtml5.com/udqwy/afjs/" TargetMode="External" Id="Rdbb00d72b4c84839" /><Relationship Type="http://schemas.openxmlformats.org/officeDocument/2006/relationships/hyperlink" Target="https://online.fliphtml5.com/cotrr/kgkl/" TargetMode="External" Id="Re83fc8638c124ce1" /><Relationship Type="http://schemas.openxmlformats.org/officeDocument/2006/relationships/hyperlink" Target="https://online.fliphtml5.com/kbscf/bilu/" TargetMode="External" Id="Rd1ccfb348218407e" /><Relationship Type="http://schemas.openxmlformats.org/officeDocument/2006/relationships/hyperlink" Target="https://online.fliphtml5.com/wrbmv/jhtg/" TargetMode="External" Id="Re0a6ea2c8e54482e" /><Relationship Type="http://schemas.openxmlformats.org/officeDocument/2006/relationships/hyperlink" Target="https://online.fliphtml5.com/wrbmv/etlo/" TargetMode="External" Id="Rf313729fe30e4795" /><Relationship Type="http://schemas.openxmlformats.org/officeDocument/2006/relationships/hyperlink" Target="https://online.fliphtml5.com/udqwy/myzu/" TargetMode="External" Id="R46ebd285693e4d75" /><Relationship Type="http://schemas.openxmlformats.org/officeDocument/2006/relationships/hyperlink" Target="https://online.fliphtml5.com/cotrr/ebfi/" TargetMode="External" Id="Rba62afe623364400" /><Relationship Type="http://schemas.openxmlformats.org/officeDocument/2006/relationships/hyperlink" Target="https://online.fliphtml5.com/kbscf/pqrm/" TargetMode="External" Id="R626d8dbed8eb40c1" /><Relationship Type="http://schemas.openxmlformats.org/officeDocument/2006/relationships/hyperlink" Target="https://online.fliphtml5.com/udqwy/atkt/" TargetMode="External" Id="R87d62b242cdc486e" /><Relationship Type="http://schemas.openxmlformats.org/officeDocument/2006/relationships/hyperlink" Target="https://online.fliphtml5.com/kbscf/uclz/" TargetMode="External" Id="R4e548c3690be4ebc" /><Relationship Type="http://schemas.openxmlformats.org/officeDocument/2006/relationships/hyperlink" Target="https://online.fliphtml5.com/chncu/zjmx/" TargetMode="External" Id="R6a04c76cbbc941e2" /><Relationship Type="http://schemas.openxmlformats.org/officeDocument/2006/relationships/hyperlink" Target="https://online.fliphtml5.com/wrbmv/wcqa/" TargetMode="External" Id="R3c7123c9e44144bc" /><Relationship Type="http://schemas.openxmlformats.org/officeDocument/2006/relationships/hyperlink" Target="https://online.fliphtml5.com/cotrr/mgkp/" TargetMode="External" Id="Rf73cd085d5ba43fd" /><Relationship Type="http://schemas.openxmlformats.org/officeDocument/2006/relationships/hyperlink" Target="https://online.fliphtml5.com/wrbmv/lspl/" TargetMode="External" Id="R8386705a60ca4889" /><Relationship Type="http://schemas.openxmlformats.org/officeDocument/2006/relationships/hyperlink" Target="https://online.fliphtml5.com/udqwy/ssrj/" TargetMode="External" Id="R5e74deb9eea44f86" /><Relationship Type="http://schemas.openxmlformats.org/officeDocument/2006/relationships/hyperlink" Target="https://online.fliphtml5.com/cotrr/jwjt/" TargetMode="External" Id="R9537430d9bca428d" /><Relationship Type="http://schemas.openxmlformats.org/officeDocument/2006/relationships/hyperlink" Target="https://online.fliphtml5.com/kbscf/rwrl/" TargetMode="External" Id="R8151916a3e244916" /><Relationship Type="http://schemas.openxmlformats.org/officeDocument/2006/relationships/hyperlink" Target="https://online.fliphtml5.com/udqwy/xwsi/" TargetMode="External" Id="R0b2e0e1d5f104d82" /><Relationship Type="http://schemas.openxmlformats.org/officeDocument/2006/relationships/hyperlink" Target="https://online.fliphtml5.com/udqwy/hbis/" TargetMode="External" Id="R5c6601b0895b41e5" /><Relationship Type="http://schemas.openxmlformats.org/officeDocument/2006/relationships/hyperlink" Target="https://online.fliphtml5.com/kbscf/wxxz/" TargetMode="External" Id="Rb8a8df9a658947c8" /><Relationship Type="http://schemas.openxmlformats.org/officeDocument/2006/relationships/hyperlink" Target="https://online.fliphtml5.com/cotrr/hqex/" TargetMode="External" Id="Reb6a853e1e4742ef" /><Relationship Type="http://schemas.openxmlformats.org/officeDocument/2006/relationships/hyperlink" Target="https://online.fliphtml5.com/wrbmv/llma/" TargetMode="External" Id="R4d4bf19c2c5b4ca3" /><Relationship Type="http://schemas.openxmlformats.org/officeDocument/2006/relationships/hyperlink" Target="https://online.fliphtml5.com/udqwy/arvp/" TargetMode="External" Id="R120c72a0715446ad" /><Relationship Type="http://schemas.openxmlformats.org/officeDocument/2006/relationships/hyperlink" Target="https://online.fliphtml5.com/cotrr/nzux/" TargetMode="External" Id="R204f8e6cf97a46c5" /><Relationship Type="http://schemas.openxmlformats.org/officeDocument/2006/relationships/hyperlink" Target="https://online.fliphtml5.com/kbscf/uste/" TargetMode="External" Id="R689aae3ee0324e46" /><Relationship Type="http://schemas.openxmlformats.org/officeDocument/2006/relationships/hyperlink" Target="https://online.fliphtml5.com/udqwy/nxnv/" TargetMode="External" Id="Re74a224ed1624358" /><Relationship Type="http://schemas.openxmlformats.org/officeDocument/2006/relationships/hyperlink" Target="https://online.fliphtml5.com/kbscf/gitx/" TargetMode="External" Id="R2f45e80e886d442b" /><Relationship Type="http://schemas.openxmlformats.org/officeDocument/2006/relationships/hyperlink" Target="https://online.fliphtml5.com/udqwy/byqm/" TargetMode="External" Id="Rd28b7aede8f64e8c" /><Relationship Type="http://schemas.openxmlformats.org/officeDocument/2006/relationships/hyperlink" Target="https://online.fliphtml5.com/udqwy/ehfc/" TargetMode="External" Id="Rc56d741c5c964a2f" /><Relationship Type="http://schemas.openxmlformats.org/officeDocument/2006/relationships/hyperlink" Target="https://online.fliphtml5.com/kbscf/ykgk/" TargetMode="External" Id="Rd14db475bb504c0d" /><Relationship Type="http://schemas.openxmlformats.org/officeDocument/2006/relationships/hyperlink" Target="https://online.fliphtml5.com/cotrr/xgsh/" TargetMode="External" Id="R1550de81fb724024" /><Relationship Type="http://schemas.openxmlformats.org/officeDocument/2006/relationships/hyperlink" Target="https://online.fliphtml5.com/udqwy/mpgu/" TargetMode="External" Id="R993139d7d9184734" /><Relationship Type="http://schemas.openxmlformats.org/officeDocument/2006/relationships/hyperlink" Target="https://online.fliphtml5.com/kbscf/xztx/" TargetMode="External" Id="Re611f794205c4f87" /><Relationship Type="http://schemas.openxmlformats.org/officeDocument/2006/relationships/hyperlink" Target="https://online.fliphtml5.com/udqwy/yntn/" TargetMode="External" Id="R749489d8afa04074" /><Relationship Type="http://schemas.openxmlformats.org/officeDocument/2006/relationships/hyperlink" Target="https://online.fliphtml5.com/udqwy/lixu/" TargetMode="External" Id="Rc72dc4c170b94d2a" /><Relationship Type="http://schemas.openxmlformats.org/officeDocument/2006/relationships/table" Target="/xl/tables/table1.xml" Id="Reb2340301db948f0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d100b30ec8fc4ed8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3.xml" Id="R43b3f84bf12d4d25" /><Relationship Type="http://schemas.openxmlformats.org/officeDocument/2006/relationships/table" Target="/xl/tables/table4.xml" Id="Raa22a70df890427e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8753ffe177cc4b7d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5b37a75beed14015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4.25"/>
  <x:cols>
    <x:col min="1" max="1" width="18" customWidth="1"/>
    <x:col min="2" max="2" width="28" customWidth="1"/>
    <x:col min="3" max="3" width="16" customWidth="1"/>
    <x:col min="4" max="4" width="25" customWidth="1"/>
    <x:col min="5" max="5" width="28" customWidth="1"/>
    <x:col min="6" max="6" width="20" customWidth="1"/>
    <x:col min="7" max="9" width="14" customWidth="1"/>
    <x:col min="10" max="10" width="42" customWidth="1"/>
    <x:col min="11" max="11" width="28" customWidth="1"/>
    <x:col min="12" max="12" width="18" customWidth="1"/>
  </x:cols>
  <x:sheetData>
    <x:row r="1" ht="33.95000076293945" customHeight="1">
      <x:c r="A1" s="8" t="s">
        <x:v>0</x:v>
      </x:c>
      <x:c r="B1" s="9" t="s">
        <x:v>1</x:v>
      </x:c>
      <x:c r="C1" s="9" t="s">
        <x:v>2</x:v>
      </x:c>
      <x:c r="D1" s="9" t="s">
        <x:v>3</x:v>
      </x:c>
      <x:c r="E1" s="9" t="s">
        <x:v>4</x:v>
      </x:c>
      <x:c r="F1" s="9" t="s">
        <x:v>5</x:v>
      </x:c>
      <x:c r="G1" s="9" t="s">
        <x:v>6</x:v>
      </x:c>
      <x:c r="H1" s="9" t="s">
        <x:v>7</x:v>
      </x:c>
      <x:c r="I1" s="9" t="s">
        <x:v>8</x:v>
      </x:c>
      <x:c r="J1" s="10" t="s">
        <x:v>9</x:v>
      </x:c>
      <x:c r="K1" t="s">
        <x:v>10</x:v>
      </x:c>
    </x:row>
    <x:row r="2" ht="21.950000762939453" customHeight="1">
      <x:c r="A2" s="14" t="s">
        <x:v>11</x:v>
      </x:c>
      <x:c r="B2" s="11" t="s">
        <x:v>12</x:v>
      </x:c>
      <x:c r="C2" s="11" t="s">
        <x:v>13</x:v>
      </x:c>
      <x:c r="D2" s="11" t="s">
        <x:v>14</x:v>
      </x:c>
      <x:c r="E2" s="11" t="s">
        <x:v>15</x:v>
      </x:c>
      <x:c r="F2" s="11" t="s">
        <x:v>16</x:v>
      </x:c>
      <x:c r="G2" s="17">
        <x:v>509</x:v>
      </x:c>
      <x:c r="H2" s="20" t="e">
        <x:f>IF(SUMIFS(İndirimler!$C$2:$C$110,İndirimler!$A$2:$A$110,B2,İndirimler!$B$2:$B$110,C2)&gt;0,ROUND(G2*(1-SUMIFS(İndirimler!$C$2:$C$110,İndirimler!$A$2:$A$110,B2,İndirimler!$B$2:$B$110,C2)),2),"")</x:f>
        <x:v>#NAME?</x:v>
      </x:c>
      <x:c r="I2" s="23" t="e">
        <x:f>IF(SUMIFS(İndirimler!$D$2:$D$110,İndirimler!$A$2:$A$110,B2,İndirimler!$B$2:$B$110,C2)&gt;0,ROUND(G2*(1-SUMIFS(İndirimler!$D$2:$D$110,İndirimler!$A$2:$A$110,B2,İndirimler!$B$2:$B$110,C2)),2),"")</x:f>
        <x:v>#NAME?</x:v>
      </x:c>
      <x:c r="J2" s="11"/>
      <x:c r="K2" s="31"/>
    </x:row>
    <x:row r="3" ht="21.950000762939453" customHeight="1">
      <x:c r="A3" s="15" t="s">
        <x:v>17</x:v>
      </x:c>
      <x:c r="B3" s="12" t="s">
        <x:v>18</x:v>
      </x:c>
      <x:c r="C3" s="12" t="s">
        <x:v>13</x:v>
      </x:c>
      <x:c r="D3" s="12" t="s">
        <x:v>14</x:v>
      </x:c>
      <x:c r="E3" s="12"/>
      <x:c r="F3" s="12" t="s">
        <x:v>16</x:v>
      </x:c>
      <x:c r="G3" s="18">
        <x:v>539</x:v>
      </x:c>
      <x:c r="H3" s="21" t="e">
        <x:f>IF(SUMIFS(İndirimler!$C$2:$C$110,İndirimler!$A$2:$A$110,B3,İndirimler!$B$2:$B$110,C3)&gt;0,ROUND(G3*(1-SUMIFS(İndirimler!$C$2:$C$110,İndirimler!$A$2:$A$110,B3,İndirimler!$B$2:$B$110,C3)),2),"")</x:f>
        <x:v>#NAME?</x:v>
      </x:c>
      <x:c r="I3" s="24" t="e">
        <x:f>IF(SUMIFS(İndirimler!$D$2:$D$110,İndirimler!$A$2:$A$110,B3,İndirimler!$B$2:$B$110,C3)&gt;0,ROUND(G3*(1-SUMIFS(İndirimler!$D$2:$D$110,İndirimler!$A$2:$A$110,B3,İndirimler!$B$2:$B$110,C3)),2),"")</x:f>
        <x:v>#NAME?</x:v>
      </x:c>
      <x:c r="J3" s="12" t="s">
        <x:v>19</x:v>
      </x:c>
      <x:c r="K3" s="31"/>
    </x:row>
    <x:row r="4" ht="21.950000762939453" customHeight="1">
      <x:c r="A4" s="15" t="s">
        <x:v>20</x:v>
      </x:c>
      <x:c r="B4" s="12" t="s">
        <x:v>21</x:v>
      </x:c>
      <x:c r="C4" s="12" t="s">
        <x:v>13</x:v>
      </x:c>
      <x:c r="D4" s="12" t="s">
        <x:v>14</x:v>
      </x:c>
      <x:c r="E4" s="12" t="s">
        <x:v>15</x:v>
      </x:c>
      <x:c r="F4" s="12" t="s">
        <x:v>16</x:v>
      </x:c>
      <x:c r="G4" s="18">
        <x:v>369</x:v>
      </x:c>
      <x:c r="H4" s="21" t="e">
        <x:f>IF(SUMIFS(İndirimler!$C$2:$C$110,İndirimler!$A$2:$A$110,B4,İndirimler!$B$2:$B$110,C4)&gt;0,ROUND(G4*(1-SUMIFS(İndirimler!$C$2:$C$110,İndirimler!$A$2:$A$110,B4,İndirimler!$B$2:$B$110,C4)),2),"")</x:f>
        <x:v>#NAME?</x:v>
      </x:c>
      <x:c r="I4" s="24" t="e">
        <x:f>IF(SUMIFS(İndirimler!$D$2:$D$110,İndirimler!$A$2:$A$110,B4,İndirimler!$B$2:$B$110,C4)&gt;0,ROUND(G4*(1-SUMIFS(İndirimler!$D$2:$D$110,İndirimler!$A$2:$A$110,B4,İndirimler!$B$2:$B$110,C4)),2),"")</x:f>
        <x:v>#NAME?</x:v>
      </x:c>
      <x:c r="J4" s="12"/>
      <x:c r="K4" s="31"/>
    </x:row>
    <x:row r="5" ht="21.950000762939453" customHeight="1">
      <x:c r="A5" s="15" t="s">
        <x:v>22</x:v>
      </x:c>
      <x:c r="B5" s="12" t="s">
        <x:v>23</x:v>
      </x:c>
      <x:c r="C5" s="12" t="s">
        <x:v>13</x:v>
      </x:c>
      <x:c r="D5" s="12" t="s">
        <x:v>14</x:v>
      </x:c>
      <x:c r="E5" s="12"/>
      <x:c r="F5" s="12" t="s">
        <x:v>16</x:v>
      </x:c>
      <x:c r="G5" s="18">
        <x:v>480</x:v>
      </x:c>
      <x:c r="H5" s="21" t="e">
        <x:f>IF(SUMIFS(İndirimler!$C$2:$C$110,İndirimler!$A$2:$A$110,B5,İndirimler!$B$2:$B$110,C5)&gt;0,ROUND(G5*(1-SUMIFS(İndirimler!$C$2:$C$110,İndirimler!$A$2:$A$110,B5,İndirimler!$B$2:$B$110,C5)),2),"")</x:f>
        <x:v>#NAME?</x:v>
      </x:c>
      <x:c r="I5" s="24" t="e">
        <x:f>IF(SUMIFS(İndirimler!$D$2:$D$110,İndirimler!$A$2:$A$110,B5,İndirimler!$B$2:$B$110,C5)&gt;0,ROUND(G5*(1-SUMIFS(İndirimler!$D$2:$D$110,İndirimler!$A$2:$A$110,B5,İndirimler!$B$2:$B$110,C5)),2),"")</x:f>
        <x:v>#NAME?</x:v>
      </x:c>
      <x:c r="J5" s="12"/>
      <x:c r="K5" s="31"/>
    </x:row>
    <x:row r="6" ht="21.950000762939453" customHeight="1">
      <x:c r="A6" s="15" t="s">
        <x:v>24</x:v>
      </x:c>
      <x:c r="B6" s="12" t="s">
        <x:v>25</x:v>
      </x:c>
      <x:c r="C6" s="12" t="s">
        <x:v>13</x:v>
      </x:c>
      <x:c r="D6" s="12" t="s">
        <x:v>14</x:v>
      </x:c>
      <x:c r="E6" s="12" t="s">
        <x:v>26</x:v>
      </x:c>
      <x:c r="F6" s="12" t="s">
        <x:v>16</x:v>
      </x:c>
      <x:c r="G6" s="18"/>
      <x:c r="H6" s="21" t="e">
        <x:f>IF(SUMIFS(İndirimler!$C$2:$C$110,İndirimler!$A$2:$A$110,B6,İndirimler!$B$2:$B$110,C6)&gt;0,ROUND(G6*(1-SUMIFS(İndirimler!$C$2:$C$110,İndirimler!$A$2:$A$110,B6,İndirimler!$B$2:$B$110,C6)),2),"")</x:f>
        <x:v>#NAME?</x:v>
      </x:c>
      <x:c r="I6" s="24" t="e">
        <x:f>IF(SUMIFS(İndirimler!$D$2:$D$110,İndirimler!$A$2:$A$110,B6,İndirimler!$B$2:$B$110,C6)&gt;0,ROUND(G6*(1-SUMIFS(İndirimler!$D$2:$D$110,İndirimler!$A$2:$A$110,B6,İndirimler!$B$2:$B$110,C6)),2),"")</x:f>
        <x:v>#NAME?</x:v>
      </x:c>
      <x:c r="J6" s="12"/>
      <x:c r="K6" s="31"/>
    </x:row>
    <x:row r="7" ht="21.950000762939453" customHeight="1">
      <x:c r="A7" s="15" t="s">
        <x:v>27</x:v>
      </x:c>
      <x:c r="B7" s="12" t="s">
        <x:v>25</x:v>
      </x:c>
      <x:c r="C7" s="12" t="s">
        <x:v>13</x:v>
      </x:c>
      <x:c r="D7" s="12" t="s">
        <x:v>14</x:v>
      </x:c>
      <x:c r="E7" s="12" t="s">
        <x:v>28</x:v>
      </x:c>
      <x:c r="F7" s="12" t="s">
        <x:v>16</x:v>
      </x:c>
      <x:c r="G7" s="18"/>
      <x:c r="H7" s="21" t="e">
        <x:f>IF(SUMIFS(İndirimler!$C$2:$C$110,İndirimler!$A$2:$A$110,B7,İndirimler!$B$2:$B$110,C7)&gt;0,ROUND(G7*(1-SUMIFS(İndirimler!$C$2:$C$110,İndirimler!$A$2:$A$110,B7,İndirimler!$B$2:$B$110,C7)),2),"")</x:f>
        <x:v>#NAME?</x:v>
      </x:c>
      <x:c r="I7" s="24" t="e">
        <x:f>IF(SUMIFS(İndirimler!$D$2:$D$110,İndirimler!$A$2:$A$110,B7,İndirimler!$B$2:$B$110,C7)&gt;0,ROUND(G7*(1-SUMIFS(İndirimler!$D$2:$D$110,İndirimler!$A$2:$A$110,B7,İndirimler!$B$2:$B$110,C7)),2),"")</x:f>
        <x:v>#NAME?</x:v>
      </x:c>
      <x:c r="J7" s="12"/>
      <x:c r="K7" s="31"/>
    </x:row>
    <x:row r="8" ht="21.950000762939453" customHeight="1">
      <x:c r="A8" s="15" t="s">
        <x:v>29</x:v>
      </x:c>
      <x:c r="B8" s="12" t="s">
        <x:v>25</x:v>
      </x:c>
      <x:c r="C8" s="12" t="s">
        <x:v>13</x:v>
      </x:c>
      <x:c r="D8" s="12" t="s">
        <x:v>14</x:v>
      </x:c>
      <x:c r="E8" s="12" t="s">
        <x:v>30</x:v>
      </x:c>
      <x:c r="F8" s="12" t="s">
        <x:v>16</x:v>
      </x:c>
      <x:c r="G8" s="18">
        <x:v>219</x:v>
      </x:c>
      <x:c r="H8" s="21" t="e">
        <x:f>IF(SUMIFS(İndirimler!$C$2:$C$110,İndirimler!$A$2:$A$110,B8,İndirimler!$B$2:$B$110,C8)&gt;0,ROUND(G8*(1-SUMIFS(İndirimler!$C$2:$C$110,İndirimler!$A$2:$A$110,B8,İndirimler!$B$2:$B$110,C8)),2),"")</x:f>
        <x:v>#NAME?</x:v>
      </x:c>
      <x:c r="I8" s="24" t="e">
        <x:f>IF(SUMIFS(İndirimler!$D$2:$D$110,İndirimler!$A$2:$A$110,B8,İndirimler!$B$2:$B$110,C8)&gt;0,ROUND(G8*(1-SUMIFS(İndirimler!$D$2:$D$110,İndirimler!$A$2:$A$110,B8,İndirimler!$B$2:$B$110,C8)),2),"")</x:f>
        <x:v>#NAME?</x:v>
      </x:c>
      <x:c r="J8" s="12"/>
      <x:c r="K8" s="31"/>
    </x:row>
    <x:row r="9" ht="21.950000762939453" customHeight="1">
      <x:c r="A9" s="15" t="s">
        <x:v>31</x:v>
      </x:c>
      <x:c r="B9" s="12" t="s">
        <x:v>32</x:v>
      </x:c>
      <x:c r="C9" s="12" t="s">
        <x:v>33</x:v>
      </x:c>
      <x:c r="D9" s="12" t="s">
        <x:v>34</x:v>
      </x:c>
      <x:c r="E9" s="12"/>
      <x:c r="F9" s="12" t="s">
        <x:v>35</x:v>
      </x:c>
      <x:c r="G9" s="18">
        <x:v>549</x:v>
      </x:c>
      <x:c r="H9" s="21" t="e">
        <x:f>IF(SUMIFS(İndirimler!$C$2:$C$110,İndirimler!$A$2:$A$110,B9,İndirimler!$B$2:$B$110,C9)&gt;0,ROUND(G9*(1-SUMIFS(İndirimler!$C$2:$C$110,İndirimler!$A$2:$A$110,B9,İndirimler!$B$2:$B$110,C9)),2),"")</x:f>
        <x:v>#NAME?</x:v>
      </x:c>
      <x:c r="I9" s="24" t="e">
        <x:f>IF(SUMIFS(İndirimler!$D$2:$D$110,İndirimler!$A$2:$A$110,B9,İndirimler!$B$2:$B$110,C9)&gt;0,ROUND(G9*(1-SUMIFS(İndirimler!$D$2:$D$110,İndirimler!$A$2:$A$110,B9,İndirimler!$B$2:$B$110,C9)),2),"")</x:f>
        <x:v>#NAME?</x:v>
      </x:c>
      <x:c r="J9" s="30" t="s">
        <x:v>36</x:v>
      </x:c>
      <x:c r="K9" s="31"/>
    </x:row>
    <x:row r="10" ht="21.950000762939453" customHeight="1">
      <x:c r="A10" s="15" t="s">
        <x:v>37</x:v>
      </x:c>
      <x:c r="B10" s="12" t="s">
        <x:v>38</x:v>
      </x:c>
      <x:c r="C10" s="12" t="s">
        <x:v>33</x:v>
      </x:c>
      <x:c r="D10" s="12" t="s">
        <x:v>34</x:v>
      </x:c>
      <x:c r="E10" s="12"/>
      <x:c r="F10" s="12" t="s">
        <x:v>35</x:v>
      </x:c>
      <x:c r="G10" s="18">
        <x:v>565</x:v>
      </x:c>
      <x:c r="H10" s="21" t="e">
        <x:f>IF(SUMIFS(İndirimler!$C$2:$C$110,İndirimler!$A$2:$A$110,B10,İndirimler!$B$2:$B$110,C10)&gt;0,ROUND(G10*(1-SUMIFS(İndirimler!$C$2:$C$110,İndirimler!$A$2:$A$110,B10,İndirimler!$B$2:$B$110,C10)),2),"")</x:f>
        <x:v>#NAME?</x:v>
      </x:c>
      <x:c r="I10" s="24" t="e">
        <x:f>IF(SUMIFS(İndirimler!$D$2:$D$110,İndirimler!$A$2:$A$110,B10,İndirimler!$B$2:$B$110,C10)&gt;0,ROUND(G10*(1-SUMIFS(İndirimler!$D$2:$D$110,İndirimler!$A$2:$A$110,B10,İndirimler!$B$2:$B$110,C10)),2),"")</x:f>
        <x:v>#NAME?</x:v>
      </x:c>
      <x:c r="J10" s="30" t="s">
        <x:v>39</x:v>
      </x:c>
      <x:c r="K10" s="31"/>
    </x:row>
    <x:row r="11" ht="21.950000762939453" customHeight="1">
      <x:c r="A11" s="15" t="s">
        <x:v>40</x:v>
      </x:c>
      <x:c r="B11" s="12" t="s">
        <x:v>18</x:v>
      </x:c>
      <x:c r="C11" s="12" t="s">
        <x:v>33</x:v>
      </x:c>
      <x:c r="D11" s="12" t="s">
        <x:v>34</x:v>
      </x:c>
      <x:c r="E11" s="12" t="s">
        <x:v>41</x:v>
      </x:c>
      <x:c r="F11" s="12" t="s">
        <x:v>42</x:v>
      </x:c>
      <x:c r="G11" s="18"/>
      <x:c r="H11" s="21" t="e">
        <x:f>IF(SUMIFS(İndirimler!$C$2:$C$110,İndirimler!$A$2:$A$110,B11,İndirimler!$B$2:$B$110,C11)&gt;0,ROUND(G11*(1-SUMIFS(İndirimler!$C$2:$C$110,İndirimler!$A$2:$A$110,B11,İndirimler!$B$2:$B$110,C11)),2),"")</x:f>
        <x:v>#NAME?</x:v>
      </x:c>
      <x:c r="I11" s="24" t="e">
        <x:f>IF(SUMIFS(İndirimler!$D$2:$D$110,İndirimler!$A$2:$A$110,B11,İndirimler!$B$2:$B$110,C11)&gt;0,ROUND(G11*(1-SUMIFS(İndirimler!$D$2:$D$110,İndirimler!$A$2:$A$110,B11,İndirimler!$B$2:$B$110,C11)),2),"")</x:f>
        <x:v>#NAME?</x:v>
      </x:c>
      <x:c r="J11" s="12"/>
      <x:c r="K11" s="31"/>
    </x:row>
    <x:row r="12" ht="21.950000762939453" customHeight="1">
      <x:c r="A12" s="15" t="s">
        <x:v>43</x:v>
      </x:c>
      <x:c r="B12" s="12" t="s">
        <x:v>44</x:v>
      </x:c>
      <x:c r="C12" s="12" t="s">
        <x:v>33</x:v>
      </x:c>
      <x:c r="D12" s="12" t="s">
        <x:v>34</x:v>
      </x:c>
      <x:c r="E12" s="12" t="s">
        <x:v>45</x:v>
      </x:c>
      <x:c r="F12" s="12" t="s">
        <x:v>42</x:v>
      </x:c>
      <x:c r="G12" s="18">
        <x:v>428</x:v>
      </x:c>
      <x:c r="H12" s="21" t="e">
        <x:f>IF(SUMIFS(İndirimler!$C$2:$C$110,İndirimler!$A$2:$A$110,B12,İndirimler!$B$2:$B$110,C12)&gt;0,ROUND(G12*(1-SUMIFS(İndirimler!$C$2:$C$110,İndirimler!$A$2:$A$110,B12,İndirimler!$B$2:$B$110,C12)),2),"")</x:f>
        <x:v>#NAME?</x:v>
      </x:c>
      <x:c r="I12" s="24" t="e">
        <x:f>IF(SUMIFS(İndirimler!$D$2:$D$110,İndirimler!$A$2:$A$110,B12,İndirimler!$B$2:$B$110,C12)&gt;0,ROUND(G12*(1-SUMIFS(İndirimler!$D$2:$D$110,İndirimler!$A$2:$A$110,B12,İndirimler!$B$2:$B$110,C12)),2),"")</x:f>
        <x:v>#NAME?</x:v>
      </x:c>
      <x:c r="J12" s="12" t="s">
        <x:v>46</x:v>
      </x:c>
      <x:c r="K12" s="31"/>
    </x:row>
    <x:row r="13" ht="21.950000762939453" customHeight="1">
      <x:c r="A13" s="15" t="s">
        <x:v>47</x:v>
      </x:c>
      <x:c r="B13" s="12" t="s">
        <x:v>23</x:v>
      </x:c>
      <x:c r="C13" s="12" t="s">
        <x:v>33</x:v>
      </x:c>
      <x:c r="D13" s="12" t="s">
        <x:v>34</x:v>
      </x:c>
      <x:c r="E13" s="12"/>
      <x:c r="F13" s="12" t="s">
        <x:v>42</x:v>
      </x:c>
      <x:c r="G13" s="18">
        <x:v>669</x:v>
      </x:c>
      <x:c r="H13" s="21" t="e">
        <x:f>IF(SUMIFS(İndirimler!$C$2:$C$110,İndirimler!$A$2:$A$110,B13,İndirimler!$B$2:$B$110,C13)&gt;0,ROUND(G13*(1-SUMIFS(İndirimler!$C$2:$C$110,İndirimler!$A$2:$A$110,B13,İndirimler!$B$2:$B$110,C13)),2),"")</x:f>
        <x:v>#NAME?</x:v>
      </x:c>
      <x:c r="I13" s="24" t="e">
        <x:f>IF(SUMIFS(İndirimler!$D$2:$D$110,İndirimler!$A$2:$A$110,B13,İndirimler!$B$2:$B$110,C13)&gt;0,ROUND(G13*(1-SUMIFS(İndirimler!$D$2:$D$110,İndirimler!$A$2:$A$110,B13,İndirimler!$B$2:$B$110,C13)),2),"")</x:f>
        <x:v>#NAME?</x:v>
      </x:c>
      <x:c r="J13" s="12" t="s">
        <x:v>48</x:v>
      </x:c>
      <x:c r="K13" s="31"/>
    </x:row>
    <x:row r="14" ht="21.950000762939453" customHeight="1">
      <x:c r="A14" s="15" t="s">
        <x:v>49</x:v>
      </x:c>
      <x:c r="B14" s="12" t="s">
        <x:v>50</x:v>
      </x:c>
      <x:c r="C14" s="12" t="s">
        <x:v>33</x:v>
      </x:c>
      <x:c r="D14" s="12" t="s">
        <x:v>34</x:v>
      </x:c>
      <x:c r="E14" s="12" t="s">
        <x:v>51</x:v>
      </x:c>
      <x:c r="F14" s="12" t="s">
        <x:v>42</x:v>
      </x:c>
      <x:c r="G14" s="18">
        <x:v>800</x:v>
      </x:c>
      <x:c r="H14" s="21" t="e">
        <x:f>IF(SUMIFS(İndirimler!$C$2:$C$110,İndirimler!$A$2:$A$110,B14,İndirimler!$B$2:$B$110,C14)&gt;0,ROUND(G14*(1-SUMIFS(İndirimler!$C$2:$C$110,İndirimler!$A$2:$A$110,B14,İndirimler!$B$2:$B$110,C14)),2),"")</x:f>
        <x:v>#NAME?</x:v>
      </x:c>
      <x:c r="I14" s="24" t="e">
        <x:f>IF(SUMIFS(İndirimler!$D$2:$D$110,İndirimler!$A$2:$A$110,B14,İndirimler!$B$2:$B$110,C14)&gt;0,ROUND(G14*(1-SUMIFS(İndirimler!$D$2:$D$110,İndirimler!$A$2:$A$110,B14,İndirimler!$B$2:$B$110,C14)),2),"")</x:f>
        <x:v>#NAME?</x:v>
      </x:c>
      <x:c r="J14" s="12"/>
      <x:c r="K14" s="31"/>
    </x:row>
    <x:row r="15" ht="21.950000762939453" customHeight="1">
      <x:c r="A15" s="15" t="s">
        <x:v>52</x:v>
      </x:c>
      <x:c r="B15" s="12" t="s">
        <x:v>53</x:v>
      </x:c>
      <x:c r="C15" s="12" t="s">
        <x:v>33</x:v>
      </x:c>
      <x:c r="D15" s="12" t="s">
        <x:v>34</x:v>
      </x:c>
      <x:c r="E15" s="12"/>
      <x:c r="F15" s="12" t="s">
        <x:v>42</x:v>
      </x:c>
      <x:c r="G15" s="18">
        <x:v>539</x:v>
      </x:c>
      <x:c r="H15" s="21" t="e">
        <x:f>IF(SUMIFS(İndirimler!$C$2:$C$110,İndirimler!$A$2:$A$110,B15,İndirimler!$B$2:$B$110,C15)&gt;0,ROUND(G15*(1-SUMIFS(İndirimler!$C$2:$C$110,İndirimler!$A$2:$A$110,B15,İndirimler!$B$2:$B$110,C15)),2),"")</x:f>
        <x:v>#NAME?</x:v>
      </x:c>
      <x:c r="I15" s="24" t="e">
        <x:f>IF(SUMIFS(İndirimler!$D$2:$D$110,İndirimler!$A$2:$A$110,B15,İndirimler!$B$2:$B$110,C15)&gt;0,ROUND(G15*(1-SUMIFS(İndirimler!$D$2:$D$110,İndirimler!$A$2:$A$110,B15,İndirimler!$B$2:$B$110,C15)),2),"")</x:f>
        <x:v>#NAME?</x:v>
      </x:c>
      <x:c r="J15" s="12"/>
      <x:c r="K15" s="31"/>
    </x:row>
    <x:row r="16" ht="21.950000762939453" customHeight="1">
      <x:c r="A16" s="15" t="s">
        <x:v>54</x:v>
      </x:c>
      <x:c r="B16" s="12" t="s">
        <x:v>55</x:v>
      </x:c>
      <x:c r="C16" s="12" t="s">
        <x:v>33</x:v>
      </x:c>
      <x:c r="D16" s="12" t="s">
        <x:v>34</x:v>
      </x:c>
      <x:c r="E16" s="12"/>
      <x:c r="F16" s="12" t="s">
        <x:v>16</x:v>
      </x:c>
      <x:c r="G16" s="18">
        <x:v>402</x:v>
      </x:c>
      <x:c r="H16" s="21" t="e">
        <x:f>IF(SUMIFS(İndirimler!$C$2:$C$110,İndirimler!$A$2:$A$110,B16,İndirimler!$B$2:$B$110,C16)&gt;0,ROUND(G16*(1-SUMIFS(İndirimler!$C$2:$C$110,İndirimler!$A$2:$A$110,B16,İndirimler!$B$2:$B$110,C16)),2),"")</x:f>
        <x:v>#NAME?</x:v>
      </x:c>
      <x:c r="I16" s="24" t="e">
        <x:f>IF(SUMIFS(İndirimler!$D$2:$D$110,İndirimler!$A$2:$A$110,B16,İndirimler!$B$2:$B$110,C16)&gt;0,ROUND(G16*(1-SUMIFS(İndirimler!$D$2:$D$110,İndirimler!$A$2:$A$110,B16,İndirimler!$B$2:$B$110,C16)),2),"")</x:f>
        <x:v>#NAME?</x:v>
      </x:c>
      <x:c r="J16" s="12" t="s">
        <x:v>56</x:v>
      </x:c>
      <x:c r="K16" s="31"/>
    </x:row>
    <x:row r="17" ht="21.950000762939453" customHeight="1">
      <x:c r="A17" s="15" t="s">
        <x:v>57</x:v>
      </x:c>
      <x:c r="B17" s="12" t="s">
        <x:v>18</x:v>
      </x:c>
      <x:c r="C17" s="12" t="s">
        <x:v>33</x:v>
      </x:c>
      <x:c r="D17" s="12" t="s">
        <x:v>34</x:v>
      </x:c>
      <x:c r="E17" s="12"/>
      <x:c r="F17" s="12" t="s">
        <x:v>16</x:v>
      </x:c>
      <x:c r="G17" s="18">
        <x:v>329</x:v>
      </x:c>
      <x:c r="H17" s="21" t="e">
        <x:f>IF(SUMIFS(İndirimler!$C$2:$C$110,İndirimler!$A$2:$A$110,B17,İndirimler!$B$2:$B$110,C17)&gt;0,ROUND(G17*(1-SUMIFS(İndirimler!$C$2:$C$110,İndirimler!$A$2:$A$110,B17,İndirimler!$B$2:$B$110,C17)),2),"")</x:f>
        <x:v>#NAME?</x:v>
      </x:c>
      <x:c r="I17" s="24" t="e">
        <x:f>IF(SUMIFS(İndirimler!$D$2:$D$110,İndirimler!$A$2:$A$110,B17,İndirimler!$B$2:$B$110,C17)&gt;0,ROUND(G17*(1-SUMIFS(İndirimler!$D$2:$D$110,İndirimler!$A$2:$A$110,B17,İndirimler!$B$2:$B$110,C17)),2),"")</x:f>
        <x:v>#NAME?</x:v>
      </x:c>
      <x:c r="J17" s="30" t="s">
        <x:v>58</x:v>
      </x:c>
      <x:c r="K17" s="31"/>
    </x:row>
    <x:row r="18" ht="21.950000762939453" customHeight="1">
      <x:c r="A18" s="15" t="s">
        <x:v>59</x:v>
      </x:c>
      <x:c r="B18" s="12" t="s">
        <x:v>44</x:v>
      </x:c>
      <x:c r="C18" s="12" t="s">
        <x:v>33</x:v>
      </x:c>
      <x:c r="D18" s="12" t="s">
        <x:v>34</x:v>
      </x:c>
      <x:c r="E18" s="12" t="s">
        <x:v>60</x:v>
      </x:c>
      <x:c r="F18" s="12" t="s">
        <x:v>16</x:v>
      </x:c>
      <x:c r="G18" s="18">
        <x:v>428</x:v>
      </x:c>
      <x:c r="H18" s="21" t="e">
        <x:f>IF(SUMIFS(İndirimler!$C$2:$C$110,İndirimler!$A$2:$A$110,B18,İndirimler!$B$2:$B$110,C18)&gt;0,ROUND(G18*(1-SUMIFS(İndirimler!$C$2:$C$110,İndirimler!$A$2:$A$110,B18,İndirimler!$B$2:$B$110,C18)),2),"")</x:f>
        <x:v>#NAME?</x:v>
      </x:c>
      <x:c r="I18" s="24" t="e">
        <x:f>IF(SUMIFS(İndirimler!$D$2:$D$110,İndirimler!$A$2:$A$110,B18,İndirimler!$B$2:$B$110,C18)&gt;0,ROUND(G18*(1-SUMIFS(İndirimler!$D$2:$D$110,İndirimler!$A$2:$A$110,B18,İndirimler!$B$2:$B$110,C18)),2),"")</x:f>
        <x:v>#NAME?</x:v>
      </x:c>
      <x:c r="J18" s="12" t="s">
        <x:v>61</x:v>
      </x:c>
      <x:c r="K18" s="31"/>
    </x:row>
    <x:row r="19" ht="21.950000762939453" customHeight="1">
      <x:c r="A19" s="15" t="s">
        <x:v>62</x:v>
      </x:c>
      <x:c r="B19" s="12" t="s">
        <x:v>63</x:v>
      </x:c>
      <x:c r="C19" s="12" t="s">
        <x:v>33</x:v>
      </x:c>
      <x:c r="D19" s="12" t="s">
        <x:v>34</x:v>
      </x:c>
      <x:c r="E19" s="12" t="s">
        <x:v>64</x:v>
      </x:c>
      <x:c r="F19" s="12" t="s">
        <x:v>16</x:v>
      </x:c>
      <x:c r="G19" s="18">
        <x:v>475</x:v>
      </x:c>
      <x:c r="H19" s="21" t="e">
        <x:f>IF(SUMIFS(İndirimler!$C$2:$C$110,İndirimler!$A$2:$A$110,B19,İndirimler!$B$2:$B$110,C19)&gt;0,ROUND(G19*(1-SUMIFS(İndirimler!$C$2:$C$110,İndirimler!$A$2:$A$110,B19,İndirimler!$B$2:$B$110,C19)),2),"")</x:f>
        <x:v>#NAME?</x:v>
      </x:c>
      <x:c r="I19" s="24" t="e">
        <x:f>IF(SUMIFS(İndirimler!$D$2:$D$110,İndirimler!$A$2:$A$110,B19,İndirimler!$B$2:$B$110,C19)&gt;0,ROUND(G19*(1-SUMIFS(İndirimler!$D$2:$D$110,İndirimler!$A$2:$A$110,B19,İndirimler!$B$2:$B$110,C19)),2),"")</x:f>
        <x:v>#NAME?</x:v>
      </x:c>
      <x:c r="J19" s="12" t="s">
        <x:v>65</x:v>
      </x:c>
      <x:c r="K19" s="31"/>
    </x:row>
    <x:row r="20" ht="21.950000762939453" customHeight="1">
      <x:c r="A20" s="15" t="s">
        <x:v>66</x:v>
      </x:c>
      <x:c r="B20" s="12" t="s">
        <x:v>23</x:v>
      </x:c>
      <x:c r="C20" s="12" t="s">
        <x:v>33</x:v>
      </x:c>
      <x:c r="D20" s="12" t="s">
        <x:v>34</x:v>
      </x:c>
      <x:c r="E20" s="12"/>
      <x:c r="F20" s="12" t="s">
        <x:v>16</x:v>
      </x:c>
      <x:c r="G20" s="18">
        <x:v>626</x:v>
      </x:c>
      <x:c r="H20" s="21" t="e">
        <x:f>IF(SUMIFS(İndirimler!$C$2:$C$110,İndirimler!$A$2:$A$110,B20,İndirimler!$B$2:$B$110,C20)&gt;0,ROUND(G20*(1-SUMIFS(İndirimler!$C$2:$C$110,İndirimler!$A$2:$A$110,B20,İndirimler!$B$2:$B$110,C20)),2),"")</x:f>
        <x:v>#NAME?</x:v>
      </x:c>
      <x:c r="I20" s="24" t="e">
        <x:f>IF(SUMIFS(İndirimler!$D$2:$D$110,İndirimler!$A$2:$A$110,B20,İndirimler!$B$2:$B$110,C20)&gt;0,ROUND(G20*(1-SUMIFS(İndirimler!$D$2:$D$110,İndirimler!$A$2:$A$110,B20,İndirimler!$B$2:$B$110,C20)),2),"")</x:f>
        <x:v>#NAME?</x:v>
      </x:c>
      <x:c r="J20" s="30" t="s">
        <x:v>67</x:v>
      </x:c>
      <x:c r="K20" s="31"/>
    </x:row>
    <x:row r="21" ht="21.950000762939453" customHeight="1">
      <x:c r="A21" s="15" t="s">
        <x:v>68</x:v>
      </x:c>
      <x:c r="B21" s="12" t="s">
        <x:v>50</x:v>
      </x:c>
      <x:c r="C21" s="12" t="s">
        <x:v>33</x:v>
      </x:c>
      <x:c r="D21" s="12" t="s">
        <x:v>34</x:v>
      </x:c>
      <x:c r="E21" s="12" t="s">
        <x:v>69</x:v>
      </x:c>
      <x:c r="F21" s="12" t="s">
        <x:v>16</x:v>
      </x:c>
      <x:c r="G21" s="18">
        <x:v>493</x:v>
      </x:c>
      <x:c r="H21" s="21" t="e">
        <x:f>IF(SUMIFS(İndirimler!$C$2:$C$110,İndirimler!$A$2:$A$110,B21,İndirimler!$B$2:$B$110,C21)&gt;0,ROUND(G21*(1-SUMIFS(İndirimler!$C$2:$C$110,İndirimler!$A$2:$A$110,B21,İndirimler!$B$2:$B$110,C21)),2),"")</x:f>
        <x:v>#NAME?</x:v>
      </x:c>
      <x:c r="I21" s="24" t="e">
        <x:f>IF(SUMIFS(İndirimler!$D$2:$D$110,İndirimler!$A$2:$A$110,B21,İndirimler!$B$2:$B$110,C21)&gt;0,ROUND(G21*(1-SUMIFS(İndirimler!$D$2:$D$110,İndirimler!$A$2:$A$110,B21,İndirimler!$B$2:$B$110,C21)),2),"")</x:f>
        <x:v>#NAME?</x:v>
      </x:c>
      <x:c r="J21" s="12"/>
      <x:c r="K21" s="31"/>
    </x:row>
    <x:row r="22" ht="21.950000762939453" customHeight="1">
      <x:c r="A22" s="15" t="s">
        <x:v>70</x:v>
      </x:c>
      <x:c r="B22" s="12" t="s">
        <x:v>38</x:v>
      </x:c>
      <x:c r="C22" s="12" t="s">
        <x:v>33</x:v>
      </x:c>
      <x:c r="D22" s="12" t="s">
        <x:v>34</x:v>
      </x:c>
      <x:c r="E22" s="12" t="s">
        <x:v>69</x:v>
      </x:c>
      <x:c r="F22" s="12" t="s">
        <x:v>16</x:v>
      </x:c>
      <x:c r="G22" s="18">
        <x:v>519</x:v>
      </x:c>
      <x:c r="H22" s="21" t="e">
        <x:f>IF(SUMIFS(İndirimler!$C$2:$C$110,İndirimler!$A$2:$A$110,B22,İndirimler!$B$2:$B$110,C22)&gt;0,ROUND(G22*(1-SUMIFS(İndirimler!$C$2:$C$110,İndirimler!$A$2:$A$110,B22,İndirimler!$B$2:$B$110,C22)),2),"")</x:f>
        <x:v>#NAME?</x:v>
      </x:c>
      <x:c r="I22" s="24" t="e">
        <x:f>IF(SUMIFS(İndirimler!$D$2:$D$110,İndirimler!$A$2:$A$110,B22,İndirimler!$B$2:$B$110,C22)&gt;0,ROUND(G22*(1-SUMIFS(İndirimler!$D$2:$D$110,İndirimler!$A$2:$A$110,B22,İndirimler!$B$2:$B$110,C22)),2),"")</x:f>
        <x:v>#NAME?</x:v>
      </x:c>
      <x:c r="J22" s="30"/>
      <x:c r="K22" s="31"/>
    </x:row>
    <x:row r="23" ht="21.950000762939453" customHeight="1">
      <x:c r="A23" s="15" t="s">
        <x:v>71</x:v>
      </x:c>
      <x:c r="B23" s="12" t="s">
        <x:v>72</x:v>
      </x:c>
      <x:c r="C23" s="12" t="s">
        <x:v>33</x:v>
      </x:c>
      <x:c r="D23" s="12" t="s">
        <x:v>34</x:v>
      </x:c>
      <x:c r="E23" s="12"/>
      <x:c r="F23" s="12" t="s">
        <x:v>73</x:v>
      </x:c>
      <x:c r="G23" s="18">
        <x:v>329</x:v>
      </x:c>
      <x:c r="H23" s="21" t="e">
        <x:f>IF(SUMIFS(İndirimler!$C$2:$C$110,İndirimler!$A$2:$A$110,B23,İndirimler!$B$2:$B$110,C23)&gt;0,ROUND(G23*(1-SUMIFS(İndirimler!$C$2:$C$110,İndirimler!$A$2:$A$110,B23,İndirimler!$B$2:$B$110,C23)),2),"")</x:f>
        <x:v>#NAME?</x:v>
      </x:c>
      <x:c r="I23" s="24" t="e">
        <x:f>IF(SUMIFS(İndirimler!$D$2:$D$110,İndirimler!$A$2:$A$110,B23,İndirimler!$B$2:$B$110,C23)&gt;0,ROUND(G23*(1-SUMIFS(İndirimler!$D$2:$D$110,İndirimler!$A$2:$A$110,B23,İndirimler!$B$2:$B$110,C23)),2),"")</x:f>
        <x:v>#NAME?</x:v>
      </x:c>
      <x:c r="J23" s="12"/>
      <x:c r="K23" s="31"/>
    </x:row>
    <x:row r="24" ht="21.950000762939453" customHeight="1">
      <x:c r="A24" s="15" t="s">
        <x:v>74</x:v>
      </x:c>
      <x:c r="B24" s="12" t="s">
        <x:v>72</x:v>
      </x:c>
      <x:c r="C24" s="12" t="s">
        <x:v>33</x:v>
      </x:c>
      <x:c r="D24" s="12" t="s">
        <x:v>34</x:v>
      </x:c>
      <x:c r="E24" s="12"/>
      <x:c r="F24" s="12" t="s">
        <x:v>73</x:v>
      </x:c>
      <x:c r="G24" s="18">
        <x:v>429</x:v>
      </x:c>
      <x:c r="H24" s="21" t="e">
        <x:f>IF(SUMIFS(İndirimler!$C$2:$C$110,İndirimler!$A$2:$A$110,B24,İndirimler!$B$2:$B$110,C24)&gt;0,ROUND(G24*(1-SUMIFS(İndirimler!$C$2:$C$110,İndirimler!$A$2:$A$110,B24,İndirimler!$B$2:$B$110,C24)),2),"")</x:f>
        <x:v>#NAME?</x:v>
      </x:c>
      <x:c r="I24" s="24" t="e">
        <x:f>IF(SUMIFS(İndirimler!$D$2:$D$110,İndirimler!$A$2:$A$110,B24,İndirimler!$B$2:$B$110,C24)&gt;0,ROUND(G24*(1-SUMIFS(İndirimler!$D$2:$D$110,İndirimler!$A$2:$A$110,B24,İndirimler!$B$2:$B$110,C24)),2),"")</x:f>
        <x:v>#NAME?</x:v>
      </x:c>
      <x:c r="J24" s="12"/>
      <x:c r="K24" s="31"/>
    </x:row>
    <x:row r="25" ht="21.950000762939453" customHeight="1">
      <x:c r="A25" s="15" t="s">
        <x:v>75</x:v>
      </x:c>
      <x:c r="B25" s="12" t="s">
        <x:v>32</x:v>
      </x:c>
      <x:c r="C25" s="12" t="s">
        <x:v>76</x:v>
      </x:c>
      <x:c r="D25" s="12" t="s">
        <x:v>34</x:v>
      </x:c>
      <x:c r="E25" s="12"/>
      <x:c r="F25" s="12" t="s">
        <x:v>35</x:v>
      </x:c>
      <x:c r="G25" s="18">
        <x:v>529</x:v>
      </x:c>
      <x:c r="H25" s="21" t="e">
        <x:f>IF(SUMIFS(İndirimler!$C$2:$C$110,İndirimler!$A$2:$A$110,B25,İndirimler!$B$2:$B$110,C25)&gt;0,ROUND(G25*(1-SUMIFS(İndirimler!$C$2:$C$110,İndirimler!$A$2:$A$110,B25,İndirimler!$B$2:$B$110,C25)),2),"")</x:f>
        <x:v>#NAME?</x:v>
      </x:c>
      <x:c r="I25" s="24" t="e">
        <x:f>IF(SUMIFS(İndirimler!$D$2:$D$110,İndirimler!$A$2:$A$110,B25,İndirimler!$B$2:$B$110,C25)&gt;0,ROUND(G25*(1-SUMIFS(İndirimler!$D$2:$D$110,İndirimler!$A$2:$A$110,B25,İndirimler!$B$2:$B$110,C25)),2),"")</x:f>
        <x:v>#NAME?</x:v>
      </x:c>
      <x:c r="J25" s="30" t="s">
        <x:v>77</x:v>
      </x:c>
      <x:c r="K25" s="31"/>
    </x:row>
    <x:row r="26" ht="21.950000762939453" customHeight="1">
      <x:c r="A26" s="15" t="s">
        <x:v>78</x:v>
      </x:c>
      <x:c r="B26" s="12" t="s">
        <x:v>38</x:v>
      </x:c>
      <x:c r="C26" s="12" t="s">
        <x:v>76</x:v>
      </x:c>
      <x:c r="D26" s="12" t="s">
        <x:v>34</x:v>
      </x:c>
      <x:c r="E26" s="12"/>
      <x:c r="F26" s="12" t="s">
        <x:v>35</x:v>
      </x:c>
      <x:c r="G26" s="18">
        <x:v>589</x:v>
      </x:c>
      <x:c r="H26" s="21" t="e">
        <x:f>IF(SUMIFS(İndirimler!$C$2:$C$110,İndirimler!$A$2:$A$110,B26,İndirimler!$B$2:$B$110,C26)&gt;0,ROUND(G26*(1-SUMIFS(İndirimler!$C$2:$C$110,İndirimler!$A$2:$A$110,B26,İndirimler!$B$2:$B$110,C26)),2),"")</x:f>
        <x:v>#NAME?</x:v>
      </x:c>
      <x:c r="I26" s="24" t="e">
        <x:f>IF(SUMIFS(İndirimler!$D$2:$D$110,İndirimler!$A$2:$A$110,B26,İndirimler!$B$2:$B$110,C26)&gt;0,ROUND(G26*(1-SUMIFS(İndirimler!$D$2:$D$110,İndirimler!$A$2:$A$110,B26,İndirimler!$B$2:$B$110,C26)),2),"")</x:f>
        <x:v>#NAME?</x:v>
      </x:c>
      <x:c r="J26" s="12" t="s">
        <x:v>79</x:v>
      </x:c>
      <x:c r="K26" s="31"/>
    </x:row>
    <x:row r="27" ht="21.950000762939453" customHeight="1">
      <x:c r="A27" s="15" t="s">
        <x:v>80</x:v>
      </x:c>
      <x:c r="B27" s="12" t="s">
        <x:v>18</x:v>
      </x:c>
      <x:c r="C27" s="12" t="s">
        <x:v>76</x:v>
      </x:c>
      <x:c r="D27" s="12" t="s">
        <x:v>34</x:v>
      </x:c>
      <x:c r="E27" s="12" t="s">
        <x:v>41</x:v>
      </x:c>
      <x:c r="F27" s="12" t="s">
        <x:v>42</x:v>
      </x:c>
      <x:c r="G27" s="18"/>
      <x:c r="H27" s="21" t="e">
        <x:f>IF(SUMIFS(İndirimler!$C$2:$C$110,İndirimler!$A$2:$A$110,B27,İndirimler!$B$2:$B$110,C27)&gt;0,ROUND(G27*(1-SUMIFS(İndirimler!$C$2:$C$110,İndirimler!$A$2:$A$110,B27,İndirimler!$B$2:$B$110,C27)),2),"")</x:f>
        <x:v>#NAME?</x:v>
      </x:c>
      <x:c r="I27" s="24" t="e">
        <x:f>IF(SUMIFS(İndirimler!$D$2:$D$110,İndirimler!$A$2:$A$110,B27,İndirimler!$B$2:$B$110,C27)&gt;0,ROUND(G27*(1-SUMIFS(İndirimler!$D$2:$D$110,İndirimler!$A$2:$A$110,B27,İndirimler!$B$2:$B$110,C27)),2),"")</x:f>
        <x:v>#NAME?</x:v>
      </x:c>
      <x:c r="J27" s="12"/>
      <x:c r="K27" s="31"/>
    </x:row>
    <x:row r="28" ht="21.950000762939453" customHeight="1">
      <x:c r="A28" s="15" t="s">
        <x:v>81</x:v>
      </x:c>
      <x:c r="B28" s="12" t="s">
        <x:v>44</x:v>
      </x:c>
      <x:c r="C28" s="12" t="s">
        <x:v>76</x:v>
      </x:c>
      <x:c r="D28" s="12" t="s">
        <x:v>34</x:v>
      </x:c>
      <x:c r="E28" s="12" t="s">
        <x:v>45</x:v>
      </x:c>
      <x:c r="F28" s="12" t="s">
        <x:v>42</x:v>
      </x:c>
      <x:c r="G28" s="18">
        <x:v>376</x:v>
      </x:c>
      <x:c r="H28" s="21" t="e">
        <x:f>IF(SUMIFS(İndirimler!$C$2:$C$110,İndirimler!$A$2:$A$110,B28,İndirimler!$B$2:$B$110,C28)&gt;0,ROUND(G28*(1-SUMIFS(İndirimler!$C$2:$C$110,İndirimler!$A$2:$A$110,B28,İndirimler!$B$2:$B$110,C28)),2),"")</x:f>
        <x:v>#NAME?</x:v>
      </x:c>
      <x:c r="I28" s="24" t="e">
        <x:f>IF(SUMIFS(İndirimler!$D$2:$D$110,İndirimler!$A$2:$A$110,B28,İndirimler!$B$2:$B$110,C28)&gt;0,ROUND(G28*(1-SUMIFS(İndirimler!$D$2:$D$110,İndirimler!$A$2:$A$110,B28,İndirimler!$B$2:$B$110,C28)),2),"")</x:f>
        <x:v>#NAME?</x:v>
      </x:c>
      <x:c r="J28" s="12" t="s">
        <x:v>82</x:v>
      </x:c>
      <x:c r="K28" s="31"/>
    </x:row>
    <x:row r="29" ht="21.950000762939453" customHeight="1">
      <x:c r="A29" s="15" t="s">
        <x:v>83</x:v>
      </x:c>
      <x:c r="B29" s="12" t="s">
        <x:v>23</x:v>
      </x:c>
      <x:c r="C29" s="12" t="s">
        <x:v>76</x:v>
      </x:c>
      <x:c r="D29" s="12" t="s">
        <x:v>34</x:v>
      </x:c>
      <x:c r="E29" s="12"/>
      <x:c r="F29" s="12" t="s">
        <x:v>42</x:v>
      </x:c>
      <x:c r="G29" s="18">
        <x:v>684</x:v>
      </x:c>
      <x:c r="H29" s="21" t="e">
        <x:f>IF(SUMIFS(İndirimler!$C$2:$C$110,İndirimler!$A$2:$A$110,B29,İndirimler!$B$2:$B$110,C29)&gt;0,ROUND(G29*(1-SUMIFS(İndirimler!$C$2:$C$110,İndirimler!$A$2:$A$110,B29,İndirimler!$B$2:$B$110,C29)),2),"")</x:f>
        <x:v>#NAME?</x:v>
      </x:c>
      <x:c r="I29" s="24" t="e">
        <x:f>IF(SUMIFS(İndirimler!$D$2:$D$110,İndirimler!$A$2:$A$110,B29,İndirimler!$B$2:$B$110,C29)&gt;0,ROUND(G29*(1-SUMIFS(İndirimler!$D$2:$D$110,İndirimler!$A$2:$A$110,B29,İndirimler!$B$2:$B$110,C29)),2),"")</x:f>
        <x:v>#NAME?</x:v>
      </x:c>
      <x:c r="J29" s="12" t="s">
        <x:v>84</x:v>
      </x:c>
      <x:c r="K29" s="31"/>
    </x:row>
    <x:row r="30" ht="21.950000762939453" customHeight="1">
      <x:c r="A30" s="15" t="s">
        <x:v>85</x:v>
      </x:c>
      <x:c r="B30" s="12" t="s">
        <x:v>50</x:v>
      </x:c>
      <x:c r="C30" s="12" t="s">
        <x:v>76</x:v>
      </x:c>
      <x:c r="D30" s="12" t="s">
        <x:v>34</x:v>
      </x:c>
      <x:c r="E30" s="12" t="s">
        <x:v>51</x:v>
      </x:c>
      <x:c r="F30" s="12" t="s">
        <x:v>42</x:v>
      </x:c>
      <x:c r="G30" s="18">
        <x:v>820</x:v>
      </x:c>
      <x:c r="H30" s="21" t="e">
        <x:f>IF(SUMIFS(İndirimler!$C$2:$C$110,İndirimler!$A$2:$A$110,B30,İndirimler!$B$2:$B$110,C30)&gt;0,ROUND(G30*(1-SUMIFS(İndirimler!$C$2:$C$110,İndirimler!$A$2:$A$110,B30,İndirimler!$B$2:$B$110,C30)),2),"")</x:f>
        <x:v>#NAME?</x:v>
      </x:c>
      <x:c r="I30" s="24" t="e">
        <x:f>IF(SUMIFS(İndirimler!$D$2:$D$110,İndirimler!$A$2:$A$110,B30,İndirimler!$B$2:$B$110,C30)&gt;0,ROUND(G30*(1-SUMIFS(İndirimler!$D$2:$D$110,İndirimler!$A$2:$A$110,B30,İndirimler!$B$2:$B$110,C30)),2),"")</x:f>
        <x:v>#NAME?</x:v>
      </x:c>
      <x:c r="J30" s="12"/>
      <x:c r="K30" s="31"/>
    </x:row>
    <x:row r="31" ht="21.950000762939453" customHeight="1">
      <x:c r="A31" s="15" t="s">
        <x:v>86</x:v>
      </x:c>
      <x:c r="B31" s="12" t="s">
        <x:v>55</x:v>
      </x:c>
      <x:c r="C31" s="12" t="s">
        <x:v>76</x:v>
      </x:c>
      <x:c r="D31" s="12" t="s">
        <x:v>34</x:v>
      </x:c>
      <x:c r="E31" s="12"/>
      <x:c r="F31" s="12" t="s">
        <x:v>16</x:v>
      </x:c>
      <x:c r="G31" s="18">
        <x:v>402</x:v>
      </x:c>
      <x:c r="H31" s="21" t="e">
        <x:f>IF(SUMIFS(İndirimler!$C$2:$C$110,İndirimler!$A$2:$A$110,B31,İndirimler!$B$2:$B$110,C31)&gt;0,ROUND(G31*(1-SUMIFS(İndirimler!$C$2:$C$110,İndirimler!$A$2:$A$110,B31,İndirimler!$B$2:$B$110,C31)),2),"")</x:f>
        <x:v>#NAME?</x:v>
      </x:c>
      <x:c r="I31" s="24" t="e">
        <x:f>IF(SUMIFS(İndirimler!$D$2:$D$110,İndirimler!$A$2:$A$110,B31,İndirimler!$B$2:$B$110,C31)&gt;0,ROUND(G31*(1-SUMIFS(İndirimler!$D$2:$D$110,İndirimler!$A$2:$A$110,B31,İndirimler!$B$2:$B$110,C31)),2),"")</x:f>
        <x:v>#NAME?</x:v>
      </x:c>
      <x:c r="J31" s="12" t="s">
        <x:v>87</x:v>
      </x:c>
      <x:c r="K31" s="31"/>
    </x:row>
    <x:row r="32" ht="21.950000762939453" customHeight="1">
      <x:c r="A32" s="15" t="s">
        <x:v>88</x:v>
      </x:c>
      <x:c r="B32" s="12" t="s">
        <x:v>18</x:v>
      </x:c>
      <x:c r="C32" s="12" t="s">
        <x:v>76</x:v>
      </x:c>
      <x:c r="D32" s="12" t="s">
        <x:v>34</x:v>
      </x:c>
      <x:c r="E32" s="12"/>
      <x:c r="F32" s="12" t="s">
        <x:v>16</x:v>
      </x:c>
      <x:c r="G32" s="18">
        <x:v>479</x:v>
      </x:c>
      <x:c r="H32" s="21" t="e">
        <x:f>IF(SUMIFS(İndirimler!$C$2:$C$110,İndirimler!$A$2:$A$110,B32,İndirimler!$B$2:$B$110,C32)&gt;0,ROUND(G32*(1-SUMIFS(İndirimler!$C$2:$C$110,İndirimler!$A$2:$A$110,B32,İndirimler!$B$2:$B$110,C32)),2),"")</x:f>
        <x:v>#NAME?</x:v>
      </x:c>
      <x:c r="I32" s="24" t="e">
        <x:f>IF(SUMIFS(İndirimler!$D$2:$D$110,İndirimler!$A$2:$A$110,B32,İndirimler!$B$2:$B$110,C32)&gt;0,ROUND(G32*(1-SUMIFS(İndirimler!$D$2:$D$110,İndirimler!$A$2:$A$110,B32,İndirimler!$B$2:$B$110,C32)),2),"")</x:f>
        <x:v>#NAME?</x:v>
      </x:c>
      <x:c r="J32" s="30" t="s">
        <x:v>89</x:v>
      </x:c>
      <x:c r="K32" s="31"/>
    </x:row>
    <x:row r="33" ht="21.950000762939453" customHeight="1">
      <x:c r="A33" s="15" t="s">
        <x:v>90</x:v>
      </x:c>
      <x:c r="B33" s="12" t="s">
        <x:v>44</x:v>
      </x:c>
      <x:c r="C33" s="12" t="s">
        <x:v>76</x:v>
      </x:c>
      <x:c r="D33" s="12" t="s">
        <x:v>34</x:v>
      </x:c>
      <x:c r="E33" s="12" t="s">
        <x:v>60</x:v>
      </x:c>
      <x:c r="F33" s="12" t="s">
        <x:v>16</x:v>
      </x:c>
      <x:c r="G33" s="18">
        <x:v>428</x:v>
      </x:c>
      <x:c r="H33" s="21" t="e">
        <x:f>IF(SUMIFS(İndirimler!$C$2:$C$110,İndirimler!$A$2:$A$110,B33,İndirimler!$B$2:$B$110,C33)&gt;0,ROUND(G33*(1-SUMIFS(İndirimler!$C$2:$C$110,İndirimler!$A$2:$A$110,B33,İndirimler!$B$2:$B$110,C33)),2),"")</x:f>
        <x:v>#NAME?</x:v>
      </x:c>
      <x:c r="I33" s="24" t="e">
        <x:f>IF(SUMIFS(İndirimler!$D$2:$D$110,İndirimler!$A$2:$A$110,B33,İndirimler!$B$2:$B$110,C33)&gt;0,ROUND(G33*(1-SUMIFS(İndirimler!$D$2:$D$110,İndirimler!$A$2:$A$110,B33,İndirimler!$B$2:$B$110,C33)),2),"")</x:f>
        <x:v>#NAME?</x:v>
      </x:c>
      <x:c r="J33" s="12" t="s">
        <x:v>91</x:v>
      </x:c>
      <x:c r="K33" s="31"/>
    </x:row>
    <x:row r="34" ht="21.950000762939453" customHeight="1">
      <x:c r="A34" s="15" t="s">
        <x:v>92</x:v>
      </x:c>
      <x:c r="B34" s="12" t="s">
        <x:v>63</x:v>
      </x:c>
      <x:c r="C34" s="12" t="s">
        <x:v>76</x:v>
      </x:c>
      <x:c r="D34" s="12" t="s">
        <x:v>34</x:v>
      </x:c>
      <x:c r="E34" s="12" t="s">
        <x:v>64</x:v>
      </x:c>
      <x:c r="F34" s="12" t="s">
        <x:v>16</x:v>
      </x:c>
      <x:c r="G34" s="18">
        <x:v>405</x:v>
      </x:c>
      <x:c r="H34" s="21" t="e">
        <x:f>IF(SUMIFS(İndirimler!$C$2:$C$110,İndirimler!$A$2:$A$110,B34,İndirimler!$B$2:$B$110,C34)&gt;0,ROUND(G34*(1-SUMIFS(İndirimler!$C$2:$C$110,İndirimler!$A$2:$A$110,B34,İndirimler!$B$2:$B$110,C34)),2),"")</x:f>
        <x:v>#NAME?</x:v>
      </x:c>
      <x:c r="I34" s="24" t="e">
        <x:f>IF(SUMIFS(İndirimler!$D$2:$D$110,İndirimler!$A$2:$A$110,B34,İndirimler!$B$2:$B$110,C34)&gt;0,ROUND(G34*(1-SUMIFS(İndirimler!$D$2:$D$110,İndirimler!$A$2:$A$110,B34,İndirimler!$B$2:$B$110,C34)),2),"")</x:f>
        <x:v>#NAME?</x:v>
      </x:c>
      <x:c r="J34" s="12" t="s">
        <x:v>93</x:v>
      </x:c>
      <x:c r="K34" s="31"/>
    </x:row>
    <x:row r="35" ht="21.950000762939453" customHeight="1">
      <x:c r="A35" s="15" t="s">
        <x:v>94</x:v>
      </x:c>
      <x:c r="B35" s="12" t="s">
        <x:v>23</x:v>
      </x:c>
      <x:c r="C35" s="12" t="s">
        <x:v>76</x:v>
      </x:c>
      <x:c r="D35" s="12" t="s">
        <x:v>34</x:v>
      </x:c>
      <x:c r="E35" s="12"/>
      <x:c r="F35" s="12" t="s">
        <x:v>16</x:v>
      </x:c>
      <x:c r="G35" s="18">
        <x:v>622</x:v>
      </x:c>
      <x:c r="H35" s="21" t="e">
        <x:f>IF(SUMIFS(İndirimler!$C$2:$C$110,İndirimler!$A$2:$A$110,B35,İndirimler!$B$2:$B$110,C35)&gt;0,ROUND(G35*(1-SUMIFS(İndirimler!$C$2:$C$110,İndirimler!$A$2:$A$110,B35,İndirimler!$B$2:$B$110,C35)),2),"")</x:f>
        <x:v>#NAME?</x:v>
      </x:c>
      <x:c r="I35" s="24" t="e">
        <x:f>IF(SUMIFS(İndirimler!$D$2:$D$110,İndirimler!$A$2:$A$110,B35,İndirimler!$B$2:$B$110,C35)&gt;0,ROUND(G35*(1-SUMIFS(İndirimler!$D$2:$D$110,İndirimler!$A$2:$A$110,B35,İndirimler!$B$2:$B$110,C35)),2),"")</x:f>
        <x:v>#NAME?</x:v>
      </x:c>
      <x:c r="J35" s="12" t="s">
        <x:v>95</x:v>
      </x:c>
      <x:c r="K35" s="31"/>
    </x:row>
    <x:row r="36" ht="21.950000762939453" customHeight="1">
      <x:c r="A36" s="15" t="s">
        <x:v>96</x:v>
      </x:c>
      <x:c r="B36" s="12" t="s">
        <x:v>50</x:v>
      </x:c>
      <x:c r="C36" s="12" t="s">
        <x:v>76</x:v>
      </x:c>
      <x:c r="D36" s="12" t="s">
        <x:v>34</x:v>
      </x:c>
      <x:c r="E36" s="12" t="s">
        <x:v>69</x:v>
      </x:c>
      <x:c r="F36" s="12" t="s">
        <x:v>16</x:v>
      </x:c>
      <x:c r="G36" s="18">
        <x:v>598</x:v>
      </x:c>
      <x:c r="H36" s="21" t="e">
        <x:f>IF(SUMIFS(İndirimler!$C$2:$C$110,İndirimler!$A$2:$A$110,B36,İndirimler!$B$2:$B$110,C36)&gt;0,ROUND(G36*(1-SUMIFS(İndirimler!$C$2:$C$110,İndirimler!$A$2:$A$110,B36,İndirimler!$B$2:$B$110,C36)),2),"")</x:f>
        <x:v>#NAME?</x:v>
      </x:c>
      <x:c r="I36" s="24" t="e">
        <x:f>IF(SUMIFS(İndirimler!$D$2:$D$110,İndirimler!$A$2:$A$110,B36,İndirimler!$B$2:$B$110,C36)&gt;0,ROUND(G36*(1-SUMIFS(İndirimler!$D$2:$D$110,İndirimler!$A$2:$A$110,B36,İndirimler!$B$2:$B$110,C36)),2),"")</x:f>
        <x:v>#NAME?</x:v>
      </x:c>
      <x:c r="J36" s="12"/>
      <x:c r="K36" s="31"/>
    </x:row>
    <x:row r="37" ht="21.950000762939453" customHeight="1">
      <x:c r="A37" s="15" t="s">
        <x:v>97</x:v>
      </x:c>
      <x:c r="B37" s="12" t="s">
        <x:v>53</x:v>
      </x:c>
      <x:c r="C37" s="12" t="s">
        <x:v>76</x:v>
      </x:c>
      <x:c r="D37" s="12" t="s">
        <x:v>34</x:v>
      </x:c>
      <x:c r="E37" s="12"/>
      <x:c r="F37" s="12" t="s">
        <x:v>16</x:v>
      </x:c>
      <x:c r="G37" s="18">
        <x:v>539</x:v>
      </x:c>
      <x:c r="H37" s="21" t="e">
        <x:f>IF(SUMIFS(İndirimler!$C$2:$C$110,İndirimler!$A$2:$A$110,B37,İndirimler!$B$2:$B$110,C37)&gt;0,ROUND(G37*(1-SUMIFS(İndirimler!$C$2:$C$110,İndirimler!$A$2:$A$110,B37,İndirimler!$B$2:$B$110,C37)),2),"")</x:f>
        <x:v>#NAME?</x:v>
      </x:c>
      <x:c r="I37" s="24" t="e">
        <x:f>IF(SUMIFS(İndirimler!$D$2:$D$110,İndirimler!$A$2:$A$110,B37,İndirimler!$B$2:$B$110,C37)&gt;0,ROUND(G37*(1-SUMIFS(İndirimler!$D$2:$D$110,İndirimler!$A$2:$A$110,B37,İndirimler!$B$2:$B$110,C37)),2),"")</x:f>
        <x:v>#NAME?</x:v>
      </x:c>
      <x:c r="J37" s="12"/>
      <x:c r="K37" s="31"/>
    </x:row>
    <x:row r="38" ht="21.950000762939453" customHeight="1">
      <x:c r="A38" s="15" t="s">
        <x:v>98</x:v>
      </x:c>
      <x:c r="B38" s="12" t="s">
        <x:v>38</x:v>
      </x:c>
      <x:c r="C38" s="12" t="s">
        <x:v>76</x:v>
      </x:c>
      <x:c r="D38" s="12" t="s">
        <x:v>34</x:v>
      </x:c>
      <x:c r="E38" s="12" t="s">
        <x:v>69</x:v>
      </x:c>
      <x:c r="F38" s="12" t="s">
        <x:v>16</x:v>
      </x:c>
      <x:c r="G38" s="18">
        <x:v>505</x:v>
      </x:c>
      <x:c r="H38" s="21" t="e">
        <x:f>IF(SUMIFS(İndirimler!$C$2:$C$110,İndirimler!$A$2:$A$110,B38,İndirimler!$B$2:$B$110,C38)&gt;0,ROUND(G38*(1-SUMIFS(İndirimler!$C$2:$C$110,İndirimler!$A$2:$A$110,B38,İndirimler!$B$2:$B$110,C38)),2),"")</x:f>
        <x:v>#NAME?</x:v>
      </x:c>
      <x:c r="I38" s="24" t="e">
        <x:f>IF(SUMIFS(İndirimler!$D$2:$D$110,İndirimler!$A$2:$A$110,B38,İndirimler!$B$2:$B$110,C38)&gt;0,ROUND(G38*(1-SUMIFS(İndirimler!$D$2:$D$110,İndirimler!$A$2:$A$110,B38,İndirimler!$B$2:$B$110,C38)),2),"")</x:f>
        <x:v>#NAME?</x:v>
      </x:c>
      <x:c r="J38" s="12"/>
      <x:c r="K38" s="31"/>
    </x:row>
    <x:row r="39" ht="21.950000762939453" customHeight="1">
      <x:c r="A39" s="15" t="s">
        <x:v>99</x:v>
      </x:c>
      <x:c r="B39" s="12" t="s">
        <x:v>72</x:v>
      </x:c>
      <x:c r="C39" s="12" t="s">
        <x:v>76</x:v>
      </x:c>
      <x:c r="D39" s="12" t="s">
        <x:v>34</x:v>
      </x:c>
      <x:c r="E39" s="12"/>
      <x:c r="F39" s="12" t="s">
        <x:v>73</x:v>
      </x:c>
      <x:c r="G39" s="18">
        <x:v>409</x:v>
      </x:c>
      <x:c r="H39" s="21" t="e">
        <x:f>IF(SUMIFS(İndirimler!$C$2:$C$110,İndirimler!$A$2:$A$110,B39,İndirimler!$B$2:$B$110,C39)&gt;0,ROUND(G39*(1-SUMIFS(İndirimler!$C$2:$C$110,İndirimler!$A$2:$A$110,B39,İndirimler!$B$2:$B$110,C39)),2),"")</x:f>
        <x:v>#NAME?</x:v>
      </x:c>
      <x:c r="I39" s="24" t="e">
        <x:f>IF(SUMIFS(İndirimler!$D$2:$D$110,İndirimler!$A$2:$A$110,B39,İndirimler!$B$2:$B$110,C39)&gt;0,ROUND(G39*(1-SUMIFS(İndirimler!$D$2:$D$110,İndirimler!$A$2:$A$110,B39,İndirimler!$B$2:$B$110,C39)),2),"")</x:f>
        <x:v>#NAME?</x:v>
      </x:c>
      <x:c r="J39" s="12"/>
      <x:c r="K39" s="31"/>
    </x:row>
    <x:row r="40" ht="21.950000762939453" customHeight="1">
      <x:c r="A40" s="15" t="s">
        <x:v>100</x:v>
      </x:c>
      <x:c r="B40" s="12" t="s">
        <x:v>38</x:v>
      </x:c>
      <x:c r="C40" s="12" t="s">
        <x:v>101</x:v>
      </x:c>
      <x:c r="D40" s="12" t="s">
        <x:v>34</x:v>
      </x:c>
      <x:c r="E40" s="12"/>
      <x:c r="F40" s="12" t="s">
        <x:v>35</x:v>
      </x:c>
      <x:c r="G40" s="18"/>
      <x:c r="H40" s="21" t="e">
        <x:f>IF(SUMIFS(İndirimler!$C$2:$C$110,İndirimler!$A$2:$A$110,B40,İndirimler!$B$2:$B$110,C40)&gt;0,ROUND(G40*(1-SUMIFS(İndirimler!$C$2:$C$110,İndirimler!$A$2:$A$110,B40,İndirimler!$B$2:$B$110,C40)),2),"")</x:f>
        <x:v>#NAME?</x:v>
      </x:c>
      <x:c r="I40" s="24" t="e">
        <x:f>IF(SUMIFS(İndirimler!$D$2:$D$110,İndirimler!$A$2:$A$110,B40,İndirimler!$B$2:$B$110,C40)&gt;0,ROUND(G40*(1-SUMIFS(İndirimler!$D$2:$D$110,İndirimler!$A$2:$A$110,B40,İndirimler!$B$2:$B$110,C40)),2),"")</x:f>
        <x:v>#NAME?</x:v>
      </x:c>
      <x:c r="J40" s="12"/>
      <x:c r="K40" s="31"/>
    </x:row>
    <x:row r="41" ht="21.950000762939453" customHeight="1">
      <x:c r="A41" s="15" t="s">
        <x:v>102</x:v>
      </x:c>
      <x:c r="B41" s="12" t="s">
        <x:v>18</x:v>
      </x:c>
      <x:c r="C41" s="12" t="s">
        <x:v>101</x:v>
      </x:c>
      <x:c r="D41" s="12" t="s">
        <x:v>34</x:v>
      </x:c>
      <x:c r="E41" s="12" t="s">
        <x:v>41</x:v>
      </x:c>
      <x:c r="F41" s="12" t="s">
        <x:v>42</x:v>
      </x:c>
      <x:c r="G41" s="18"/>
      <x:c r="H41" s="21" t="e">
        <x:f>IF(SUMIFS(İndirimler!$C$2:$C$110,İndirimler!$A$2:$A$110,B41,İndirimler!$B$2:$B$110,C41)&gt;0,ROUND(G41*(1-SUMIFS(İndirimler!$C$2:$C$110,İndirimler!$A$2:$A$110,B41,İndirimler!$B$2:$B$110,C41)),2),"")</x:f>
        <x:v>#NAME?</x:v>
      </x:c>
      <x:c r="I41" s="24" t="e">
        <x:f>IF(SUMIFS(İndirimler!$D$2:$D$110,İndirimler!$A$2:$A$110,B41,İndirimler!$B$2:$B$110,C41)&gt;0,ROUND(G41*(1-SUMIFS(İndirimler!$D$2:$D$110,İndirimler!$A$2:$A$110,B41,İndirimler!$B$2:$B$110,C41)),2),"")</x:f>
        <x:v>#NAME?</x:v>
      </x:c>
      <x:c r="J41" s="12"/>
      <x:c r="K41" s="31"/>
    </x:row>
    <x:row r="42" ht="21.950000762939453" customHeight="1">
      <x:c r="A42" s="15" t="s">
        <x:v>103</x:v>
      </x:c>
      <x:c r="B42" s="12" t="s">
        <x:v>72</x:v>
      </x:c>
      <x:c r="C42" s="12" t="s">
        <x:v>101</x:v>
      </x:c>
      <x:c r="D42" s="12" t="s">
        <x:v>34</x:v>
      </x:c>
      <x:c r="E42" s="12" t="s">
        <x:v>104</x:v>
      </x:c>
      <x:c r="F42" s="12" t="s">
        <x:v>42</x:v>
      </x:c>
      <x:c r="G42" s="18"/>
      <x:c r="H42" s="21" t="e">
        <x:f>IF(SUMIFS(İndirimler!$C$2:$C$110,İndirimler!$A$2:$A$110,B42,İndirimler!$B$2:$B$110,C42)&gt;0,ROUND(G42*(1-SUMIFS(İndirimler!$C$2:$C$110,İndirimler!$A$2:$A$110,B42,İndirimler!$B$2:$B$110,C42)),2),"")</x:f>
        <x:v>#NAME?</x:v>
      </x:c>
      <x:c r="I42" s="24" t="e">
        <x:f>IF(SUMIFS(İndirimler!$D$2:$D$110,İndirimler!$A$2:$A$110,B42,İndirimler!$B$2:$B$110,C42)&gt;0,ROUND(G42*(1-SUMIFS(İndirimler!$D$2:$D$110,İndirimler!$A$2:$A$110,B42,İndirimler!$B$2:$B$110,C42)),2),"")</x:f>
        <x:v>#NAME?</x:v>
      </x:c>
      <x:c r="J42" s="12"/>
      <x:c r="K42" s="31"/>
    </x:row>
    <x:row r="43" ht="21.950000762939453" customHeight="1">
      <x:c r="A43" s="15" t="s">
        <x:v>105</x:v>
      </x:c>
      <x:c r="B43" s="12" t="s">
        <x:v>23</x:v>
      </x:c>
      <x:c r="C43" s="12" t="s">
        <x:v>101</x:v>
      </x:c>
      <x:c r="D43" s="12" t="s">
        <x:v>34</x:v>
      </x:c>
      <x:c r="E43" s="12"/>
      <x:c r="F43" s="12" t="s">
        <x:v>42</x:v>
      </x:c>
      <x:c r="G43" s="18">
        <x:v>546</x:v>
      </x:c>
      <x:c r="H43" s="21" t="e">
        <x:f>IF(SUMIFS(İndirimler!$C$2:$C$110,İndirimler!$A$2:$A$110,B43,İndirimler!$B$2:$B$110,C43)&gt;0,ROUND(G43*(1-SUMIFS(İndirimler!$C$2:$C$110,İndirimler!$A$2:$A$110,B43,İndirimler!$B$2:$B$110,C43)),2),"")</x:f>
        <x:v>#NAME?</x:v>
      </x:c>
      <x:c r="I43" s="24" t="e">
        <x:f>IF(SUMIFS(İndirimler!$D$2:$D$110,İndirimler!$A$2:$A$110,B43,İndirimler!$B$2:$B$110,C43)&gt;0,ROUND(G43*(1-SUMIFS(İndirimler!$D$2:$D$110,İndirimler!$A$2:$A$110,B43,İndirimler!$B$2:$B$110,C43)),2),"")</x:f>
        <x:v>#NAME?</x:v>
      </x:c>
      <x:c r="J43" s="12" t="s">
        <x:v>106</x:v>
      </x:c>
      <x:c r="K43" s="31"/>
    </x:row>
    <x:row r="44" ht="21.950000762939453" customHeight="1">
      <x:c r="A44" s="15" t="s">
        <x:v>107</x:v>
      </x:c>
      <x:c r="B44" s="12" t="s">
        <x:v>50</x:v>
      </x:c>
      <x:c r="C44" s="12" t="s">
        <x:v>101</x:v>
      </x:c>
      <x:c r="D44" s="12" t="s">
        <x:v>34</x:v>
      </x:c>
      <x:c r="E44" s="12" t="s">
        <x:v>51</x:v>
      </x:c>
      <x:c r="F44" s="12" t="s">
        <x:v>42</x:v>
      </x:c>
      <x:c r="G44" s="18">
        <x:v>840</x:v>
      </x:c>
      <x:c r="H44" s="21" t="e">
        <x:f>IF(SUMIFS(İndirimler!$C$2:$C$110,İndirimler!$A$2:$A$110,B44,İndirimler!$B$2:$B$110,C44)&gt;0,ROUND(G44*(1-SUMIFS(İndirimler!$C$2:$C$110,İndirimler!$A$2:$A$110,B44,İndirimler!$B$2:$B$110,C44)),2),"")</x:f>
        <x:v>#NAME?</x:v>
      </x:c>
      <x:c r="I44" s="24" t="e">
        <x:f>IF(SUMIFS(İndirimler!$D$2:$D$110,İndirimler!$A$2:$A$110,B44,İndirimler!$B$2:$B$110,C44)&gt;0,ROUND(G44*(1-SUMIFS(İndirimler!$D$2:$D$110,İndirimler!$A$2:$A$110,B44,İndirimler!$B$2:$B$110,C44)),2),"")</x:f>
        <x:v>#NAME?</x:v>
      </x:c>
      <x:c r="J44" s="12"/>
      <x:c r="K44" s="31"/>
    </x:row>
    <x:row r="45" ht="21.950000762939453" customHeight="1">
      <x:c r="A45" s="15" t="s">
        <x:v>108</x:v>
      </x:c>
      <x:c r="B45" s="12" t="s">
        <x:v>55</x:v>
      </x:c>
      <x:c r="C45" s="12" t="s">
        <x:v>101</x:v>
      </x:c>
      <x:c r="D45" s="12" t="s">
        <x:v>34</x:v>
      </x:c>
      <x:c r="E45" s="12"/>
      <x:c r="F45" s="12" t="s">
        <x:v>16</x:v>
      </x:c>
      <x:c r="G45" s="18">
        <x:v>402</x:v>
      </x:c>
      <x:c r="H45" s="21" t="e">
        <x:f>IF(SUMIFS(İndirimler!$C$2:$C$110,İndirimler!$A$2:$A$110,B45,İndirimler!$B$2:$B$110,C45)&gt;0,ROUND(G45*(1-SUMIFS(İndirimler!$C$2:$C$110,İndirimler!$A$2:$A$110,B45,İndirimler!$B$2:$B$110,C45)),2),"")</x:f>
        <x:v>#NAME?</x:v>
      </x:c>
      <x:c r="I45" s="24" t="e">
        <x:f>IF(SUMIFS(İndirimler!$D$2:$D$110,İndirimler!$A$2:$A$110,B45,İndirimler!$B$2:$B$110,C45)&gt;0,ROUND(G45*(1-SUMIFS(İndirimler!$D$2:$D$110,İndirimler!$A$2:$A$110,B45,İndirimler!$B$2:$B$110,C45)),2),"")</x:f>
        <x:v>#NAME?</x:v>
      </x:c>
      <x:c r="J45" s="12"/>
      <x:c r="K45" s="31"/>
    </x:row>
    <x:row r="46" ht="21.950000762939453" customHeight="1">
      <x:c r="A46" s="15" t="s">
        <x:v>109</x:v>
      </x:c>
      <x:c r="B46" s="12" t="s">
        <x:v>18</x:v>
      </x:c>
      <x:c r="C46" s="12" t="s">
        <x:v>101</x:v>
      </x:c>
      <x:c r="D46" s="12" t="s">
        <x:v>34</x:v>
      </x:c>
      <x:c r="E46" s="12"/>
      <x:c r="F46" s="12" t="s">
        <x:v>16</x:v>
      </x:c>
      <x:c r="G46" s="18"/>
      <x:c r="H46" s="21" t="e">
        <x:f>IF(SUMIFS(İndirimler!$C$2:$C$110,İndirimler!$A$2:$A$110,B46,İndirimler!$B$2:$B$110,C46)&gt;0,ROUND(G46*(1-SUMIFS(İndirimler!$C$2:$C$110,İndirimler!$A$2:$A$110,B46,İndirimler!$B$2:$B$110,C46)),2),"")</x:f>
        <x:v>#NAME?</x:v>
      </x:c>
      <x:c r="I46" s="24" t="e">
        <x:f>IF(SUMIFS(İndirimler!$D$2:$D$110,İndirimler!$A$2:$A$110,B46,İndirimler!$B$2:$B$110,C46)&gt;0,ROUND(G46*(1-SUMIFS(İndirimler!$D$2:$D$110,İndirimler!$A$2:$A$110,B46,İndirimler!$B$2:$B$110,C46)),2),"")</x:f>
        <x:v>#NAME?</x:v>
      </x:c>
      <x:c r="J46" s="12"/>
      <x:c r="K46" s="31"/>
    </x:row>
    <x:row r="47" ht="21.950000762939453" customHeight="1">
      <x:c r="A47" s="15" t="s">
        <x:v>110</x:v>
      </x:c>
      <x:c r="B47" s="12" t="s">
        <x:v>63</x:v>
      </x:c>
      <x:c r="C47" s="12" t="s">
        <x:v>101</x:v>
      </x:c>
      <x:c r="D47" s="12" t="s">
        <x:v>34</x:v>
      </x:c>
      <x:c r="E47" s="12" t="s">
        <x:v>64</x:v>
      </x:c>
      <x:c r="F47" s="12" t="s">
        <x:v>16</x:v>
      </x:c>
      <x:c r="G47" s="18"/>
      <x:c r="H47" s="21" t="e">
        <x:f>IF(SUMIFS(İndirimler!$C$2:$C$110,İndirimler!$A$2:$A$110,B47,İndirimler!$B$2:$B$110,C47)&gt;0,ROUND(G47*(1-SUMIFS(İndirimler!$C$2:$C$110,İndirimler!$A$2:$A$110,B47,İndirimler!$B$2:$B$110,C47)),2),"")</x:f>
        <x:v>#NAME?</x:v>
      </x:c>
      <x:c r="I47" s="24" t="e">
        <x:f>IF(SUMIFS(İndirimler!$D$2:$D$110,İndirimler!$A$2:$A$110,B47,İndirimler!$B$2:$B$110,C47)&gt;0,ROUND(G47*(1-SUMIFS(İndirimler!$D$2:$D$110,İndirimler!$A$2:$A$110,B47,İndirimler!$B$2:$B$110,C47)),2),"")</x:f>
        <x:v>#NAME?</x:v>
      </x:c>
      <x:c r="J47" s="12" t="s">
        <x:v>111</x:v>
      </x:c>
      <x:c r="K47" s="31"/>
    </x:row>
    <x:row r="48" ht="21.950000762939453" customHeight="1">
      <x:c r="A48" s="15" t="s">
        <x:v>112</x:v>
      </x:c>
      <x:c r="B48" s="12" t="s">
        <x:v>23</x:v>
      </x:c>
      <x:c r="C48" s="12" t="s">
        <x:v>101</x:v>
      </x:c>
      <x:c r="D48" s="12" t="s">
        <x:v>34</x:v>
      </x:c>
      <x:c r="E48" s="12"/>
      <x:c r="F48" s="12" t="s">
        <x:v>16</x:v>
      </x:c>
      <x:c r="G48" s="18">
        <x:v>490</x:v>
      </x:c>
      <x:c r="H48" s="21" t="e">
        <x:f>IF(SUMIFS(İndirimler!$C$2:$C$110,İndirimler!$A$2:$A$110,B48,İndirimler!$B$2:$B$110,C48)&gt;0,ROUND(G48*(1-SUMIFS(İndirimler!$C$2:$C$110,İndirimler!$A$2:$A$110,B48,İndirimler!$B$2:$B$110,C48)),2),"")</x:f>
        <x:v>#NAME?</x:v>
      </x:c>
      <x:c r="I48" s="24" t="e">
        <x:f>IF(SUMIFS(İndirimler!$D$2:$D$110,İndirimler!$A$2:$A$110,B48,İndirimler!$B$2:$B$110,C48)&gt;0,ROUND(G48*(1-SUMIFS(İndirimler!$D$2:$D$110,İndirimler!$A$2:$A$110,B48,İndirimler!$B$2:$B$110,C48)),2),"")</x:f>
        <x:v>#NAME?</x:v>
      </x:c>
      <x:c r="J48" s="12" t="s">
        <x:v>113</x:v>
      </x:c>
      <x:c r="K48" s="31"/>
    </x:row>
    <x:row r="49" ht="21.950000762939453" customHeight="1">
      <x:c r="A49" s="15" t="s">
        <x:v>114</x:v>
      </x:c>
      <x:c r="B49" s="12" t="s">
        <x:v>50</x:v>
      </x:c>
      <x:c r="C49" s="12" t="s">
        <x:v>101</x:v>
      </x:c>
      <x:c r="D49" s="12" t="s">
        <x:v>34</x:v>
      </x:c>
      <x:c r="E49" s="12" t="s">
        <x:v>69</x:v>
      </x:c>
      <x:c r="F49" s="12" t="s">
        <x:v>16</x:v>
      </x:c>
      <x:c r="G49" s="18">
        <x:v>616</x:v>
      </x:c>
      <x:c r="H49" s="21" t="e">
        <x:f>IF(SUMIFS(İndirimler!$C$2:$C$110,İndirimler!$A$2:$A$110,B49,İndirimler!$B$2:$B$110,C49)&gt;0,ROUND(G49*(1-SUMIFS(İndirimler!$C$2:$C$110,İndirimler!$A$2:$A$110,B49,İndirimler!$B$2:$B$110,C49)),2),"")</x:f>
        <x:v>#NAME?</x:v>
      </x:c>
      <x:c r="I49" s="24" t="e">
        <x:f>IF(SUMIFS(İndirimler!$D$2:$D$110,İndirimler!$A$2:$A$110,B49,İndirimler!$B$2:$B$110,C49)&gt;0,ROUND(G49*(1-SUMIFS(İndirimler!$D$2:$D$110,İndirimler!$A$2:$A$110,B49,İndirimler!$B$2:$B$110,C49)),2),"")</x:f>
        <x:v>#NAME?</x:v>
      </x:c>
      <x:c r="J49" s="12"/>
      <x:c r="K49" s="31"/>
    </x:row>
    <x:row r="50" ht="21.950000762939453" customHeight="1">
      <x:c r="A50" s="15" t="s">
        <x:v>115</x:v>
      </x:c>
      <x:c r="B50" s="12" t="s">
        <x:v>53</x:v>
      </x:c>
      <x:c r="C50" s="12" t="s">
        <x:v>101</x:v>
      </x:c>
      <x:c r="D50" s="12" t="s">
        <x:v>34</x:v>
      </x:c>
      <x:c r="E50" s="12"/>
      <x:c r="F50" s="12" t="s">
        <x:v>16</x:v>
      </x:c>
      <x:c r="G50" s="18"/>
      <x:c r="H50" s="21" t="e">
        <x:f>IF(SUMIFS(İndirimler!$C$2:$C$110,İndirimler!$A$2:$A$110,B50,İndirimler!$B$2:$B$110,C50)&gt;0,ROUND(G50*(1-SUMIFS(İndirimler!$C$2:$C$110,İndirimler!$A$2:$A$110,B50,İndirimler!$B$2:$B$110,C50)),2),"")</x:f>
        <x:v>#NAME?</x:v>
      </x:c>
      <x:c r="I50" s="24" t="e">
        <x:f>IF(SUMIFS(İndirimler!$D$2:$D$110,İndirimler!$A$2:$A$110,B50,İndirimler!$B$2:$B$110,C50)&gt;0,ROUND(G50*(1-SUMIFS(İndirimler!$D$2:$D$110,İndirimler!$A$2:$A$110,B50,İndirimler!$B$2:$B$110,C50)),2),"")</x:f>
        <x:v>#NAME?</x:v>
      </x:c>
      <x:c r="J50" s="12"/>
      <x:c r="K50" s="31"/>
    </x:row>
    <x:row r="51" ht="21.950000762939453" customHeight="1">
      <x:c r="A51" s="15" t="s">
        <x:v>116</x:v>
      </x:c>
      <x:c r="B51" s="12" t="s">
        <x:v>38</x:v>
      </x:c>
      <x:c r="C51" s="12" t="s">
        <x:v>101</x:v>
      </x:c>
      <x:c r="D51" s="12" t="s">
        <x:v>34</x:v>
      </x:c>
      <x:c r="E51" s="12"/>
      <x:c r="F51" s="12" t="s">
        <x:v>16</x:v>
      </x:c>
      <x:c r="G51" s="18"/>
      <x:c r="H51" s="21" t="e">
        <x:f>IF(SUMIFS(İndirimler!$C$2:$C$110,İndirimler!$A$2:$A$110,B51,İndirimler!$B$2:$B$110,C51)&gt;0,ROUND(G51*(1-SUMIFS(İndirimler!$C$2:$C$110,İndirimler!$A$2:$A$110,B51,İndirimler!$B$2:$B$110,C51)),2),"")</x:f>
        <x:v>#NAME?</x:v>
      </x:c>
      <x:c r="I51" s="24" t="e">
        <x:f>IF(SUMIFS(İndirimler!$D$2:$D$110,İndirimler!$A$2:$A$110,B51,İndirimler!$B$2:$B$110,C51)&gt;0,ROUND(G51*(1-SUMIFS(İndirimler!$D$2:$D$110,İndirimler!$A$2:$A$110,B51,İndirimler!$B$2:$B$110,C51)),2),"")</x:f>
        <x:v>#NAME?</x:v>
      </x:c>
      <x:c r="J51" s="12"/>
      <x:c r="K51" s="31"/>
    </x:row>
    <x:row r="52" ht="21.950000762939453" customHeight="1">
      <x:c r="A52" s="15" t="s">
        <x:v>117</x:v>
      </x:c>
      <x:c r="B52" s="12" t="s">
        <x:v>72</x:v>
      </x:c>
      <x:c r="C52" s="12" t="s">
        <x:v>101</x:v>
      </x:c>
      <x:c r="D52" s="12" t="s">
        <x:v>34</x:v>
      </x:c>
      <x:c r="E52" s="12"/>
      <x:c r="F52" s="12" t="s">
        <x:v>73</x:v>
      </x:c>
      <x:c r="G52" s="18"/>
      <x:c r="H52" s="21" t="e">
        <x:f>IF(SUMIFS(İndirimler!$C$2:$C$110,İndirimler!$A$2:$A$110,B52,İndirimler!$B$2:$B$110,C52)&gt;0,ROUND(G52*(1-SUMIFS(İndirimler!$C$2:$C$110,İndirimler!$A$2:$A$110,B52,İndirimler!$B$2:$B$110,C52)),2),"")</x:f>
        <x:v>#NAME?</x:v>
      </x:c>
      <x:c r="I52" s="24" t="e">
        <x:f>IF(SUMIFS(İndirimler!$D$2:$D$110,İndirimler!$A$2:$A$110,B52,İndirimler!$B$2:$B$110,C52)&gt;0,ROUND(G52*(1-SUMIFS(İndirimler!$D$2:$D$110,İndirimler!$A$2:$A$110,B52,İndirimler!$B$2:$B$110,C52)),2),"")</x:f>
        <x:v>#NAME?</x:v>
      </x:c>
      <x:c r="J52" s="12"/>
      <x:c r="K52" s="31"/>
    </x:row>
    <x:row r="53" ht="21.950000762939453" customHeight="1">
      <x:c r="A53" s="15" t="s">
        <x:v>118</x:v>
      </x:c>
      <x:c r="B53" s="12" t="s">
        <x:v>38</x:v>
      </x:c>
      <x:c r="C53" s="12" t="s">
        <x:v>13</x:v>
      </x:c>
      <x:c r="D53" s="12" t="s">
        <x:v>34</x:v>
      </x:c>
      <x:c r="E53" s="12" t="s">
        <x:v>69</x:v>
      </x:c>
      <x:c r="F53" s="12" t="s">
        <x:v>16</x:v>
      </x:c>
      <x:c r="G53" s="18">
        <x:v>365</x:v>
      </x:c>
      <x:c r="H53" s="21" t="e">
        <x:f>IF(SUMIFS(İndirimler!$C$2:$C$110,İndirimler!$A$2:$A$110,B53,İndirimler!$B$2:$B$110,C53)&gt;0,ROUND(G53*(1-SUMIFS(İndirimler!$C$2:$C$110,İndirimler!$A$2:$A$110,B53,İndirimler!$B$2:$B$110,C53)),2),"")</x:f>
        <x:v>#NAME?</x:v>
      </x:c>
      <x:c r="I53" s="24" t="e">
        <x:f>IF(SUMIFS(İndirimler!$D$2:$D$110,İndirimler!$A$2:$A$110,B53,İndirimler!$B$2:$B$110,C53)&gt;0,ROUND(G53*(1-SUMIFS(İndirimler!$D$2:$D$110,İndirimler!$A$2:$A$110,B53,İndirimler!$B$2:$B$110,C53)),2),"")</x:f>
        <x:v>#NAME?</x:v>
      </x:c>
      <x:c r="J53" s="12"/>
      <x:c r="K53" s="31"/>
    </x:row>
    <x:row r="54" ht="21.950000762939453" customHeight="1">
      <x:c r="A54" s="15" t="s">
        <x:v>119</x:v>
      </x:c>
      <x:c r="B54" s="12" t="s">
        <x:v>120</x:v>
      </x:c>
      <x:c r="C54" s="12" t="s">
        <x:v>33</x:v>
      </x:c>
      <x:c r="D54" s="12" t="s">
        <x:v>121</x:v>
      </x:c>
      <x:c r="E54" s="12" t="s">
        <x:v>41</x:v>
      </x:c>
      <x:c r="F54" s="12" t="s">
        <x:v>35</x:v>
      </x:c>
      <x:c r="G54" s="18">
        <x:v>659</x:v>
      </x:c>
      <x:c r="H54" s="21" t="e">
        <x:f>IF(SUMIFS(İndirimler!$C$2:$C$110,İndirimler!$A$2:$A$110,B54,İndirimler!$B$2:$B$110,C54)&gt;0,ROUND(G54*(1-SUMIFS(İndirimler!$C$2:$C$110,İndirimler!$A$2:$A$110,B54,İndirimler!$B$2:$B$110,C54)),2),"")</x:f>
        <x:v>#NAME?</x:v>
      </x:c>
      <x:c r="I54" s="24" t="e">
        <x:f>IF(SUMIFS(İndirimler!$D$2:$D$110,İndirimler!$A$2:$A$110,B54,İndirimler!$B$2:$B$110,C54)&gt;0,ROUND(G54*(1-SUMIFS(İndirimler!$D$2:$D$110,İndirimler!$A$2:$A$110,B54,İndirimler!$B$2:$B$110,C54)),2),"")</x:f>
        <x:v>#NAME?</x:v>
      </x:c>
      <x:c r="J54" s="12"/>
      <x:c r="K54" s="31"/>
    </x:row>
    <x:row r="55" ht="21.950000762939453" customHeight="1">
      <x:c r="A55" s="15" t="s">
        <x:v>122</x:v>
      </x:c>
      <x:c r="B55" s="12" t="s">
        <x:v>120</x:v>
      </x:c>
      <x:c r="C55" s="12" t="s">
        <x:v>33</x:v>
      </x:c>
      <x:c r="D55" s="12" t="s">
        <x:v>121</x:v>
      </x:c>
      <x:c r="E55" s="12" t="s">
        <x:v>41</x:v>
      </x:c>
      <x:c r="F55" s="12" t="s">
        <x:v>35</x:v>
      </x:c>
      <x:c r="G55" s="18">
        <x:v>659</x:v>
      </x:c>
      <x:c r="H55" s="21" t="e">
        <x:f>IF(SUMIFS(İndirimler!$C$2:$C$110,İndirimler!$A$2:$A$110,B55,İndirimler!$B$2:$B$110,C55)&gt;0,ROUND(G55*(1-SUMIFS(İndirimler!$C$2:$C$110,İndirimler!$A$2:$A$110,B55,İndirimler!$B$2:$B$110,C55)),2),"")</x:f>
        <x:v>#NAME?</x:v>
      </x:c>
      <x:c r="I55" s="24" t="e">
        <x:f>IF(SUMIFS(İndirimler!$D$2:$D$110,İndirimler!$A$2:$A$110,B55,İndirimler!$B$2:$B$110,C55)&gt;0,ROUND(G55*(1-SUMIFS(İndirimler!$D$2:$D$110,İndirimler!$A$2:$A$110,B55,İndirimler!$B$2:$B$110,C55)),2),"")</x:f>
        <x:v>#NAME?</x:v>
      </x:c>
      <x:c r="J55" s="12"/>
      <x:c r="K55" s="31"/>
    </x:row>
    <x:row r="56" ht="21.950000762939453" customHeight="1">
      <x:c r="A56" s="15" t="s">
        <x:v>123</x:v>
      </x:c>
      <x:c r="B56" s="12" t="s">
        <x:v>124</x:v>
      </x:c>
      <x:c r="C56" s="12" t="s">
        <x:v>33</x:v>
      </x:c>
      <x:c r="D56" s="12" t="s">
        <x:v>121</x:v>
      </x:c>
      <x:c r="E56" s="12" t="s">
        <x:v>125</x:v>
      </x:c>
      <x:c r="F56" s="12" t="s">
        <x:v>35</x:v>
      </x:c>
      <x:c r="G56" s="18"/>
      <x:c r="H56" s="21" t="e">
        <x:f>IF(SUMIFS(İndirimler!$C$2:$C$110,İndirimler!$A$2:$A$110,B56,İndirimler!$B$2:$B$110,C56)&gt;0,ROUND(G56*(1-SUMIFS(İndirimler!$C$2:$C$110,İndirimler!$A$2:$A$110,B56,İndirimler!$B$2:$B$110,C56)),2),"")</x:f>
        <x:v>#NAME?</x:v>
      </x:c>
      <x:c r="I56" s="24" t="e">
        <x:f>IF(SUMIFS(İndirimler!$D$2:$D$110,İndirimler!$A$2:$A$110,B56,İndirimler!$B$2:$B$110,C56)&gt;0,ROUND(G56*(1-SUMIFS(İndirimler!$D$2:$D$110,İndirimler!$A$2:$A$110,B56,İndirimler!$B$2:$B$110,C56)),2),"")</x:f>
        <x:v>#NAME?</x:v>
      </x:c>
      <x:c r="J56" s="12"/>
      <x:c r="K56" s="31"/>
    </x:row>
    <x:row r="57" ht="21.950000762939453" customHeight="1">
      <x:c r="A57" s="15" t="s">
        <x:v>126</x:v>
      </x:c>
      <x:c r="B57" s="12" t="s">
        <x:v>25</x:v>
      </x:c>
      <x:c r="C57" s="12" t="s">
        <x:v>33</x:v>
      </x:c>
      <x:c r="D57" s="12" t="s">
        <x:v>121</x:v>
      </x:c>
      <x:c r="E57" s="12" t="s">
        <x:v>127</x:v>
      </x:c>
      <x:c r="F57" s="12" t="s">
        <x:v>35</x:v>
      </x:c>
      <x:c r="G57" s="18">
        <x:v>659</x:v>
      </x:c>
      <x:c r="H57" s="21" t="e">
        <x:f>IF(SUMIFS(İndirimler!$C$2:$C$110,İndirimler!$A$2:$A$110,B57,İndirimler!$B$2:$B$110,C57)&gt;0,ROUND(G57*(1-SUMIFS(İndirimler!$C$2:$C$110,İndirimler!$A$2:$A$110,B57,İndirimler!$B$2:$B$110,C57)),2),"")</x:f>
        <x:v>#NAME?</x:v>
      </x:c>
      <x:c r="I57" s="24" t="e">
        <x:f>IF(SUMIFS(İndirimler!$D$2:$D$110,İndirimler!$A$2:$A$110,B57,İndirimler!$B$2:$B$110,C57)&gt;0,ROUND(G57*(1-SUMIFS(İndirimler!$D$2:$D$110,İndirimler!$A$2:$A$110,B57,İndirimler!$B$2:$B$110,C57)),2),"")</x:f>
        <x:v>#NAME?</x:v>
      </x:c>
      <x:c r="J57" s="12"/>
      <x:c r="K57" s="31"/>
    </x:row>
    <x:row r="58" ht="21.950000762939453" customHeight="1">
      <x:c r="A58" s="15" t="s">
        <x:v>128</x:v>
      </x:c>
      <x:c r="B58" s="12" t="s">
        <x:v>129</x:v>
      </x:c>
      <x:c r="C58" s="12" t="s">
        <x:v>33</x:v>
      </x:c>
      <x:c r="D58" s="12" t="s">
        <x:v>121</x:v>
      </x:c>
      <x:c r="E58" s="12" t="s">
        <x:v>130</x:v>
      </x:c>
      <x:c r="F58" s="12" t="s">
        <x:v>35</x:v>
      </x:c>
      <x:c r="G58" s="18">
        <x:v>659</x:v>
      </x:c>
      <x:c r="H58" s="21" t="e">
        <x:f>IF(SUMIFS(İndirimler!$C$2:$C$110,İndirimler!$A$2:$A$110,B58,İndirimler!$B$2:$B$110,C58)&gt;0,ROUND(G58*(1-SUMIFS(İndirimler!$C$2:$C$110,İndirimler!$A$2:$A$110,B58,İndirimler!$B$2:$B$110,C58)),2),"")</x:f>
        <x:v>#NAME?</x:v>
      </x:c>
      <x:c r="I58" s="24" t="e">
        <x:f>IF(SUMIFS(İndirimler!$D$2:$D$110,İndirimler!$A$2:$A$110,B58,İndirimler!$B$2:$B$110,C58)&gt;0,ROUND(G58*(1-SUMIFS(İndirimler!$D$2:$D$110,İndirimler!$A$2:$A$110,B58,İndirimler!$B$2:$B$110,C58)),2),"")</x:f>
        <x:v>#NAME?</x:v>
      </x:c>
      <x:c r="J58" s="12"/>
      <x:c r="K58" s="31" t="s">
        <x:v>131</x:v>
      </x:c>
    </x:row>
    <x:row r="59" ht="21.950000762939453" customHeight="1">
      <x:c r="A59" s="15" t="s">
        <x:v>132</x:v>
      </x:c>
      <x:c r="B59" s="12" t="s">
        <x:v>32</x:v>
      </x:c>
      <x:c r="C59" s="12" t="s">
        <x:v>33</x:v>
      </x:c>
      <x:c r="D59" s="12" t="s">
        <x:v>121</x:v>
      </x:c>
      <x:c r="E59" s="12"/>
      <x:c r="F59" s="12" t="s">
        <x:v>35</x:v>
      </x:c>
      <x:c r="G59" s="18">
        <x:v>699</x:v>
      </x:c>
      <x:c r="H59" s="21" t="e">
        <x:f>IF(SUMIFS(İndirimler!$C$2:$C$110,İndirimler!$A$2:$A$110,B59,İndirimler!$B$2:$B$110,C59)&gt;0,ROUND(G59*(1-SUMIFS(İndirimler!$C$2:$C$110,İndirimler!$A$2:$A$110,B59,İndirimler!$B$2:$B$110,C59)),2),"")</x:f>
        <x:v>#NAME?</x:v>
      </x:c>
      <x:c r="I59" s="24" t="e">
        <x:f>IF(SUMIFS(İndirimler!$D$2:$D$110,İndirimler!$A$2:$A$110,B59,İndirimler!$B$2:$B$110,C59)&gt;0,ROUND(G59*(1-SUMIFS(İndirimler!$D$2:$D$110,İndirimler!$A$2:$A$110,B59,İndirimler!$B$2:$B$110,C59)),2),"")</x:f>
        <x:v>#NAME?</x:v>
      </x:c>
      <x:c r="J59" s="30" t="s">
        <x:v>133</x:v>
      </x:c>
      <x:c r="K59" s="31"/>
    </x:row>
    <x:row r="60" ht="21.950000762939453" customHeight="1">
      <x:c r="A60" s="15" t="s">
        <x:v>134</x:v>
      </x:c>
      <x:c r="B60" s="12" t="s">
        <x:v>135</x:v>
      </x:c>
      <x:c r="C60" s="12" t="s">
        <x:v>33</x:v>
      </x:c>
      <x:c r="D60" s="12" t="s">
        <x:v>121</x:v>
      </x:c>
      <x:c r="E60" s="12"/>
      <x:c r="F60" s="12" t="s">
        <x:v>35</x:v>
      </x:c>
      <x:c r="G60" s="18">
        <x:v>999</x:v>
      </x:c>
      <x:c r="H60" s="21" t="e">
        <x:f>IF(SUMIFS(İndirimler!$C$2:$C$110,İndirimler!$A$2:$A$110,B60,İndirimler!$B$2:$B$110,C60)&gt;0,ROUND(G60*(1-SUMIFS(İndirimler!$C$2:$C$110,İndirimler!$A$2:$A$110,B60,İndirimler!$B$2:$B$110,C60)),2),"")</x:f>
        <x:v>#NAME?</x:v>
      </x:c>
      <x:c r="I60" s="24" t="e">
        <x:f>IF(SUMIFS(İndirimler!$D$2:$D$110,İndirimler!$A$2:$A$110,B60,İndirimler!$B$2:$B$110,C60)&gt;0,ROUND(G60*(1-SUMIFS(İndirimler!$D$2:$D$110,İndirimler!$A$2:$A$110,B60,İndirimler!$B$2:$B$110,C60)),2),"")</x:f>
        <x:v>#NAME?</x:v>
      </x:c>
      <x:c r="J60" s="12"/>
      <x:c r="K60" s="31"/>
    </x:row>
    <x:row r="61" ht="21.950000762939453" customHeight="1">
      <x:c r="A61" s="15" t="s">
        <x:v>136</x:v>
      </x:c>
      <x:c r="B61" s="12" t="s">
        <x:v>38</x:v>
      </x:c>
      <x:c r="C61" s="12" t="s">
        <x:v>33</x:v>
      </x:c>
      <x:c r="D61" s="12" t="s">
        <x:v>121</x:v>
      </x:c>
      <x:c r="E61" s="12"/>
      <x:c r="F61" s="12" t="s">
        <x:v>35</x:v>
      </x:c>
      <x:c r="G61" s="18">
        <x:v>899</x:v>
      </x:c>
      <x:c r="H61" s="21" t="e">
        <x:f>IF(SUMIFS(İndirimler!$C$2:$C$110,İndirimler!$A$2:$A$110,B61,İndirimler!$B$2:$B$110,C61)&gt;0,ROUND(G61*(1-SUMIFS(İndirimler!$C$2:$C$110,İndirimler!$A$2:$A$110,B61,İndirimler!$B$2:$B$110,C61)),2),"")</x:f>
        <x:v>#NAME?</x:v>
      </x:c>
      <x:c r="I61" s="24" t="e">
        <x:f>IF(SUMIFS(İndirimler!$D$2:$D$110,İndirimler!$A$2:$A$110,B61,İndirimler!$B$2:$B$110,C61)&gt;0,ROUND(G61*(1-SUMIFS(İndirimler!$D$2:$D$110,İndirimler!$A$2:$A$110,B61,İndirimler!$B$2:$B$110,C61)),2),"")</x:f>
        <x:v>#NAME?</x:v>
      </x:c>
      <x:c r="J61" s="30" t="s">
        <x:v>137</x:v>
      </x:c>
      <x:c r="K61" s="31"/>
    </x:row>
    <x:row r="62" ht="21.950000762939453" customHeight="1">
      <x:c r="A62" s="15" t="s">
        <x:v>138</x:v>
      </x:c>
      <x:c r="B62" s="12" t="s">
        <x:v>139</x:v>
      </x:c>
      <x:c r="C62" s="12" t="s">
        <x:v>33</x:v>
      </x:c>
      <x:c r="D62" s="12" t="s">
        <x:v>121</x:v>
      </x:c>
      <x:c r="E62" s="12" t="s">
        <x:v>140</x:v>
      </x:c>
      <x:c r="F62" s="12" t="s">
        <x:v>42</x:v>
      </x:c>
      <x:c r="G62" s="18">
        <x:v>644</x:v>
      </x:c>
      <x:c r="H62" s="21" t="e">
        <x:f>IF(SUMIFS(İndirimler!$C$2:$C$110,İndirimler!$A$2:$A$110,B62,İndirimler!$B$2:$B$110,C62)&gt;0,ROUND(G62*(1-SUMIFS(İndirimler!$C$2:$C$110,İndirimler!$A$2:$A$110,B62,İndirimler!$B$2:$B$110,C62)),2),"")</x:f>
        <x:v>#NAME?</x:v>
      </x:c>
      <x:c r="I62" s="24" t="e">
        <x:f>IF(SUMIFS(İndirimler!$D$2:$D$110,İndirimler!$A$2:$A$110,B62,İndirimler!$B$2:$B$110,C62)&gt;0,ROUND(G62*(1-SUMIFS(İndirimler!$D$2:$D$110,İndirimler!$A$2:$A$110,B62,İndirimler!$B$2:$B$110,C62)),2),"")</x:f>
        <x:v>#NAME?</x:v>
      </x:c>
      <x:c r="J62" s="30" t="s">
        <x:v>141</x:v>
      </x:c>
      <x:c r="K62" s="31"/>
    </x:row>
    <x:row r="63" ht="21.950000762939453" customHeight="1">
      <x:c r="A63" s="15" t="s">
        <x:v>142</x:v>
      </x:c>
      <x:c r="B63" s="12" t="s">
        <x:v>44</x:v>
      </x:c>
      <x:c r="C63" s="12" t="s">
        <x:v>33</x:v>
      </x:c>
      <x:c r="D63" s="12" t="s">
        <x:v>121</x:v>
      </x:c>
      <x:c r="E63" s="12" t="s">
        <x:v>143</x:v>
      </x:c>
      <x:c r="F63" s="12" t="s">
        <x:v>42</x:v>
      </x:c>
      <x:c r="G63" s="18">
        <x:v>428</x:v>
      </x:c>
      <x:c r="H63" s="21" t="e">
        <x:f>IF(SUMIFS(İndirimler!$C$2:$C$110,İndirimler!$A$2:$A$110,B63,İndirimler!$B$2:$B$110,C63)&gt;0,ROUND(G63*(1-SUMIFS(İndirimler!$C$2:$C$110,İndirimler!$A$2:$A$110,B63,İndirimler!$B$2:$B$110,C63)),2),"")</x:f>
        <x:v>#NAME?</x:v>
      </x:c>
      <x:c r="I63" s="24" t="e">
        <x:f>IF(SUMIFS(İndirimler!$D$2:$D$110,İndirimler!$A$2:$A$110,B63,İndirimler!$B$2:$B$110,C63)&gt;0,ROUND(G63*(1-SUMIFS(İndirimler!$D$2:$D$110,İndirimler!$A$2:$A$110,B63,İndirimler!$B$2:$B$110,C63)),2),"")</x:f>
        <x:v>#NAME?</x:v>
      </x:c>
      <x:c r="J63" s="12" t="s">
        <x:v>144</x:v>
      </x:c>
      <x:c r="K63" s="31"/>
    </x:row>
    <x:row r="64" ht="21.950000762939453" customHeight="1">
      <x:c r="A64" s="15" t="s">
        <x:v>145</x:v>
      </x:c>
      <x:c r="B64" s="12" t="s">
        <x:v>23</x:v>
      </x:c>
      <x:c r="C64" s="12" t="s">
        <x:v>33</x:v>
      </x:c>
      <x:c r="D64" s="12" t="s">
        <x:v>121</x:v>
      </x:c>
      <x:c r="E64" s="12"/>
      <x:c r="F64" s="12" t="s">
        <x:v>146</x:v>
      </x:c>
      <x:c r="G64" s="18">
        <x:v>576</x:v>
      </x:c>
      <x:c r="H64" s="21" t="e">
        <x:f>IF(SUMIFS(İndirimler!$C$2:$C$110,İndirimler!$A$2:$A$110,B64,İndirimler!$B$2:$B$110,C64)&gt;0,ROUND(G64*(1-SUMIFS(İndirimler!$C$2:$C$110,İndirimler!$A$2:$A$110,B64,İndirimler!$B$2:$B$110,C64)),2),"")</x:f>
        <x:v>#NAME?</x:v>
      </x:c>
      <x:c r="I64" s="24" t="e">
        <x:f>IF(SUMIFS(İndirimler!$D$2:$D$110,İndirimler!$A$2:$A$110,B64,İndirimler!$B$2:$B$110,C64)&gt;0,ROUND(G64*(1-SUMIFS(İndirimler!$D$2:$D$110,İndirimler!$A$2:$A$110,B64,İndirimler!$B$2:$B$110,C64)),2),"")</x:f>
        <x:v>#NAME?</x:v>
      </x:c>
      <x:c r="J64" s="30" t="s">
        <x:v>147</x:v>
      </x:c>
      <x:c r="K64" s="31"/>
    </x:row>
    <x:row r="65" ht="21.950000762939453" customHeight="1">
      <x:c r="A65" s="15" t="s">
        <x:v>148</x:v>
      </x:c>
      <x:c r="B65" s="12" t="s">
        <x:v>23</x:v>
      </x:c>
      <x:c r="C65" s="12" t="s">
        <x:v>33</x:v>
      </x:c>
      <x:c r="D65" s="12" t="s">
        <x:v>121</x:v>
      </x:c>
      <x:c r="E65" s="12"/>
      <x:c r="F65" s="12" t="s">
        <x:v>149</x:v>
      </x:c>
      <x:c r="G65" s="18">
        <x:v>576</x:v>
      </x:c>
      <x:c r="H65" s="21" t="e">
        <x:f>IF(SUMIFS(İndirimler!$C$2:$C$110,İndirimler!$A$2:$A$110,B65,İndirimler!$B$2:$B$110,C65)&gt;0,ROUND(G65*(1-SUMIFS(İndirimler!$C$2:$C$110,İndirimler!$A$2:$A$110,B65,İndirimler!$B$2:$B$110,C65)),2),"")</x:f>
        <x:v>#NAME?</x:v>
      </x:c>
      <x:c r="I65" s="24" t="e">
        <x:f>IF(SUMIFS(İndirimler!$D$2:$D$110,İndirimler!$A$2:$A$110,B65,İndirimler!$B$2:$B$110,C65)&gt;0,ROUND(G65*(1-SUMIFS(İndirimler!$D$2:$D$110,İndirimler!$A$2:$A$110,B65,İndirimler!$B$2:$B$110,C65)),2),"")</x:f>
        <x:v>#NAME?</x:v>
      </x:c>
      <x:c r="J65" s="12" t="s">
        <x:v>150</x:v>
      </x:c>
      <x:c r="K65" s="31"/>
    </x:row>
    <x:row r="66" ht="21.950000762939453" customHeight="1">
      <x:c r="A66" s="15" t="s">
        <x:v>151</x:v>
      </x:c>
      <x:c r="B66" s="12" t="s">
        <x:v>50</x:v>
      </x:c>
      <x:c r="C66" s="12" t="s">
        <x:v>33</x:v>
      </x:c>
      <x:c r="D66" s="12" t="s">
        <x:v>121</x:v>
      </x:c>
      <x:c r="E66" s="12" t="s">
        <x:v>152</x:v>
      </x:c>
      <x:c r="F66" s="12" t="s">
        <x:v>42</x:v>
      </x:c>
      <x:c r="G66" s="18">
        <x:v>840</x:v>
      </x:c>
      <x:c r="H66" s="21" t="e">
        <x:f>IF(SUMIFS(İndirimler!$C$2:$C$110,İndirimler!$A$2:$A$110,B66,İndirimler!$B$2:$B$110,C66)&gt;0,ROUND(G66*(1-SUMIFS(İndirimler!$C$2:$C$110,İndirimler!$A$2:$A$110,B66,İndirimler!$B$2:$B$110,C66)),2),"")</x:f>
        <x:v>#NAME?</x:v>
      </x:c>
      <x:c r="I66" s="24" t="e">
        <x:f>IF(SUMIFS(İndirimler!$D$2:$D$110,İndirimler!$A$2:$A$110,B66,İndirimler!$B$2:$B$110,C66)&gt;0,ROUND(G66*(1-SUMIFS(İndirimler!$D$2:$D$110,İndirimler!$A$2:$A$110,B66,İndirimler!$B$2:$B$110,C66)),2),"")</x:f>
        <x:v>#NAME?</x:v>
      </x:c>
      <x:c r="J66" s="12"/>
      <x:c r="K66" s="31"/>
    </x:row>
    <x:row r="67" ht="21.950000762939453" customHeight="1">
      <x:c r="A67" s="15" t="s">
        <x:v>153</x:v>
      </x:c>
      <x:c r="B67" s="12" t="s">
        <x:v>55</x:v>
      </x:c>
      <x:c r="C67" s="12" t="s">
        <x:v>33</x:v>
      </x:c>
      <x:c r="D67" s="12" t="s">
        <x:v>121</x:v>
      </x:c>
      <x:c r="E67" s="12" t="s">
        <x:v>69</x:v>
      </x:c>
      <x:c r="F67" s="12" t="s">
        <x:v>16</x:v>
      </x:c>
      <x:c r="G67" s="18">
        <x:v>498</x:v>
      </x:c>
      <x:c r="H67" s="21" t="e">
        <x:f>IF(SUMIFS(İndirimler!$C$2:$C$110,İndirimler!$A$2:$A$110,B67,İndirimler!$B$2:$B$110,C67)&gt;0,ROUND(G67*(1-SUMIFS(İndirimler!$C$2:$C$110,İndirimler!$A$2:$A$110,B67,İndirimler!$B$2:$B$110,C67)),2),"")</x:f>
        <x:v>#NAME?</x:v>
      </x:c>
      <x:c r="I67" s="24" t="e">
        <x:f>IF(SUMIFS(İndirimler!$D$2:$D$110,İndirimler!$A$2:$A$110,B67,İndirimler!$B$2:$B$110,C67)&gt;0,ROUND(G67*(1-SUMIFS(İndirimler!$D$2:$D$110,İndirimler!$A$2:$A$110,B67,İndirimler!$B$2:$B$110,C67)),2),"")</x:f>
        <x:v>#NAME?</x:v>
      </x:c>
      <x:c r="J67" s="12" t="s">
        <x:v>154</x:v>
      </x:c>
      <x:c r="K67" s="31"/>
    </x:row>
    <x:row r="68" ht="21.950000762939453" customHeight="1">
      <x:c r="A68" s="15" t="s">
        <x:v>155</x:v>
      </x:c>
      <x:c r="B68" s="12" t="s">
        <x:v>120</x:v>
      </x:c>
      <x:c r="C68" s="12" t="s">
        <x:v>33</x:v>
      </x:c>
      <x:c r="D68" s="12" t="s">
        <x:v>121</x:v>
      </x:c>
      <x:c r="E68" s="12"/>
      <x:c r="F68" s="12" t="s">
        <x:v>16</x:v>
      </x:c>
      <x:c r="G68" s="18">
        <x:v>479</x:v>
      </x:c>
      <x:c r="H68" s="21" t="e">
        <x:f>IF(SUMIFS(İndirimler!$C$2:$C$110,İndirimler!$A$2:$A$110,B68,İndirimler!$B$2:$B$110,C68)&gt;0,ROUND(G68*(1-SUMIFS(İndirimler!$C$2:$C$110,İndirimler!$A$2:$A$110,B68,İndirimler!$B$2:$B$110,C68)),2),"")</x:f>
        <x:v>#NAME?</x:v>
      </x:c>
      <x:c r="I68" s="24" t="e">
        <x:f>IF(SUMIFS(İndirimler!$D$2:$D$110,İndirimler!$A$2:$A$110,B68,İndirimler!$B$2:$B$110,C68)&gt;0,ROUND(G68*(1-SUMIFS(İndirimler!$D$2:$D$110,İndirimler!$A$2:$A$110,B68,İndirimler!$B$2:$B$110,C68)),2),"")</x:f>
        <x:v>#NAME?</x:v>
      </x:c>
      <x:c r="J68" s="12"/>
      <x:c r="K68" s="31"/>
    </x:row>
    <x:row r="69" ht="21.950000762939453" customHeight="1">
      <x:c r="A69" s="15" t="s">
        <x:v>156</x:v>
      </x:c>
      <x:c r="B69" s="12" t="s">
        <x:v>120</x:v>
      </x:c>
      <x:c r="C69" s="12" t="s">
        <x:v>33</x:v>
      </x:c>
      <x:c r="D69" s="12" t="s">
        <x:v>121</x:v>
      </x:c>
      <x:c r="E69" s="12" t="s">
        <x:v>157</x:v>
      </x:c>
      <x:c r="F69" s="12" t="s">
        <x:v>16</x:v>
      </x:c>
      <x:c r="G69" s="18">
        <x:v>505</x:v>
      </x:c>
      <x:c r="H69" s="21" t="e">
        <x:f>IF(SUMIFS(İndirimler!$C$2:$C$110,İndirimler!$A$2:$A$110,B69,İndirimler!$B$2:$B$110,C69)&gt;0,ROUND(G69*(1-SUMIFS(İndirimler!$C$2:$C$110,İndirimler!$A$2:$A$110,B69,İndirimler!$B$2:$B$110,C69)),2),"")</x:f>
        <x:v>#NAME?</x:v>
      </x:c>
      <x:c r="I69" s="24" t="e">
        <x:f>IF(SUMIFS(İndirimler!$D$2:$D$110,İndirimler!$A$2:$A$110,B69,İndirimler!$B$2:$B$110,C69)&gt;0,ROUND(G69*(1-SUMIFS(İndirimler!$D$2:$D$110,İndirimler!$A$2:$A$110,B69,İndirimler!$B$2:$B$110,C69)),2),"")</x:f>
        <x:v>#NAME?</x:v>
      </x:c>
      <x:c r="J69" s="12"/>
      <x:c r="K69" s="31"/>
    </x:row>
    <x:row r="70" ht="21.950000762939453" customHeight="1">
      <x:c r="A70" s="15" t="s">
        <x:v>158</x:v>
      </x:c>
      <x:c r="B70" s="12" t="s">
        <x:v>139</x:v>
      </x:c>
      <x:c r="C70" s="12" t="s">
        <x:v>33</x:v>
      </x:c>
      <x:c r="D70" s="12" t="s">
        <x:v>121</x:v>
      </x:c>
      <x:c r="E70" s="12"/>
      <x:c r="F70" s="12" t="s">
        <x:v>16</x:v>
      </x:c>
      <x:c r="G70" s="18">
        <x:v>608</x:v>
      </x:c>
      <x:c r="H70" s="21" t="e">
        <x:f>IF(SUMIFS(İndirimler!$C$2:$C$110,İndirimler!$A$2:$A$110,B70,İndirimler!$B$2:$B$110,C70)&gt;0,ROUND(G70*(1-SUMIFS(İndirimler!$C$2:$C$110,İndirimler!$A$2:$A$110,B70,İndirimler!$B$2:$B$110,C70)),2),"")</x:f>
        <x:v>#NAME?</x:v>
      </x:c>
      <x:c r="I70" s="24" t="e">
        <x:f>IF(SUMIFS(İndirimler!$D$2:$D$110,İndirimler!$A$2:$A$110,B70,İndirimler!$B$2:$B$110,C70)&gt;0,ROUND(G70*(1-SUMIFS(İndirimler!$D$2:$D$110,İndirimler!$A$2:$A$110,B70,İndirimler!$B$2:$B$110,C70)),2),"")</x:f>
        <x:v>#NAME?</x:v>
      </x:c>
      <x:c r="J70" s="30" t="s">
        <x:v>159</x:v>
      </x:c>
      <x:c r="K70" s="31"/>
    </x:row>
    <x:row r="71" ht="21.950000762939453" customHeight="1">
      <x:c r="A71" s="15" t="s">
        <x:v>160</x:v>
      </x:c>
      <x:c r="B71" s="12" t="s">
        <x:v>18</x:v>
      </x:c>
      <x:c r="C71" s="12" t="s">
        <x:v>33</x:v>
      </x:c>
      <x:c r="D71" s="12" t="s">
        <x:v>121</x:v>
      </x:c>
      <x:c r="E71" s="12"/>
      <x:c r="F71" s="12" t="s">
        <x:v>16</x:v>
      </x:c>
      <x:c r="G71" s="18">
        <x:v>619</x:v>
      </x:c>
      <x:c r="H71" s="21" t="e">
        <x:f>IF(SUMIFS(İndirimler!$C$2:$C$110,İndirimler!$A$2:$A$110,B71,İndirimler!$B$2:$B$110,C71)&gt;0,ROUND(G71*(1-SUMIFS(İndirimler!$C$2:$C$110,İndirimler!$A$2:$A$110,B71,İndirimler!$B$2:$B$110,C71)),2),"")</x:f>
        <x:v>#NAME?</x:v>
      </x:c>
      <x:c r="I71" s="24" t="e">
        <x:f>IF(SUMIFS(İndirimler!$D$2:$D$110,İndirimler!$A$2:$A$110,B71,İndirimler!$B$2:$B$110,C71)&gt;0,ROUND(G71*(1-SUMIFS(İndirimler!$D$2:$D$110,İndirimler!$A$2:$A$110,B71,İndirimler!$B$2:$B$110,C71)),2),"")</x:f>
        <x:v>#NAME?</x:v>
      </x:c>
      <x:c r="J71" s="30" t="s">
        <x:v>161</x:v>
      </x:c>
      <x:c r="K71" s="31"/>
    </x:row>
    <x:row r="72" ht="21.950000762939453" customHeight="1">
      <x:c r="A72" s="15" t="s">
        <x:v>162</x:v>
      </x:c>
      <x:c r="B72" s="12" t="s">
        <x:v>18</x:v>
      </x:c>
      <x:c r="C72" s="12" t="s">
        <x:v>33</x:v>
      </x:c>
      <x:c r="D72" s="12" t="s">
        <x:v>121</x:v>
      </x:c>
      <x:c r="E72" s="12" t="s">
        <x:v>41</x:v>
      </x:c>
      <x:c r="F72" s="12" t="s">
        <x:v>42</x:v>
      </x:c>
      <x:c r="G72" s="18">
        <x:v>799</x:v>
      </x:c>
      <x:c r="H72" s="21" t="e">
        <x:f>IF(SUMIFS(İndirimler!$C$2:$C$110,İndirimler!$A$2:$A$110,B72,İndirimler!$B$2:$B$110,C72)&gt;0,ROUND(G72*(1-SUMIFS(İndirimler!$C$2:$C$110,İndirimler!$A$2:$A$110,B72,İndirimler!$B$2:$B$110,C72)),2),"")</x:f>
        <x:v>#NAME?</x:v>
      </x:c>
      <x:c r="I72" s="24" t="e">
        <x:f>IF(SUMIFS(İndirimler!$D$2:$D$110,İndirimler!$A$2:$A$110,B72,İndirimler!$B$2:$B$110,C72)&gt;0,ROUND(G72*(1-SUMIFS(İndirimler!$D$2:$D$110,İndirimler!$A$2:$A$110,B72,İndirimler!$B$2:$B$110,C72)),2),"")</x:f>
        <x:v>#NAME?</x:v>
      </x:c>
      <x:c r="J72" s="12"/>
      <x:c r="K72" s="31"/>
    </x:row>
    <x:row r="73" ht="21.950000762939453" customHeight="1">
      <x:c r="A73" s="15" t="s">
        <x:v>163</x:v>
      </x:c>
      <x:c r="B73" s="12" t="s">
        <x:v>44</x:v>
      </x:c>
      <x:c r="C73" s="12" t="s">
        <x:v>33</x:v>
      </x:c>
      <x:c r="D73" s="12" t="s">
        <x:v>121</x:v>
      </x:c>
      <x:c r="E73" s="12" t="s">
        <x:v>164</x:v>
      </x:c>
      <x:c r="F73" s="12" t="s">
        <x:v>16</x:v>
      </x:c>
      <x:c r="G73" s="18">
        <x:v>428</x:v>
      </x:c>
      <x:c r="H73" s="21" t="e">
        <x:f>IF(SUMIFS(İndirimler!$C$2:$C$110,İndirimler!$A$2:$A$110,B73,İndirimler!$B$2:$B$110,C73)&gt;0,ROUND(G73*(1-SUMIFS(İndirimler!$C$2:$C$110,İndirimler!$A$2:$A$110,B73,İndirimler!$B$2:$B$110,C73)),2),"")</x:f>
        <x:v>#NAME?</x:v>
      </x:c>
      <x:c r="I73" s="24" t="e">
        <x:f>IF(SUMIFS(İndirimler!$D$2:$D$110,İndirimler!$A$2:$A$110,B73,İndirimler!$B$2:$B$110,C73)&gt;0,ROUND(G73*(1-SUMIFS(İndirimler!$D$2:$D$110,İndirimler!$A$2:$A$110,B73,İndirimler!$B$2:$B$110,C73)),2),"")</x:f>
        <x:v>#NAME?</x:v>
      </x:c>
      <x:c r="J73" s="12" t="s">
        <x:v>165</x:v>
      </x:c>
      <x:c r="K73" s="31"/>
    </x:row>
    <x:row r="74" ht="21.950000762939453" customHeight="1">
      <x:c r="A74" s="15" t="s">
        <x:v>166</x:v>
      </x:c>
      <x:c r="B74" s="12" t="s">
        <x:v>167</x:v>
      </x:c>
      <x:c r="C74" s="12" t="s">
        <x:v>33</x:v>
      </x:c>
      <x:c r="D74" s="12" t="s">
        <x:v>121</x:v>
      </x:c>
      <x:c r="E74" s="12" t="s">
        <x:v>41</x:v>
      </x:c>
      <x:c r="F74" s="12" t="s">
        <x:v>16</x:v>
      </x:c>
      <x:c r="G74" s="18">
        <x:v>455</x:v>
      </x:c>
      <x:c r="H74" s="21" t="e">
        <x:f>IF(SUMIFS(İndirimler!$C$2:$C$110,İndirimler!$A$2:$A$110,B74,İndirimler!$B$2:$B$110,C74)&gt;0,ROUND(G74*(1-SUMIFS(İndirimler!$C$2:$C$110,İndirimler!$A$2:$A$110,B74,İndirimler!$B$2:$B$110,C74)),2),"")</x:f>
        <x:v>#NAME?</x:v>
      </x:c>
      <x:c r="I74" s="24" t="e">
        <x:f>IF(SUMIFS(İndirimler!$D$2:$D$110,İndirimler!$A$2:$A$110,B74,İndirimler!$B$2:$B$110,C74)&gt;0,ROUND(G74*(1-SUMIFS(İndirimler!$D$2:$D$110,İndirimler!$A$2:$A$110,B74,İndirimler!$B$2:$B$110,C74)),2),"")</x:f>
        <x:v>#NAME?</x:v>
      </x:c>
      <x:c r="J74" s="12"/>
      <x:c r="K74" s="31"/>
    </x:row>
    <x:row r="75" ht="21.950000762939453" customHeight="1">
      <x:c r="A75" s="15" t="s">
        <x:v>168</x:v>
      </x:c>
      <x:c r="B75" s="12" t="s">
        <x:v>63</x:v>
      </x:c>
      <x:c r="C75" s="12" t="s">
        <x:v>33</x:v>
      </x:c>
      <x:c r="D75" s="12" t="s">
        <x:v>121</x:v>
      </x:c>
      <x:c r="E75" s="12" t="s">
        <x:v>64</x:v>
      </x:c>
      <x:c r="F75" s="12" t="s">
        <x:v>16</x:v>
      </x:c>
      <x:c r="G75" s="18">
        <x:v>545</x:v>
      </x:c>
      <x:c r="H75" s="21" t="e">
        <x:f>IF(SUMIFS(İndirimler!$C$2:$C$110,İndirimler!$A$2:$A$110,B75,İndirimler!$B$2:$B$110,C75)&gt;0,ROUND(G75*(1-SUMIFS(İndirimler!$C$2:$C$110,İndirimler!$A$2:$A$110,B75,İndirimler!$B$2:$B$110,C75)),2),"")</x:f>
        <x:v>#NAME?</x:v>
      </x:c>
      <x:c r="I75" s="24" t="e">
        <x:f>IF(SUMIFS(İndirimler!$D$2:$D$110,İndirimler!$A$2:$A$110,B75,İndirimler!$B$2:$B$110,C75)&gt;0,ROUND(G75*(1-SUMIFS(İndirimler!$D$2:$D$110,İndirimler!$A$2:$A$110,B75,İndirimler!$B$2:$B$110,C75)),2),"")</x:f>
        <x:v>#NAME?</x:v>
      </x:c>
      <x:c r="J75" s="12" t="s">
        <x:v>169</x:v>
      </x:c>
      <x:c r="K75" s="31"/>
    </x:row>
    <x:row r="76" ht="21.950000762939453" customHeight="1">
      <x:c r="A76" s="15" t="s">
        <x:v>170</x:v>
      </x:c>
      <x:c r="B76" s="12" t="s">
        <x:v>23</x:v>
      </x:c>
      <x:c r="C76" s="12" t="s">
        <x:v>33</x:v>
      </x:c>
      <x:c r="D76" s="12" t="s">
        <x:v>121</x:v>
      </x:c>
      <x:c r="E76" s="12"/>
      <x:c r="F76" s="12" t="s">
        <x:v>16</x:v>
      </x:c>
      <x:c r="G76" s="18">
        <x:v>676</x:v>
      </x:c>
      <x:c r="H76" s="21" t="e">
        <x:f>IF(SUMIFS(İndirimler!$C$2:$C$110,İndirimler!$A$2:$A$110,B76,İndirimler!$B$2:$B$110,C76)&gt;0,ROUND(G76*(1-SUMIFS(İndirimler!$C$2:$C$110,İndirimler!$A$2:$A$110,B76,İndirimler!$B$2:$B$110,C76)),2),"")</x:f>
        <x:v>#NAME?</x:v>
      </x:c>
      <x:c r="I76" s="24" t="e">
        <x:f>IF(SUMIFS(İndirimler!$D$2:$D$110,İndirimler!$A$2:$A$110,B76,İndirimler!$B$2:$B$110,C76)&gt;0,ROUND(G76*(1-SUMIFS(İndirimler!$D$2:$D$110,İndirimler!$A$2:$A$110,B76,İndirimler!$B$2:$B$110,C76)),2),"")</x:f>
        <x:v>#NAME?</x:v>
      </x:c>
      <x:c r="J76" s="30" t="s">
        <x:v>171</x:v>
      </x:c>
      <x:c r="K76" s="31"/>
    </x:row>
    <x:row r="77" ht="21.950000762939453" customHeight="1">
      <x:c r="A77" s="15" t="s">
        <x:v>172</x:v>
      </x:c>
      <x:c r="B77" s="12" t="s">
        <x:v>25</x:v>
      </x:c>
      <x:c r="C77" s="12" t="s">
        <x:v>33</x:v>
      </x:c>
      <x:c r="D77" s="12" t="s">
        <x:v>121</x:v>
      </x:c>
      <x:c r="E77" s="12" t="s">
        <x:v>28</x:v>
      </x:c>
      <x:c r="F77" s="12" t="s">
        <x:v>16</x:v>
      </x:c>
      <x:c r="G77" s="18"/>
      <x:c r="H77" s="21" t="e">
        <x:f>IF(SUMIFS(İndirimler!$C$2:$C$110,İndirimler!$A$2:$A$110,B77,İndirimler!$B$2:$B$110,C77)&gt;0,ROUND(G77*(1-SUMIFS(İndirimler!$C$2:$C$110,İndirimler!$A$2:$A$110,B77,İndirimler!$B$2:$B$110,C77)),2),"")</x:f>
        <x:v>#NAME?</x:v>
      </x:c>
      <x:c r="I77" s="24" t="e">
        <x:f>IF(SUMIFS(İndirimler!$D$2:$D$110,İndirimler!$A$2:$A$110,B77,İndirimler!$B$2:$B$110,C77)&gt;0,ROUND(G77*(1-SUMIFS(İndirimler!$D$2:$D$110,İndirimler!$A$2:$A$110,B77,İndirimler!$B$2:$B$110,C77)),2),"")</x:f>
        <x:v>#NAME?</x:v>
      </x:c>
      <x:c r="J77" s="12"/>
      <x:c r="K77" s="31"/>
    </x:row>
    <x:row r="78" ht="21.950000762939453" customHeight="1">
      <x:c r="A78" s="15" t="s">
        <x:v>173</x:v>
      </x:c>
      <x:c r="B78" s="12" t="s">
        <x:v>50</x:v>
      </x:c>
      <x:c r="C78" s="12" t="s">
        <x:v>33</x:v>
      </x:c>
      <x:c r="D78" s="12" t="s">
        <x:v>121</x:v>
      </x:c>
      <x:c r="E78" s="12" t="s">
        <x:v>69</x:v>
      </x:c>
      <x:c r="F78" s="12" t="s">
        <x:v>16</x:v>
      </x:c>
      <x:c r="G78" s="18">
        <x:v>686</x:v>
      </x:c>
      <x:c r="H78" s="21" t="e">
        <x:f>IF(SUMIFS(İndirimler!$C$2:$C$110,İndirimler!$A$2:$A$110,B78,İndirimler!$B$2:$B$110,C78)&gt;0,ROUND(G78*(1-SUMIFS(İndirimler!$C$2:$C$110,İndirimler!$A$2:$A$110,B78,İndirimler!$B$2:$B$110,C78)),2),"")</x:f>
        <x:v>#NAME?</x:v>
      </x:c>
      <x:c r="I78" s="24" t="e">
        <x:f>IF(SUMIFS(İndirimler!$D$2:$D$110,İndirimler!$A$2:$A$110,B78,İndirimler!$B$2:$B$110,C78)&gt;0,ROUND(G78*(1-SUMIFS(İndirimler!$D$2:$D$110,İndirimler!$A$2:$A$110,B78,İndirimler!$B$2:$B$110,C78)),2),"")</x:f>
        <x:v>#NAME?</x:v>
      </x:c>
      <x:c r="J78" s="12"/>
      <x:c r="K78" s="31"/>
    </x:row>
    <x:row r="79" ht="21.950000762939453" customHeight="1">
      <x:c r="A79" s="15" t="s">
        <x:v>174</x:v>
      </x:c>
      <x:c r="B79" s="12" t="s">
        <x:v>129</x:v>
      </x:c>
      <x:c r="C79" s="12" t="s">
        <x:v>33</x:v>
      </x:c>
      <x:c r="D79" s="12" t="s">
        <x:v>121</x:v>
      </x:c>
      <x:c r="E79" s="12"/>
      <x:c r="F79" s="12" t="s">
        <x:v>16</x:v>
      </x:c>
      <x:c r="G79" s="18">
        <x:v>579</x:v>
      </x:c>
      <x:c r="H79" s="21" t="e">
        <x:f>IF(SUMIFS(İndirimler!$C$2:$C$110,İndirimler!$A$2:$A$110,B79,İndirimler!$B$2:$B$110,C79)&gt;0,ROUND(G79*(1-SUMIFS(İndirimler!$C$2:$C$110,İndirimler!$A$2:$A$110,B79,İndirimler!$B$2:$B$110,C79)),2),"")</x:f>
        <x:v>#NAME?</x:v>
      </x:c>
      <x:c r="I79" s="24" t="e">
        <x:f>IF(SUMIFS(İndirimler!$D$2:$D$110,İndirimler!$A$2:$A$110,B79,İndirimler!$B$2:$B$110,C79)&gt;0,ROUND(G79*(1-SUMIFS(İndirimler!$D$2:$D$110,İndirimler!$A$2:$A$110,B79,İndirimler!$B$2:$B$110,C79)),2),"")</x:f>
        <x:v>#NAME?</x:v>
      </x:c>
      <x:c r="J79" s="12"/>
      <x:c r="K79" s="31"/>
    </x:row>
    <x:row r="80" ht="21.950000762939453" customHeight="1">
      <x:c r="A80" s="15" t="s">
        <x:v>175</x:v>
      </x:c>
      <x:c r="B80" s="12" t="s">
        <x:v>135</x:v>
      </x:c>
      <x:c r="C80" s="12" t="s">
        <x:v>33</x:v>
      </x:c>
      <x:c r="D80" s="12" t="s">
        <x:v>121</x:v>
      </x:c>
      <x:c r="E80" s="12"/>
      <x:c r="F80" s="12" t="s">
        <x:v>16</x:v>
      </x:c>
      <x:c r="G80" s="18">
        <x:v>385</x:v>
      </x:c>
      <x:c r="H80" s="21" t="e">
        <x:f>IF(SUMIFS(İndirimler!$C$2:$C$110,İndirimler!$A$2:$A$110,B80,İndirimler!$B$2:$B$110,C80)&gt;0,ROUND(G80*(1-SUMIFS(İndirimler!$C$2:$C$110,İndirimler!$A$2:$A$110,B80,İndirimler!$B$2:$B$110,C80)),2),"")</x:f>
        <x:v>#NAME?</x:v>
      </x:c>
      <x:c r="I80" s="24" t="e">
        <x:f>IF(SUMIFS(İndirimler!$D$2:$D$110,İndirimler!$A$2:$A$110,B80,İndirimler!$B$2:$B$110,C80)&gt;0,ROUND(G80*(1-SUMIFS(İndirimler!$D$2:$D$110,İndirimler!$A$2:$A$110,B80,İndirimler!$B$2:$B$110,C80)),2),"")</x:f>
        <x:v>#NAME?</x:v>
      </x:c>
      <x:c r="J80" s="12"/>
      <x:c r="K80" s="31"/>
    </x:row>
    <x:row r="81" ht="21.950000762939453" customHeight="1">
      <x:c r="A81" s="15" t="s">
        <x:v>176</x:v>
      </x:c>
      <x:c r="B81" s="12" t="s">
        <x:v>38</x:v>
      </x:c>
      <x:c r="C81" s="12" t="s">
        <x:v>33</x:v>
      </x:c>
      <x:c r="D81" s="12" t="s">
        <x:v>121</x:v>
      </x:c>
      <x:c r="E81" s="12" t="s">
        <x:v>69</x:v>
      </x:c>
      <x:c r="F81" s="12" t="s">
        <x:v>16</x:v>
      </x:c>
      <x:c r="G81" s="18">
        <x:v>500</x:v>
      </x:c>
      <x:c r="H81" s="21" t="e">
        <x:f>IF(SUMIFS(İndirimler!$C$2:$C$110,İndirimler!$A$2:$A$110,B81,İndirimler!$B$2:$B$110,C81)&gt;0,ROUND(G81*(1-SUMIFS(İndirimler!$C$2:$C$110,İndirimler!$A$2:$A$110,B81,İndirimler!$B$2:$B$110,C81)),2),"")</x:f>
        <x:v>#NAME?</x:v>
      </x:c>
      <x:c r="I81" s="24" t="e">
        <x:f>IF(SUMIFS(İndirimler!$D$2:$D$110,İndirimler!$A$2:$A$110,B81,İndirimler!$B$2:$B$110,C81)&gt;0,ROUND(G81*(1-SUMIFS(İndirimler!$D$2:$D$110,İndirimler!$A$2:$A$110,B81,İndirimler!$B$2:$B$110,C81)),2),"")</x:f>
        <x:v>#NAME?</x:v>
      </x:c>
      <x:c r="J81" s="12" t="s">
        <x:v>177</x:v>
      </x:c>
      <x:c r="K81" s="31"/>
    </x:row>
    <x:row r="82" ht="21.950000762939453" customHeight="1">
      <x:c r="A82" s="15" t="s">
        <x:v>178</x:v>
      </x:c>
      <x:c r="B82" s="12" t="s">
        <x:v>72</x:v>
      </x:c>
      <x:c r="C82" s="12" t="s">
        <x:v>33</x:v>
      </x:c>
      <x:c r="D82" s="12" t="s">
        <x:v>121</x:v>
      </x:c>
      <x:c r="E82" s="12"/>
      <x:c r="F82" s="12" t="s">
        <x:v>73</x:v>
      </x:c>
      <x:c r="G82" s="18">
        <x:v>455</x:v>
      </x:c>
      <x:c r="H82" s="21" t="e">
        <x:f>IF(SUMIFS(İndirimler!$C$2:$C$110,İndirimler!$A$2:$A$110,B82,İndirimler!$B$2:$B$110,C82)&gt;0,ROUND(G82*(1-SUMIFS(İndirimler!$C$2:$C$110,İndirimler!$A$2:$A$110,B82,İndirimler!$B$2:$B$110,C82)),2),"")</x:f>
        <x:v>#NAME?</x:v>
      </x:c>
      <x:c r="I82" s="24" t="e">
        <x:f>IF(SUMIFS(İndirimler!$D$2:$D$110,İndirimler!$A$2:$A$110,B82,İndirimler!$B$2:$B$110,C82)&gt;0,ROUND(G82*(1-SUMIFS(İndirimler!$D$2:$D$110,İndirimler!$A$2:$A$110,B82,İndirimler!$B$2:$B$110,C82)),2),"")</x:f>
        <x:v>#NAME?</x:v>
      </x:c>
      <x:c r="J82" s="12"/>
      <x:c r="K82" s="31"/>
    </x:row>
    <x:row r="83" ht="21.950000762939453" customHeight="1">
      <x:c r="A83" s="15" t="s">
        <x:v>179</x:v>
      </x:c>
      <x:c r="B83" s="12" t="s">
        <x:v>120</x:v>
      </x:c>
      <x:c r="C83" s="12" t="s">
        <x:v>76</x:v>
      </x:c>
      <x:c r="D83" s="12" t="s">
        <x:v>121</x:v>
      </x:c>
      <x:c r="E83" s="12" t="s">
        <x:v>41</x:v>
      </x:c>
      <x:c r="F83" s="12" t="s">
        <x:v>35</x:v>
      </x:c>
      <x:c r="G83" s="18">
        <x:v>689</x:v>
      </x:c>
      <x:c r="H83" s="21" t="e">
        <x:f>IF(SUMIFS(İndirimler!$C$2:$C$110,İndirimler!$A$2:$A$110,B83,İndirimler!$B$2:$B$110,C83)&gt;0,ROUND(G83*(1-SUMIFS(İndirimler!$C$2:$C$110,İndirimler!$A$2:$A$110,B83,İndirimler!$B$2:$B$110,C83)),2),"")</x:f>
        <x:v>#NAME?</x:v>
      </x:c>
      <x:c r="I83" s="24" t="e">
        <x:f>IF(SUMIFS(İndirimler!$D$2:$D$110,İndirimler!$A$2:$A$110,B83,İndirimler!$B$2:$B$110,C83)&gt;0,ROUND(G83*(1-SUMIFS(İndirimler!$D$2:$D$110,İndirimler!$A$2:$A$110,B83,İndirimler!$B$2:$B$110,C83)),2),"")</x:f>
        <x:v>#NAME?</x:v>
      </x:c>
      <x:c r="J83" s="12"/>
      <x:c r="K83" s="31"/>
    </x:row>
    <x:row r="84" ht="21.950000762939453" customHeight="1">
      <x:c r="A84" s="15" t="s">
        <x:v>180</x:v>
      </x:c>
      <x:c r="B84" s="12" t="s">
        <x:v>124</x:v>
      </x:c>
      <x:c r="C84" s="12" t="s">
        <x:v>76</x:v>
      </x:c>
      <x:c r="D84" s="12" t="s">
        <x:v>121</x:v>
      </x:c>
      <x:c r="E84" s="12" t="s">
        <x:v>125</x:v>
      </x:c>
      <x:c r="F84" s="12" t="s">
        <x:v>35</x:v>
      </x:c>
      <x:c r="G84" s="18"/>
      <x:c r="H84" s="21" t="e">
        <x:f>IF(SUMIFS(İndirimler!$C$2:$C$110,İndirimler!$A$2:$A$110,B84,İndirimler!$B$2:$B$110,C84)&gt;0,ROUND(G84*(1-SUMIFS(İndirimler!$C$2:$C$110,İndirimler!$A$2:$A$110,B84,İndirimler!$B$2:$B$110,C84)),2),"")</x:f>
        <x:v>#NAME?</x:v>
      </x:c>
      <x:c r="I84" s="24" t="e">
        <x:f>IF(SUMIFS(İndirimler!$D$2:$D$110,İndirimler!$A$2:$A$110,B84,İndirimler!$B$2:$B$110,C84)&gt;0,ROUND(G84*(1-SUMIFS(İndirimler!$D$2:$D$110,İndirimler!$A$2:$A$110,B84,İndirimler!$B$2:$B$110,C84)),2),"")</x:f>
        <x:v>#NAME?</x:v>
      </x:c>
      <x:c r="J84" s="12"/>
      <x:c r="K84" s="31"/>
    </x:row>
    <x:row r="85" ht="21.950000762939453" customHeight="1">
      <x:c r="A85" s="15" t="s">
        <x:v>181</x:v>
      </x:c>
      <x:c r="B85" s="12" t="s">
        <x:v>25</x:v>
      </x:c>
      <x:c r="C85" s="12" t="s">
        <x:v>76</x:v>
      </x:c>
      <x:c r="D85" s="12" t="s">
        <x:v>121</x:v>
      </x:c>
      <x:c r="E85" s="12" t="s">
        <x:v>127</x:v>
      </x:c>
      <x:c r="F85" s="12" t="s">
        <x:v>35</x:v>
      </x:c>
      <x:c r="G85" s="18">
        <x:v>879</x:v>
      </x:c>
      <x:c r="H85" s="21" t="e">
        <x:f>IF(SUMIFS(İndirimler!$C$2:$C$110,İndirimler!$A$2:$A$110,B85,İndirimler!$B$2:$B$110,C85)&gt;0,ROUND(G85*(1-SUMIFS(İndirimler!$C$2:$C$110,İndirimler!$A$2:$A$110,B85,İndirimler!$B$2:$B$110,C85)),2),"")</x:f>
        <x:v>#NAME?</x:v>
      </x:c>
      <x:c r="I85" s="24" t="e">
        <x:f>IF(SUMIFS(İndirimler!$D$2:$D$110,İndirimler!$A$2:$A$110,B85,İndirimler!$B$2:$B$110,C85)&gt;0,ROUND(G85*(1-SUMIFS(İndirimler!$D$2:$D$110,İndirimler!$A$2:$A$110,B85,İndirimler!$B$2:$B$110,C85)),2),"")</x:f>
        <x:v>#NAME?</x:v>
      </x:c>
      <x:c r="J85" s="12"/>
      <x:c r="K85" s="31"/>
    </x:row>
    <x:row r="86" ht="21.950000762939453" customHeight="1">
      <x:c r="A86" s="15" t="s">
        <x:v>182</x:v>
      </x:c>
      <x:c r="B86" s="12" t="s">
        <x:v>129</x:v>
      </x:c>
      <x:c r="C86" s="12" t="s">
        <x:v>76</x:v>
      </x:c>
      <x:c r="D86" s="12" t="s">
        <x:v>121</x:v>
      </x:c>
      <x:c r="E86" s="12" t="s">
        <x:v>130</x:v>
      </x:c>
      <x:c r="F86" s="12" t="s">
        <x:v>35</x:v>
      </x:c>
      <x:c r="G86" s="18">
        <x:v>849</x:v>
      </x:c>
      <x:c r="H86" s="21" t="e">
        <x:f>IF(SUMIFS(İndirimler!$C$2:$C$110,İndirimler!$A$2:$A$110,B86,İndirimler!$B$2:$B$110,C86)&gt;0,ROUND(G86*(1-SUMIFS(İndirimler!$C$2:$C$110,İndirimler!$A$2:$A$110,B86,İndirimler!$B$2:$B$110,C86)),2),"")</x:f>
        <x:v>#NAME?</x:v>
      </x:c>
      <x:c r="I86" s="24" t="e">
        <x:f>IF(SUMIFS(İndirimler!$D$2:$D$110,İndirimler!$A$2:$A$110,B86,İndirimler!$B$2:$B$110,C86)&gt;0,ROUND(G86*(1-SUMIFS(İndirimler!$D$2:$D$110,İndirimler!$A$2:$A$110,B86,İndirimler!$B$2:$B$110,C86)),2),"")</x:f>
        <x:v>#NAME?</x:v>
      </x:c>
      <x:c r="J86" s="12"/>
      <x:c r="K86" s="31"/>
    </x:row>
    <x:row r="87" ht="21.950000762939453" customHeight="1">
      <x:c r="A87" s="15" t="s">
        <x:v>183</x:v>
      </x:c>
      <x:c r="B87" s="12" t="s">
        <x:v>32</x:v>
      </x:c>
      <x:c r="C87" s="12" t="s">
        <x:v>76</x:v>
      </x:c>
      <x:c r="D87" s="12" t="s">
        <x:v>121</x:v>
      </x:c>
      <x:c r="E87" s="12"/>
      <x:c r="F87" s="12" t="s">
        <x:v>35</x:v>
      </x:c>
      <x:c r="G87" s="18">
        <x:v>739</x:v>
      </x:c>
      <x:c r="H87" s="21" t="e">
        <x:f>IF(SUMIFS(İndirimler!$C$2:$C$110,İndirimler!$A$2:$A$110,B87,İndirimler!$B$2:$B$110,C87)&gt;0,ROUND(G87*(1-SUMIFS(İndirimler!$C$2:$C$110,İndirimler!$A$2:$A$110,B87,İndirimler!$B$2:$B$110,C87)),2),"")</x:f>
        <x:v>#NAME?</x:v>
      </x:c>
      <x:c r="I87" s="24" t="e">
        <x:f>IF(SUMIFS(İndirimler!$D$2:$D$110,İndirimler!$A$2:$A$110,B87,İndirimler!$B$2:$B$110,C87)&gt;0,ROUND(G87*(1-SUMIFS(İndirimler!$D$2:$D$110,İndirimler!$A$2:$A$110,B87,İndirimler!$B$2:$B$110,C87)),2),"")</x:f>
        <x:v>#NAME?</x:v>
      </x:c>
      <x:c r="J87" s="30" t="s">
        <x:v>184</x:v>
      </x:c>
      <x:c r="K87" s="31"/>
    </x:row>
    <x:row r="88" ht="21.950000762939453" customHeight="1">
      <x:c r="A88" s="15" t="s">
        <x:v>185</x:v>
      </x:c>
      <x:c r="B88" s="12" t="s">
        <x:v>135</x:v>
      </x:c>
      <x:c r="C88" s="12" t="s">
        <x:v>76</x:v>
      </x:c>
      <x:c r="D88" s="12" t="s">
        <x:v>121</x:v>
      </x:c>
      <x:c r="E88" s="12"/>
      <x:c r="F88" s="12" t="s">
        <x:v>35</x:v>
      </x:c>
      <x:c r="G88" s="18">
        <x:v>755</x:v>
      </x:c>
      <x:c r="H88" s="21" t="e">
        <x:f>IF(SUMIFS(İndirimler!$C$2:$C$110,İndirimler!$A$2:$A$110,B88,İndirimler!$B$2:$B$110,C88)&gt;0,ROUND(G88*(1-SUMIFS(İndirimler!$C$2:$C$110,İndirimler!$A$2:$A$110,B88,İndirimler!$B$2:$B$110,C88)),2),"")</x:f>
        <x:v>#NAME?</x:v>
      </x:c>
      <x:c r="I88" s="24" t="e">
        <x:f>IF(SUMIFS(İndirimler!$D$2:$D$110,İndirimler!$A$2:$A$110,B88,İndirimler!$B$2:$B$110,C88)&gt;0,ROUND(G88*(1-SUMIFS(İndirimler!$D$2:$D$110,İndirimler!$A$2:$A$110,B88,İndirimler!$B$2:$B$110,C88)),2),"")</x:f>
        <x:v>#NAME?</x:v>
      </x:c>
      <x:c r="J88" s="12"/>
      <x:c r="K88" s="31"/>
    </x:row>
    <x:row r="89" ht="21.950000762939453" customHeight="1">
      <x:c r="A89" s="15" t="s">
        <x:v>186</x:v>
      </x:c>
      <x:c r="B89" s="12" t="s">
        <x:v>38</x:v>
      </x:c>
      <x:c r="C89" s="12" t="s">
        <x:v>76</x:v>
      </x:c>
      <x:c r="D89" s="12" t="s">
        <x:v>121</x:v>
      </x:c>
      <x:c r="E89" s="12"/>
      <x:c r="F89" s="12" t="s">
        <x:v>35</x:v>
      </x:c>
      <x:c r="G89" s="18">
        <x:v>779</x:v>
      </x:c>
      <x:c r="H89" s="21" t="e">
        <x:f>IF(SUMIFS(İndirimler!$C$2:$C$110,İndirimler!$A$2:$A$110,B89,İndirimler!$B$2:$B$110,C89)&gt;0,ROUND(G89*(1-SUMIFS(İndirimler!$C$2:$C$110,İndirimler!$A$2:$A$110,B89,İndirimler!$B$2:$B$110,C89)),2),"")</x:f>
        <x:v>#NAME?</x:v>
      </x:c>
      <x:c r="I89" s="24" t="e">
        <x:f>IF(SUMIFS(İndirimler!$D$2:$D$110,İndirimler!$A$2:$A$110,B89,İndirimler!$B$2:$B$110,C89)&gt;0,ROUND(G89*(1-SUMIFS(İndirimler!$D$2:$D$110,İndirimler!$A$2:$A$110,B89,İndirimler!$B$2:$B$110,C89)),2),"")</x:f>
        <x:v>#NAME?</x:v>
      </x:c>
      <x:c r="J89" s="12" t="s">
        <x:v>187</x:v>
      </x:c>
      <x:c r="K89" s="31"/>
    </x:row>
    <x:row r="90" ht="21.950000762939453" customHeight="1">
      <x:c r="A90" s="15" t="s">
        <x:v>188</x:v>
      </x:c>
      <x:c r="B90" s="12" t="s">
        <x:v>139</x:v>
      </x:c>
      <x:c r="C90" s="12" t="s">
        <x:v>76</x:v>
      </x:c>
      <x:c r="D90" s="12" t="s">
        <x:v>121</x:v>
      </x:c>
      <x:c r="E90" s="12" t="s">
        <x:v>140</x:v>
      </x:c>
      <x:c r="F90" s="12" t="s">
        <x:v>42</x:v>
      </x:c>
      <x:c r="G90" s="18">
        <x:v>592</x:v>
      </x:c>
      <x:c r="H90" s="21" t="e">
        <x:f>IF(SUMIFS(İndirimler!$C$2:$C$110,İndirimler!$A$2:$A$110,B90,İndirimler!$B$2:$B$110,C90)&gt;0,ROUND(G90*(1-SUMIFS(İndirimler!$C$2:$C$110,İndirimler!$A$2:$A$110,B90,İndirimler!$B$2:$B$110,C90)),2),"")</x:f>
        <x:v>#NAME?</x:v>
      </x:c>
      <x:c r="I90" s="24" t="e">
        <x:f>IF(SUMIFS(İndirimler!$D$2:$D$110,İndirimler!$A$2:$A$110,B90,İndirimler!$B$2:$B$110,C90)&gt;0,ROUND(G90*(1-SUMIFS(İndirimler!$D$2:$D$110,İndirimler!$A$2:$A$110,B90,İndirimler!$B$2:$B$110,C90)),2),"")</x:f>
        <x:v>#NAME?</x:v>
      </x:c>
      <x:c r="J90" s="12" t="s">
        <x:v>189</x:v>
      </x:c>
      <x:c r="K90" s="31"/>
    </x:row>
    <x:row r="91" ht="21.950000762939453" customHeight="1">
      <x:c r="A91" s="15" t="s">
        <x:v>190</x:v>
      </x:c>
      <x:c r="B91" s="12" t="s">
        <x:v>44</x:v>
      </x:c>
      <x:c r="C91" s="12" t="s">
        <x:v>76</x:v>
      </x:c>
      <x:c r="D91" s="12" t="s">
        <x:v>121</x:v>
      </x:c>
      <x:c r="E91" s="12" t="s">
        <x:v>143</x:v>
      </x:c>
      <x:c r="F91" s="12" t="s">
        <x:v>42</x:v>
      </x:c>
      <x:c r="G91" s="18">
        <x:v>428</x:v>
      </x:c>
      <x:c r="H91" s="21" t="e">
        <x:f>IF(SUMIFS(İndirimler!$C$2:$C$110,İndirimler!$A$2:$A$110,B91,İndirimler!$B$2:$B$110,C91)&gt;0,ROUND(G91*(1-SUMIFS(İndirimler!$C$2:$C$110,İndirimler!$A$2:$A$110,B91,İndirimler!$B$2:$B$110,C91)),2),"")</x:f>
        <x:v>#NAME?</x:v>
      </x:c>
      <x:c r="I91" s="24" t="e">
        <x:f>IF(SUMIFS(İndirimler!$D$2:$D$110,İndirimler!$A$2:$A$110,B91,İndirimler!$B$2:$B$110,C91)&gt;0,ROUND(G91*(1-SUMIFS(İndirimler!$D$2:$D$110,İndirimler!$A$2:$A$110,B91,İndirimler!$B$2:$B$110,C91)),2),"")</x:f>
        <x:v>#NAME?</x:v>
      </x:c>
      <x:c r="J91" s="12" t="s">
        <x:v>191</x:v>
      </x:c>
      <x:c r="K91" s="31"/>
    </x:row>
    <x:row r="92" ht="21.950000762939453" customHeight="1">
      <x:c r="A92" s="15" t="s">
        <x:v>192</x:v>
      </x:c>
      <x:c r="B92" s="12" t="s">
        <x:v>23</x:v>
      </x:c>
      <x:c r="C92" s="12" t="s">
        <x:v>76</x:v>
      </x:c>
      <x:c r="D92" s="12" t="s">
        <x:v>121</x:v>
      </x:c>
      <x:c r="E92" s="12" t="s">
        <x:v>69</x:v>
      </x:c>
      <x:c r="F92" s="12" t="s">
        <x:v>42</x:v>
      </x:c>
      <x:c r="G92" s="18">
        <x:v>678</x:v>
      </x:c>
      <x:c r="H92" s="21" t="e">
        <x:f>IF(SUMIFS(İndirimler!$C$2:$C$110,İndirimler!$A$2:$A$110,B92,İndirimler!$B$2:$B$110,C92)&gt;0,ROUND(G92*(1-SUMIFS(İndirimler!$C$2:$C$110,İndirimler!$A$2:$A$110,B92,İndirimler!$B$2:$B$110,C92)),2),"")</x:f>
        <x:v>#NAME?</x:v>
      </x:c>
      <x:c r="I92" s="24" t="e">
        <x:f>IF(SUMIFS(İndirimler!$D$2:$D$110,İndirimler!$A$2:$A$110,B92,İndirimler!$B$2:$B$110,C92)&gt;0,ROUND(G92*(1-SUMIFS(İndirimler!$D$2:$D$110,İndirimler!$A$2:$A$110,B92,İndirimler!$B$2:$B$110,C92)),2),"")</x:f>
        <x:v>#NAME?</x:v>
      </x:c>
      <x:c r="J92" s="12" t="s">
        <x:v>95</x:v>
      </x:c>
      <x:c r="K92" s="31"/>
    </x:row>
    <x:row r="93" ht="21.950000762939453" customHeight="1">
      <x:c r="A93" s="15" t="s">
        <x:v>193</x:v>
      </x:c>
      <x:c r="B93" s="12" t="s">
        <x:v>50</x:v>
      </x:c>
      <x:c r="C93" s="12" t="s">
        <x:v>76</x:v>
      </x:c>
      <x:c r="D93" s="12" t="s">
        <x:v>121</x:v>
      </x:c>
      <x:c r="E93" s="12" t="s">
        <x:v>152</x:v>
      </x:c>
      <x:c r="F93" s="12" t="s">
        <x:v>42</x:v>
      </x:c>
      <x:c r="G93" s="18">
        <x:v>840</x:v>
      </x:c>
      <x:c r="H93" s="21" t="e">
        <x:f>IF(SUMIFS(İndirimler!$C$2:$C$110,İndirimler!$A$2:$A$110,B93,İndirimler!$B$2:$B$110,C93)&gt;0,ROUND(G93*(1-SUMIFS(İndirimler!$C$2:$C$110,İndirimler!$A$2:$A$110,B93,İndirimler!$B$2:$B$110,C93)),2),"")</x:f>
        <x:v>#NAME?</x:v>
      </x:c>
      <x:c r="I93" s="24" t="e">
        <x:f>IF(SUMIFS(İndirimler!$D$2:$D$110,İndirimler!$A$2:$A$110,B93,İndirimler!$B$2:$B$110,C93)&gt;0,ROUND(G93*(1-SUMIFS(İndirimler!$D$2:$D$110,İndirimler!$A$2:$A$110,B93,İndirimler!$B$2:$B$110,C93)),2),"")</x:f>
        <x:v>#NAME?</x:v>
      </x:c>
      <x:c r="J93" s="12"/>
      <x:c r="K93" s="31"/>
    </x:row>
    <x:row r="94" ht="21.950000762939453" customHeight="1">
      <x:c r="A94" s="15" t="s">
        <x:v>194</x:v>
      </x:c>
      <x:c r="B94" s="12" t="s">
        <x:v>55</x:v>
      </x:c>
      <x:c r="C94" s="12" t="s">
        <x:v>76</x:v>
      </x:c>
      <x:c r="D94" s="12" t="s">
        <x:v>121</x:v>
      </x:c>
      <x:c r="E94" s="12" t="s">
        <x:v>69</x:v>
      </x:c>
      <x:c r="F94" s="12" t="s">
        <x:v>16</x:v>
      </x:c>
      <x:c r="G94" s="18">
        <x:v>498</x:v>
      </x:c>
      <x:c r="H94" s="21" t="e">
        <x:f>IF(SUMIFS(İndirimler!$C$2:$C$110,İndirimler!$A$2:$A$110,B94,İndirimler!$B$2:$B$110,C94)&gt;0,ROUND(G94*(1-SUMIFS(İndirimler!$C$2:$C$110,İndirimler!$A$2:$A$110,B94,İndirimler!$B$2:$B$110,C94)),2),"")</x:f>
        <x:v>#NAME?</x:v>
      </x:c>
      <x:c r="I94" s="24" t="e">
        <x:f>IF(SUMIFS(İndirimler!$D$2:$D$110,İndirimler!$A$2:$A$110,B94,İndirimler!$B$2:$B$110,C94)&gt;0,ROUND(G94*(1-SUMIFS(İndirimler!$D$2:$D$110,İndirimler!$A$2:$A$110,B94,İndirimler!$B$2:$B$110,C94)),2),"")</x:f>
        <x:v>#NAME?</x:v>
      </x:c>
      <x:c r="J94" s="12" t="s">
        <x:v>195</x:v>
      </x:c>
      <x:c r="K94" s="31"/>
    </x:row>
    <x:row r="95" ht="21.950000762939453" customHeight="1">
      <x:c r="A95" s="15" t="s">
        <x:v>196</x:v>
      </x:c>
      <x:c r="B95" s="12" t="s">
        <x:v>120</x:v>
      </x:c>
      <x:c r="C95" s="12" t="s">
        <x:v>76</x:v>
      </x:c>
      <x:c r="D95" s="12" t="s">
        <x:v>121</x:v>
      </x:c>
      <x:c r="E95" s="12"/>
      <x:c r="F95" s="12" t="s">
        <x:v>16</x:v>
      </x:c>
      <x:c r="G95" s="18">
        <x:v>465</x:v>
      </x:c>
      <x:c r="H95" s="21" t="e">
        <x:f>IF(SUMIFS(İndirimler!$C$2:$C$110,İndirimler!$A$2:$A$110,B95,İndirimler!$B$2:$B$110,C95)&gt;0,ROUND(G95*(1-SUMIFS(İndirimler!$C$2:$C$110,İndirimler!$A$2:$A$110,B95,İndirimler!$B$2:$B$110,C95)),2),"")</x:f>
        <x:v>#NAME?</x:v>
      </x:c>
      <x:c r="I95" s="24" t="e">
        <x:f>IF(SUMIFS(İndirimler!$D$2:$D$110,İndirimler!$A$2:$A$110,B95,İndirimler!$B$2:$B$110,C95)&gt;0,ROUND(G95*(1-SUMIFS(İndirimler!$D$2:$D$110,İndirimler!$A$2:$A$110,B95,İndirimler!$B$2:$B$110,C95)),2),"")</x:f>
        <x:v>#NAME?</x:v>
      </x:c>
      <x:c r="J95" s="12"/>
      <x:c r="K95" s="31"/>
    </x:row>
    <x:row r="96" ht="21.950000762939453" customHeight="1">
      <x:c r="A96" s="15" t="s">
        <x:v>197</x:v>
      </x:c>
      <x:c r="B96" s="12" t="s">
        <x:v>120</x:v>
      </x:c>
      <x:c r="C96" s="12" t="s">
        <x:v>76</x:v>
      </x:c>
      <x:c r="D96" s="12" t="s">
        <x:v>121</x:v>
      </x:c>
      <x:c r="E96" s="12" t="s">
        <x:v>157</x:v>
      </x:c>
      <x:c r="F96" s="12" t="s">
        <x:v>16</x:v>
      </x:c>
      <x:c r="G96" s="18">
        <x:v>465</x:v>
      </x:c>
      <x:c r="H96" s="21" t="e">
        <x:f>IF(SUMIFS(İndirimler!$C$2:$C$110,İndirimler!$A$2:$A$110,B96,İndirimler!$B$2:$B$110,C96)&gt;0,ROUND(G96*(1-SUMIFS(İndirimler!$C$2:$C$110,İndirimler!$A$2:$A$110,B96,İndirimler!$B$2:$B$110,C96)),2),"")</x:f>
        <x:v>#NAME?</x:v>
      </x:c>
      <x:c r="I96" s="24" t="e">
        <x:f>IF(SUMIFS(İndirimler!$D$2:$D$110,İndirimler!$A$2:$A$110,B96,İndirimler!$B$2:$B$110,C96)&gt;0,ROUND(G96*(1-SUMIFS(İndirimler!$D$2:$D$110,İndirimler!$A$2:$A$110,B96,İndirimler!$B$2:$B$110,C96)),2),"")</x:f>
        <x:v>#NAME?</x:v>
      </x:c>
      <x:c r="J96" s="12"/>
      <x:c r="K96" s="31"/>
    </x:row>
    <x:row r="97" ht="21.950000762939453" customHeight="1">
      <x:c r="A97" s="15" t="s">
        <x:v>198</x:v>
      </x:c>
      <x:c r="B97" s="12" t="s">
        <x:v>139</x:v>
      </x:c>
      <x:c r="C97" s="12" t="s">
        <x:v>76</x:v>
      </x:c>
      <x:c r="D97" s="12" t="s">
        <x:v>121</x:v>
      </x:c>
      <x:c r="E97" s="12" t="s">
        <x:v>69</x:v>
      </x:c>
      <x:c r="F97" s="12" t="s">
        <x:v>16</x:v>
      </x:c>
      <x:c r="G97" s="18">
        <x:v>512</x:v>
      </x:c>
      <x:c r="H97" s="21" t="e">
        <x:f>IF(SUMIFS(İndirimler!$C$2:$C$110,İndirimler!$A$2:$A$110,B97,İndirimler!$B$2:$B$110,C97)&gt;0,ROUND(G97*(1-SUMIFS(İndirimler!$C$2:$C$110,İndirimler!$A$2:$A$110,B97,İndirimler!$B$2:$B$110,C97)),2),"")</x:f>
        <x:v>#NAME?</x:v>
      </x:c>
      <x:c r="I97" s="24" t="e">
        <x:f>IF(SUMIFS(İndirimler!$D$2:$D$110,İndirimler!$A$2:$A$110,B97,İndirimler!$B$2:$B$110,C97)&gt;0,ROUND(G97*(1-SUMIFS(İndirimler!$D$2:$D$110,İndirimler!$A$2:$A$110,B97,İndirimler!$B$2:$B$110,C97)),2),"")</x:f>
        <x:v>#NAME?</x:v>
      </x:c>
      <x:c r="J97" s="12" t="s">
        <x:v>199</x:v>
      </x:c>
      <x:c r="K97" s="31"/>
    </x:row>
    <x:row r="98" ht="21.950000762939453" customHeight="1">
      <x:c r="A98" s="15" t="s">
        <x:v>200</x:v>
      </x:c>
      <x:c r="B98" s="12" t="s">
        <x:v>18</x:v>
      </x:c>
      <x:c r="C98" s="12" t="s">
        <x:v>76</x:v>
      </x:c>
      <x:c r="D98" s="12" t="s">
        <x:v>121</x:v>
      </x:c>
      <x:c r="E98" s="12"/>
      <x:c r="F98" s="12" t="s">
        <x:v>16</x:v>
      </x:c>
      <x:c r="G98" s="18">
        <x:v>685</x:v>
      </x:c>
      <x:c r="H98" s="21" t="e">
        <x:f>IF(SUMIFS(İndirimler!$C$2:$C$110,İndirimler!$A$2:$A$110,B98,İndirimler!$B$2:$B$110,C98)&gt;0,ROUND(G98*(1-SUMIFS(İndirimler!$C$2:$C$110,İndirimler!$A$2:$A$110,B98,İndirimler!$B$2:$B$110,C98)),2),"")</x:f>
        <x:v>#NAME?</x:v>
      </x:c>
      <x:c r="I98" s="24" t="e">
        <x:f>IF(SUMIFS(İndirimler!$D$2:$D$110,İndirimler!$A$2:$A$110,B98,İndirimler!$B$2:$B$110,C98)&gt;0,ROUND(G98*(1-SUMIFS(İndirimler!$D$2:$D$110,İndirimler!$A$2:$A$110,B98,İndirimler!$B$2:$B$110,C98)),2),"")</x:f>
        <x:v>#NAME?</x:v>
      </x:c>
      <x:c r="J98" s="30" t="s">
        <x:v>201</x:v>
      </x:c>
      <x:c r="K98" s="31"/>
    </x:row>
    <x:row r="99" ht="21.950000762939453" customHeight="1">
      <x:c r="A99" s="15" t="s">
        <x:v>202</x:v>
      </x:c>
      <x:c r="B99" s="12" t="s">
        <x:v>18</x:v>
      </x:c>
      <x:c r="C99" s="12" t="s">
        <x:v>76</x:v>
      </x:c>
      <x:c r="D99" s="12" t="s">
        <x:v>121</x:v>
      </x:c>
      <x:c r="E99" s="12" t="s">
        <x:v>41</x:v>
      </x:c>
      <x:c r="F99" s="12" t="s">
        <x:v>42</x:v>
      </x:c>
      <x:c r="G99" s="18">
        <x:v>819</x:v>
      </x:c>
      <x:c r="H99" s="21" t="e">
        <x:f>IF(SUMIFS(İndirimler!$C$2:$C$110,İndirimler!$A$2:$A$110,B99,İndirimler!$B$2:$B$110,C99)&gt;0,ROUND(G99*(1-SUMIFS(İndirimler!$C$2:$C$110,İndirimler!$A$2:$A$110,B99,İndirimler!$B$2:$B$110,C99)),2),"")</x:f>
        <x:v>#NAME?</x:v>
      </x:c>
      <x:c r="I99" s="24" t="e">
        <x:f>IF(SUMIFS(İndirimler!$D$2:$D$110,İndirimler!$A$2:$A$110,B99,İndirimler!$B$2:$B$110,C99)&gt;0,ROUND(G99*(1-SUMIFS(İndirimler!$D$2:$D$110,İndirimler!$A$2:$A$110,B99,İndirimler!$B$2:$B$110,C99)),2),"")</x:f>
        <x:v>#NAME?</x:v>
      </x:c>
      <x:c r="J99" s="12"/>
      <x:c r="K99" s="31"/>
    </x:row>
    <x:row r="100" ht="21.950000762939453" customHeight="1">
      <x:c r="A100" s="15" t="s">
        <x:v>203</x:v>
      </x:c>
      <x:c r="B100" s="12" t="s">
        <x:v>44</x:v>
      </x:c>
      <x:c r="C100" s="12" t="s">
        <x:v>76</x:v>
      </x:c>
      <x:c r="D100" s="12" t="s">
        <x:v>121</x:v>
      </x:c>
      <x:c r="E100" s="12" t="s">
        <x:v>164</x:v>
      </x:c>
      <x:c r="F100" s="12" t="s">
        <x:v>16</x:v>
      </x:c>
      <x:c r="G100" s="18">
        <x:v>428</x:v>
      </x:c>
      <x:c r="H100" s="21" t="e">
        <x:f>IF(SUMIFS(İndirimler!$C$2:$C$110,İndirimler!$A$2:$A$110,B100,İndirimler!$B$2:$B$110,C100)&gt;0,ROUND(G100*(1-SUMIFS(İndirimler!$C$2:$C$110,İndirimler!$A$2:$A$110,B100,İndirimler!$B$2:$B$110,C100)),2),"")</x:f>
        <x:v>#NAME?</x:v>
      </x:c>
      <x:c r="I100" s="24" t="e">
        <x:f>IF(SUMIFS(İndirimler!$D$2:$D$110,İndirimler!$A$2:$A$110,B100,İndirimler!$B$2:$B$110,C100)&gt;0,ROUND(G100*(1-SUMIFS(İndirimler!$D$2:$D$110,İndirimler!$A$2:$A$110,B100,İndirimler!$B$2:$B$110,C100)),2),"")</x:f>
        <x:v>#NAME?</x:v>
      </x:c>
      <x:c r="J100" s="12" t="s">
        <x:v>204</x:v>
      </x:c>
      <x:c r="K100" s="31"/>
    </x:row>
    <x:row r="101" ht="21.950000762939453" customHeight="1">
      <x:c r="A101" s="15" t="s">
        <x:v>205</x:v>
      </x:c>
      <x:c r="B101" s="12" t="s">
        <x:v>167</x:v>
      </x:c>
      <x:c r="C101" s="12" t="s">
        <x:v>76</x:v>
      </x:c>
      <x:c r="D101" s="12" t="s">
        <x:v>121</x:v>
      </x:c>
      <x:c r="E101" s="12"/>
      <x:c r="F101" s="12" t="s">
        <x:v>16</x:v>
      </x:c>
      <x:c r="G101" s="18">
        <x:v>499</x:v>
      </x:c>
      <x:c r="H101" s="21" t="e">
        <x:f>IF(SUMIFS(İndirimler!$C$2:$C$110,İndirimler!$A$2:$A$110,B101,İndirimler!$B$2:$B$110,C101)&gt;0,ROUND(G101*(1-SUMIFS(İndirimler!$C$2:$C$110,İndirimler!$A$2:$A$110,B101,İndirimler!$B$2:$B$110,C101)),2),"")</x:f>
        <x:v>#NAME?</x:v>
      </x:c>
      <x:c r="I101" s="24" t="e">
        <x:f>IF(SUMIFS(İndirimler!$D$2:$D$110,İndirimler!$A$2:$A$110,B101,İndirimler!$B$2:$B$110,C101)&gt;0,ROUND(G101*(1-SUMIFS(İndirimler!$D$2:$D$110,İndirimler!$A$2:$A$110,B101,İndirimler!$B$2:$B$110,C101)),2),"")</x:f>
        <x:v>#NAME?</x:v>
      </x:c>
      <x:c r="J101" s="12"/>
      <x:c r="K101" s="31"/>
    </x:row>
    <x:row r="102" ht="21.950000762939453" customHeight="1">
      <x:c r="A102" s="15" t="s">
        <x:v>206</x:v>
      </x:c>
      <x:c r="B102" s="12" t="s">
        <x:v>63</x:v>
      </x:c>
      <x:c r="C102" s="12" t="s">
        <x:v>76</x:v>
      </x:c>
      <x:c r="D102" s="12" t="s">
        <x:v>121</x:v>
      </x:c>
      <x:c r="E102" s="12" t="s">
        <x:v>64</x:v>
      </x:c>
      <x:c r="F102" s="12" t="s">
        <x:v>16</x:v>
      </x:c>
      <x:c r="G102" s="18">
        <x:v>569</x:v>
      </x:c>
      <x:c r="H102" s="21" t="e">
        <x:f>IF(SUMIFS(İndirimler!$C$2:$C$110,İndirimler!$A$2:$A$110,B102,İndirimler!$B$2:$B$110,C102)&gt;0,ROUND(G102*(1-SUMIFS(İndirimler!$C$2:$C$110,İndirimler!$A$2:$A$110,B102,İndirimler!$B$2:$B$110,C102)),2),"")</x:f>
        <x:v>#NAME?</x:v>
      </x:c>
      <x:c r="I102" s="24" t="e">
        <x:f>IF(SUMIFS(İndirimler!$D$2:$D$110,İndirimler!$A$2:$A$110,B102,İndirimler!$B$2:$B$110,C102)&gt;0,ROUND(G102*(1-SUMIFS(İndirimler!$D$2:$D$110,İndirimler!$A$2:$A$110,B102,İndirimler!$B$2:$B$110,C102)),2),"")</x:f>
        <x:v>#NAME?</x:v>
      </x:c>
      <x:c r="J102" s="12" t="s">
        <x:v>207</x:v>
      </x:c>
      <x:c r="K102" s="31"/>
    </x:row>
    <x:row r="103" ht="21.950000762939453" customHeight="1">
      <x:c r="A103" s="15" t="s">
        <x:v>208</x:v>
      </x:c>
      <x:c r="B103" s="12" t="s">
        <x:v>23</x:v>
      </x:c>
      <x:c r="C103" s="12" t="s">
        <x:v>76</x:v>
      </x:c>
      <x:c r="D103" s="12" t="s">
        <x:v>121</x:v>
      </x:c>
      <x:c r="E103" s="12" t="s">
        <x:v>69</x:v>
      </x:c>
      <x:c r="F103" s="12" t="s">
        <x:v>16</x:v>
      </x:c>
      <x:c r="G103" s="18">
        <x:v>670</x:v>
      </x:c>
      <x:c r="H103" s="21" t="e">
        <x:f>IF(SUMIFS(İndirimler!$C$2:$C$110,İndirimler!$A$2:$A$110,B103,İndirimler!$B$2:$B$110,C103)&gt;0,ROUND(G103*(1-SUMIFS(İndirimler!$C$2:$C$110,İndirimler!$A$2:$A$110,B103,İndirimler!$B$2:$B$110,C103)),2),"")</x:f>
        <x:v>#NAME?</x:v>
      </x:c>
      <x:c r="I103" s="24" t="e">
        <x:f>IF(SUMIFS(İndirimler!$D$2:$D$110,İndirimler!$A$2:$A$110,B103,İndirimler!$B$2:$B$110,C103)&gt;0,ROUND(G103*(1-SUMIFS(İndirimler!$D$2:$D$110,İndirimler!$A$2:$A$110,B103,İndirimler!$B$2:$B$110,C103)),2),"")</x:f>
        <x:v>#NAME?</x:v>
      </x:c>
      <x:c r="J103" s="12" t="s">
        <x:v>209</x:v>
      </x:c>
      <x:c r="K103" s="31"/>
    </x:row>
    <x:row r="104" ht="21.950000762939453" customHeight="1">
      <x:c r="A104" s="15" t="s">
        <x:v>210</x:v>
      </x:c>
      <x:c r="B104" s="12" t="s">
        <x:v>25</x:v>
      </x:c>
      <x:c r="C104" s="12" t="s">
        <x:v>76</x:v>
      </x:c>
      <x:c r="D104" s="12" t="s">
        <x:v>121</x:v>
      </x:c>
      <x:c r="E104" s="12" t="s">
        <x:v>28</x:v>
      </x:c>
      <x:c r="F104" s="12" t="s">
        <x:v>16</x:v>
      </x:c>
      <x:c r="G104" s="18"/>
      <x:c r="H104" s="21" t="e">
        <x:f>IF(SUMIFS(İndirimler!$C$2:$C$110,İndirimler!$A$2:$A$110,B104,İndirimler!$B$2:$B$110,C104)&gt;0,ROUND(G104*(1-SUMIFS(İndirimler!$C$2:$C$110,İndirimler!$A$2:$A$110,B104,İndirimler!$B$2:$B$110,C104)),2),"")</x:f>
        <x:v>#NAME?</x:v>
      </x:c>
      <x:c r="I104" s="24" t="e">
        <x:f>IF(SUMIFS(İndirimler!$D$2:$D$110,İndirimler!$A$2:$A$110,B104,İndirimler!$B$2:$B$110,C104)&gt;0,ROUND(G104*(1-SUMIFS(İndirimler!$D$2:$D$110,İndirimler!$A$2:$A$110,B104,İndirimler!$B$2:$B$110,C104)),2),"")</x:f>
        <x:v>#NAME?</x:v>
      </x:c>
      <x:c r="J104" s="12"/>
      <x:c r="K104" s="31"/>
    </x:row>
    <x:row r="105" ht="21.950000762939453" customHeight="1">
      <x:c r="A105" s="15" t="s">
        <x:v>211</x:v>
      </x:c>
      <x:c r="B105" s="12" t="s">
        <x:v>50</x:v>
      </x:c>
      <x:c r="C105" s="12" t="s">
        <x:v>76</x:v>
      </x:c>
      <x:c r="D105" s="12" t="s">
        <x:v>121</x:v>
      </x:c>
      <x:c r="E105" s="12" t="s">
        <x:v>69</x:v>
      </x:c>
      <x:c r="F105" s="12" t="s">
        <x:v>16</x:v>
      </x:c>
      <x:c r="G105" s="18">
        <x:v>616</x:v>
      </x:c>
      <x:c r="H105" s="21" t="e">
        <x:f>IF(SUMIFS(İndirimler!$C$2:$C$110,İndirimler!$A$2:$A$110,B105,İndirimler!$B$2:$B$110,C105)&gt;0,ROUND(G105*(1-SUMIFS(İndirimler!$C$2:$C$110,İndirimler!$A$2:$A$110,B105,İndirimler!$B$2:$B$110,C105)),2),"")</x:f>
        <x:v>#NAME?</x:v>
      </x:c>
      <x:c r="I105" s="24" t="e">
        <x:f>IF(SUMIFS(İndirimler!$D$2:$D$110,İndirimler!$A$2:$A$110,B105,İndirimler!$B$2:$B$110,C105)&gt;0,ROUND(G105*(1-SUMIFS(İndirimler!$D$2:$D$110,İndirimler!$A$2:$A$110,B105,İndirimler!$B$2:$B$110,C105)),2),"")</x:f>
        <x:v>#NAME?</x:v>
      </x:c>
      <x:c r="J105" s="12"/>
      <x:c r="K105" s="31"/>
    </x:row>
    <x:row r="106" ht="21.950000762939453" customHeight="1">
      <x:c r="A106" s="15" t="s">
        <x:v>212</x:v>
      </x:c>
      <x:c r="B106" s="12" t="s">
        <x:v>129</x:v>
      </x:c>
      <x:c r="C106" s="12" t="s">
        <x:v>76</x:v>
      </x:c>
      <x:c r="D106" s="12" t="s">
        <x:v>121</x:v>
      </x:c>
      <x:c r="E106" s="12"/>
      <x:c r="F106" s="12" t="s">
        <x:v>16</x:v>
      </x:c>
      <x:c r="G106" s="18">
        <x:v>669</x:v>
      </x:c>
      <x:c r="H106" s="21" t="e">
        <x:f>IF(SUMIFS(İndirimler!$C$2:$C$110,İndirimler!$A$2:$A$110,B106,İndirimler!$B$2:$B$110,C106)&gt;0,ROUND(G106*(1-SUMIFS(İndirimler!$C$2:$C$110,İndirimler!$A$2:$A$110,B106,İndirimler!$B$2:$B$110,C106)),2),"")</x:f>
        <x:v>#NAME?</x:v>
      </x:c>
      <x:c r="I106" s="24" t="e">
        <x:f>IF(SUMIFS(İndirimler!$D$2:$D$110,İndirimler!$A$2:$A$110,B106,İndirimler!$B$2:$B$110,C106)&gt;0,ROUND(G106*(1-SUMIFS(İndirimler!$D$2:$D$110,İndirimler!$A$2:$A$110,B106,İndirimler!$B$2:$B$110,C106)),2),"")</x:f>
        <x:v>#NAME?</x:v>
      </x:c>
      <x:c r="J106" s="12"/>
      <x:c r="K106" s="31"/>
    </x:row>
    <x:row r="107" ht="21.950000762939453" customHeight="1">
      <x:c r="A107" s="15" t="s">
        <x:v>213</x:v>
      </x:c>
      <x:c r="B107" s="12" t="s">
        <x:v>135</x:v>
      </x:c>
      <x:c r="C107" s="12" t="s">
        <x:v>76</x:v>
      </x:c>
      <x:c r="D107" s="12" t="s">
        <x:v>121</x:v>
      </x:c>
      <x:c r="E107" s="12"/>
      <x:c r="F107" s="12" t="s">
        <x:v>16</x:v>
      </x:c>
      <x:c r="G107" s="18">
        <x:v>385</x:v>
      </x:c>
      <x:c r="H107" s="21" t="e">
        <x:f>IF(SUMIFS(İndirimler!$C$2:$C$110,İndirimler!$A$2:$A$110,B107,İndirimler!$B$2:$B$110,C107)&gt;0,ROUND(G107*(1-SUMIFS(İndirimler!$C$2:$C$110,İndirimler!$A$2:$A$110,B107,İndirimler!$B$2:$B$110,C107)),2),"")</x:f>
        <x:v>#NAME?</x:v>
      </x:c>
      <x:c r="I107" s="24" t="e">
        <x:f>IF(SUMIFS(İndirimler!$D$2:$D$110,İndirimler!$A$2:$A$110,B107,İndirimler!$B$2:$B$110,C107)&gt;0,ROUND(G107*(1-SUMIFS(İndirimler!$D$2:$D$110,İndirimler!$A$2:$A$110,B107,İndirimler!$B$2:$B$110,C107)),2),"")</x:f>
        <x:v>#NAME?</x:v>
      </x:c>
      <x:c r="J107" s="12"/>
      <x:c r="K107" s="31"/>
    </x:row>
    <x:row r="108" ht="21.950000762939453" customHeight="1">
      <x:c r="A108" s="15" t="s">
        <x:v>214</x:v>
      </x:c>
      <x:c r="B108" s="12" t="s">
        <x:v>38</x:v>
      </x:c>
      <x:c r="C108" s="12" t="s">
        <x:v>76</x:v>
      </x:c>
      <x:c r="D108" s="12" t="s">
        <x:v>121</x:v>
      </x:c>
      <x:c r="E108" s="12" t="s">
        <x:v>69</x:v>
      </x:c>
      <x:c r="F108" s="12" t="s">
        <x:v>16</x:v>
      </x:c>
      <x:c r="G108" s="18">
        <x:v>519</x:v>
      </x:c>
      <x:c r="H108" s="21" t="e">
        <x:f>IF(SUMIFS(İndirimler!$C$2:$C$110,İndirimler!$A$2:$A$110,B108,İndirimler!$B$2:$B$110,C108)&gt;0,ROUND(G108*(1-SUMIFS(İndirimler!$C$2:$C$110,İndirimler!$A$2:$A$110,B108,İndirimler!$B$2:$B$110,C108)),2),"")</x:f>
        <x:v>#NAME?</x:v>
      </x:c>
      <x:c r="I108" s="24" t="e">
        <x:f>IF(SUMIFS(İndirimler!$D$2:$D$110,İndirimler!$A$2:$A$110,B108,İndirimler!$B$2:$B$110,C108)&gt;0,ROUND(G108*(1-SUMIFS(İndirimler!$D$2:$D$110,İndirimler!$A$2:$A$110,B108,İndirimler!$B$2:$B$110,C108)),2),"")</x:f>
        <x:v>#NAME?</x:v>
      </x:c>
      <x:c r="J108" s="12" t="s">
        <x:v>215</x:v>
      </x:c>
      <x:c r="K108" s="31"/>
    </x:row>
    <x:row r="109" ht="21.950000762939453" customHeight="1">
      <x:c r="A109" s="15" t="s">
        <x:v>216</x:v>
      </x:c>
      <x:c r="B109" s="12" t="s">
        <x:v>72</x:v>
      </x:c>
      <x:c r="C109" s="12" t="s">
        <x:v>76</x:v>
      </x:c>
      <x:c r="D109" s="12" t="s">
        <x:v>121</x:v>
      </x:c>
      <x:c r="E109" s="12"/>
      <x:c r="F109" s="12" t="s">
        <x:v>73</x:v>
      </x:c>
      <x:c r="G109" s="18">
        <x:v>385</x:v>
      </x:c>
      <x:c r="H109" s="21" t="e">
        <x:f>IF(SUMIFS(İndirimler!$C$2:$C$110,İndirimler!$A$2:$A$110,B109,İndirimler!$B$2:$B$110,C109)&gt;0,ROUND(G109*(1-SUMIFS(İndirimler!$C$2:$C$110,İndirimler!$A$2:$A$110,B109,İndirimler!$B$2:$B$110,C109)),2),"")</x:f>
        <x:v>#NAME?</x:v>
      </x:c>
      <x:c r="I109" s="24" t="e">
        <x:f>IF(SUMIFS(İndirimler!$D$2:$D$110,İndirimler!$A$2:$A$110,B109,İndirimler!$B$2:$B$110,C109)&gt;0,ROUND(G109*(1-SUMIFS(İndirimler!$D$2:$D$110,İndirimler!$A$2:$A$110,B109,İndirimler!$B$2:$B$110,C109)),2),"")</x:f>
        <x:v>#NAME?</x:v>
      </x:c>
      <x:c r="J109" s="12"/>
      <x:c r="K109" s="31"/>
    </x:row>
    <x:row r="110" ht="21.950000762939453" customHeight="1">
      <x:c r="A110" s="15" t="s">
        <x:v>217</x:v>
      </x:c>
      <x:c r="B110" s="12" t="s">
        <x:v>120</x:v>
      </x:c>
      <x:c r="C110" s="12" t="s">
        <x:v>101</x:v>
      </x:c>
      <x:c r="D110" s="12" t="s">
        <x:v>121</x:v>
      </x:c>
      <x:c r="E110" s="12"/>
      <x:c r="F110" s="12" t="s">
        <x:v>35</x:v>
      </x:c>
      <x:c r="G110" s="18"/>
      <x:c r="H110" s="21" t="e">
        <x:f>IF(SUMIFS(İndirimler!$C$2:$C$110,İndirimler!$A$2:$A$110,B110,İndirimler!$B$2:$B$110,C110)&gt;0,ROUND(G110*(1-SUMIFS(İndirimler!$C$2:$C$110,İndirimler!$A$2:$A$110,B110,İndirimler!$B$2:$B$110,C110)),2),"")</x:f>
        <x:v>#NAME?</x:v>
      </x:c>
      <x:c r="I110" s="24" t="e">
        <x:f>IF(SUMIFS(İndirimler!$D$2:$D$110,İndirimler!$A$2:$A$110,B110,İndirimler!$B$2:$B$110,C110)&gt;0,ROUND(G110*(1-SUMIFS(İndirimler!$D$2:$D$110,İndirimler!$A$2:$A$110,B110,İndirimler!$B$2:$B$110,C110)),2),"")</x:f>
        <x:v>#NAME?</x:v>
      </x:c>
      <x:c r="J110" s="12"/>
      <x:c r="K110" s="31"/>
    </x:row>
    <x:row r="111" ht="21.950000762939453" customHeight="1">
      <x:c r="A111" s="15" t="s">
        <x:v>218</x:v>
      </x:c>
      <x:c r="B111" s="12" t="s">
        <x:v>124</x:v>
      </x:c>
      <x:c r="C111" s="12" t="s">
        <x:v>101</x:v>
      </x:c>
      <x:c r="D111" s="12" t="s">
        <x:v>121</x:v>
      </x:c>
      <x:c r="E111" s="12" t="s">
        <x:v>125</x:v>
      </x:c>
      <x:c r="F111" s="12" t="s">
        <x:v>35</x:v>
      </x:c>
      <x:c r="G111" s="18"/>
      <x:c r="H111" s="21" t="e">
        <x:f>IF(SUMIFS(İndirimler!$C$2:$C$110,İndirimler!$A$2:$A$110,B111,İndirimler!$B$2:$B$110,C111)&gt;0,ROUND(G111*(1-SUMIFS(İndirimler!$C$2:$C$110,İndirimler!$A$2:$A$110,B111,İndirimler!$B$2:$B$110,C111)),2),"")</x:f>
        <x:v>#NAME?</x:v>
      </x:c>
      <x:c r="I111" s="24" t="e">
        <x:f>IF(SUMIFS(İndirimler!$D$2:$D$110,İndirimler!$A$2:$A$110,B111,İndirimler!$B$2:$B$110,C111)&gt;0,ROUND(G111*(1-SUMIFS(İndirimler!$D$2:$D$110,İndirimler!$A$2:$A$110,B111,İndirimler!$B$2:$B$110,C111)),2),"")</x:f>
        <x:v>#NAME?</x:v>
      </x:c>
      <x:c r="J111" s="12"/>
      <x:c r="K111" s="31"/>
    </x:row>
    <x:row r="112" ht="21.950000762939453" customHeight="1">
      <x:c r="A112" s="15" t="s">
        <x:v>219</x:v>
      </x:c>
      <x:c r="B112" s="12" t="s">
        <x:v>25</x:v>
      </x:c>
      <x:c r="C112" s="12" t="s">
        <x:v>101</x:v>
      </x:c>
      <x:c r="D112" s="12" t="s">
        <x:v>121</x:v>
      </x:c>
      <x:c r="E112" s="12" t="s">
        <x:v>127</x:v>
      </x:c>
      <x:c r="F112" s="12" t="s">
        <x:v>35</x:v>
      </x:c>
      <x:c r="G112" s="18"/>
      <x:c r="H112" s="21" t="e">
        <x:f>IF(SUMIFS(İndirimler!$C$2:$C$110,İndirimler!$A$2:$A$110,B112,İndirimler!$B$2:$B$110,C112)&gt;0,ROUND(G112*(1-SUMIFS(İndirimler!$C$2:$C$110,İndirimler!$A$2:$A$110,B112,İndirimler!$B$2:$B$110,C112)),2),"")</x:f>
        <x:v>#NAME?</x:v>
      </x:c>
      <x:c r="I112" s="24" t="e">
        <x:f>IF(SUMIFS(İndirimler!$D$2:$D$110,İndirimler!$A$2:$A$110,B112,İndirimler!$B$2:$B$110,C112)&gt;0,ROUND(G112*(1-SUMIFS(İndirimler!$D$2:$D$110,İndirimler!$A$2:$A$110,B112,İndirimler!$B$2:$B$110,C112)),2),"")</x:f>
        <x:v>#NAME?</x:v>
      </x:c>
      <x:c r="J112" s="12"/>
      <x:c r="K112" s="31"/>
    </x:row>
    <x:row r="113" ht="21.950000762939453" customHeight="1">
      <x:c r="A113" s="15" t="s">
        <x:v>220</x:v>
      </x:c>
      <x:c r="B113" s="12" t="s">
        <x:v>129</x:v>
      </x:c>
      <x:c r="C113" s="12" t="s">
        <x:v>101</x:v>
      </x:c>
      <x:c r="D113" s="12" t="s">
        <x:v>121</x:v>
      </x:c>
      <x:c r="E113" s="12" t="s">
        <x:v>130</x:v>
      </x:c>
      <x:c r="F113" s="12" t="s">
        <x:v>35</x:v>
      </x:c>
      <x:c r="G113" s="18"/>
      <x:c r="H113" s="21" t="e">
        <x:f>IF(SUMIFS(İndirimler!$C$2:$C$110,İndirimler!$A$2:$A$110,B113,İndirimler!$B$2:$B$110,C113)&gt;0,ROUND(G113*(1-SUMIFS(İndirimler!$C$2:$C$110,İndirimler!$A$2:$A$110,B113,İndirimler!$B$2:$B$110,C113)),2),"")</x:f>
        <x:v>#NAME?</x:v>
      </x:c>
      <x:c r="I113" s="24" t="e">
        <x:f>IF(SUMIFS(İndirimler!$D$2:$D$110,İndirimler!$A$2:$A$110,B113,İndirimler!$B$2:$B$110,C113)&gt;0,ROUND(G113*(1-SUMIFS(İndirimler!$D$2:$D$110,İndirimler!$A$2:$A$110,B113,İndirimler!$B$2:$B$110,C113)),2),"")</x:f>
        <x:v>#NAME?</x:v>
      </x:c>
      <x:c r="J113" s="12"/>
      <x:c r="K113" s="31"/>
    </x:row>
    <x:row r="114" ht="21.950000762939453" customHeight="1">
      <x:c r="A114" s="15" t="s">
        <x:v>221</x:v>
      </x:c>
      <x:c r="B114" s="12" t="s">
        <x:v>135</x:v>
      </x:c>
      <x:c r="C114" s="12" t="s">
        <x:v>101</x:v>
      </x:c>
      <x:c r="D114" s="12" t="s">
        <x:v>121</x:v>
      </x:c>
      <x:c r="E114" s="12"/>
      <x:c r="F114" s="12" t="s">
        <x:v>35</x:v>
      </x:c>
      <x:c r="G114" s="18">
        <x:v>659</x:v>
      </x:c>
      <x:c r="H114" s="21" t="e">
        <x:f>IF(SUMIFS(İndirimler!$C$2:$C$110,İndirimler!$A$2:$A$110,B114,İndirimler!$B$2:$B$110,C114)&gt;0,ROUND(G114*(1-SUMIFS(İndirimler!$C$2:$C$110,İndirimler!$A$2:$A$110,B114,İndirimler!$B$2:$B$110,C114)),2),"")</x:f>
        <x:v>#NAME?</x:v>
      </x:c>
      <x:c r="I114" s="24" t="e">
        <x:f>IF(SUMIFS(İndirimler!$D$2:$D$110,İndirimler!$A$2:$A$110,B114,İndirimler!$B$2:$B$110,C114)&gt;0,ROUND(G114*(1-SUMIFS(İndirimler!$D$2:$D$110,İndirimler!$A$2:$A$110,B114,İndirimler!$B$2:$B$110,C114)),2),"")</x:f>
        <x:v>#NAME?</x:v>
      </x:c>
      <x:c r="J114" s="12"/>
      <x:c r="K114" s="31"/>
    </x:row>
    <x:row r="115" ht="21.950000762939453" customHeight="1">
      <x:c r="A115" s="15" t="s">
        <x:v>222</x:v>
      </x:c>
      <x:c r="B115" s="12" t="s">
        <x:v>38</x:v>
      </x:c>
      <x:c r="C115" s="12" t="s">
        <x:v>101</x:v>
      </x:c>
      <x:c r="D115" s="12" t="s">
        <x:v>121</x:v>
      </x:c>
      <x:c r="E115" s="12"/>
      <x:c r="F115" s="12" t="s">
        <x:v>35</x:v>
      </x:c>
      <x:c r="G115" s="18"/>
      <x:c r="H115" s="21" t="e">
        <x:f>IF(SUMIFS(İndirimler!$C$2:$C$110,İndirimler!$A$2:$A$110,B115,İndirimler!$B$2:$B$110,C115)&gt;0,ROUND(G115*(1-SUMIFS(İndirimler!$C$2:$C$110,İndirimler!$A$2:$A$110,B115,İndirimler!$B$2:$B$110,C115)),2),"")</x:f>
        <x:v>#NAME?</x:v>
      </x:c>
      <x:c r="I115" s="24" t="e">
        <x:f>IF(SUMIFS(İndirimler!$D$2:$D$110,İndirimler!$A$2:$A$110,B115,İndirimler!$B$2:$B$110,C115)&gt;0,ROUND(G115*(1-SUMIFS(İndirimler!$D$2:$D$110,İndirimler!$A$2:$A$110,B115,İndirimler!$B$2:$B$110,C115)),2),"")</x:f>
        <x:v>#NAME?</x:v>
      </x:c>
      <x:c r="J115" s="12"/>
      <x:c r="K115" s="31"/>
    </x:row>
    <x:row r="116" ht="21.950000762939453" customHeight="1">
      <x:c r="A116" s="15" t="s">
        <x:v>223</x:v>
      </x:c>
      <x:c r="B116" s="12" t="s">
        <x:v>139</x:v>
      </x:c>
      <x:c r="C116" s="12" t="s">
        <x:v>101</x:v>
      </x:c>
      <x:c r="D116" s="12" t="s">
        <x:v>121</x:v>
      </x:c>
      <x:c r="E116" s="12" t="s">
        <x:v>140</x:v>
      </x:c>
      <x:c r="F116" s="12" t="s">
        <x:v>42</x:v>
      </x:c>
      <x:c r="G116" s="18">
        <x:v>644</x:v>
      </x:c>
      <x:c r="H116" s="21" t="e">
        <x:f>IF(SUMIFS(İndirimler!$C$2:$C$110,İndirimler!$A$2:$A$110,B116,İndirimler!$B$2:$B$110,C116)&gt;0,ROUND(G116*(1-SUMIFS(İndirimler!$C$2:$C$110,İndirimler!$A$2:$A$110,B116,İndirimler!$B$2:$B$110,C116)),2),"")</x:f>
        <x:v>#NAME?</x:v>
      </x:c>
      <x:c r="I116" s="24" t="e">
        <x:f>IF(SUMIFS(İndirimler!$D$2:$D$110,İndirimler!$A$2:$A$110,B116,İndirimler!$B$2:$B$110,C116)&gt;0,ROUND(G116*(1-SUMIFS(İndirimler!$D$2:$D$110,İndirimler!$A$2:$A$110,B116,İndirimler!$B$2:$B$110,C116)),2),"")</x:f>
        <x:v>#NAME?</x:v>
      </x:c>
      <x:c r="J116" s="12"/>
      <x:c r="K116" s="31"/>
    </x:row>
    <x:row r="117" ht="21.950000762939453" customHeight="1">
      <x:c r="A117" s="15" t="s">
        <x:v>224</x:v>
      </x:c>
      <x:c r="B117" s="12" t="s">
        <x:v>18</x:v>
      </x:c>
      <x:c r="C117" s="12" t="s">
        <x:v>101</x:v>
      </x:c>
      <x:c r="D117" s="12" t="s">
        <x:v>121</x:v>
      </x:c>
      <x:c r="E117" s="12" t="s">
        <x:v>41</x:v>
      </x:c>
      <x:c r="F117" s="12" t="s">
        <x:v>42</x:v>
      </x:c>
      <x:c r="G117" s="18"/>
      <x:c r="H117" s="21" t="e">
        <x:f>IF(SUMIFS(İndirimler!$C$2:$C$110,İndirimler!$A$2:$A$110,B117,İndirimler!$B$2:$B$110,C117)&gt;0,ROUND(G117*(1-SUMIFS(İndirimler!$C$2:$C$110,İndirimler!$A$2:$A$110,B117,İndirimler!$B$2:$B$110,C117)),2),"")</x:f>
        <x:v>#NAME?</x:v>
      </x:c>
      <x:c r="I117" s="24" t="e">
        <x:f>IF(SUMIFS(İndirimler!$D$2:$D$110,İndirimler!$A$2:$A$110,B117,İndirimler!$B$2:$B$110,C117)&gt;0,ROUND(G117*(1-SUMIFS(İndirimler!$D$2:$D$110,İndirimler!$A$2:$A$110,B117,İndirimler!$B$2:$B$110,C117)),2),"")</x:f>
        <x:v>#NAME?</x:v>
      </x:c>
      <x:c r="J117" s="12"/>
      <x:c r="K117" s="31"/>
    </x:row>
    <x:row r="118" ht="21.950000762939453" customHeight="1">
      <x:c r="A118" s="15" t="s">
        <x:v>225</x:v>
      </x:c>
      <x:c r="B118" s="12" t="s">
        <x:v>72</x:v>
      </x:c>
      <x:c r="C118" s="12" t="s">
        <x:v>101</x:v>
      </x:c>
      <x:c r="D118" s="12" t="s">
        <x:v>121</x:v>
      </x:c>
      <x:c r="E118" s="12" t="s">
        <x:v>104</x:v>
      </x:c>
      <x:c r="F118" s="12" t="s">
        <x:v>42</x:v>
      </x:c>
      <x:c r="G118" s="18"/>
      <x:c r="H118" s="21" t="e">
        <x:f>IF(SUMIFS(İndirimler!$C$2:$C$110,İndirimler!$A$2:$A$110,B118,İndirimler!$B$2:$B$110,C118)&gt;0,ROUND(G118*(1-SUMIFS(İndirimler!$C$2:$C$110,İndirimler!$A$2:$A$110,B118,İndirimler!$B$2:$B$110,C118)),2),"")</x:f>
        <x:v>#NAME?</x:v>
      </x:c>
      <x:c r="I118" s="24" t="e">
        <x:f>IF(SUMIFS(İndirimler!$D$2:$D$110,İndirimler!$A$2:$A$110,B118,İndirimler!$B$2:$B$110,C118)&gt;0,ROUND(G118*(1-SUMIFS(İndirimler!$D$2:$D$110,İndirimler!$A$2:$A$110,B118,İndirimler!$B$2:$B$110,C118)),2),"")</x:f>
        <x:v>#NAME?</x:v>
      </x:c>
      <x:c r="J118" s="12"/>
      <x:c r="K118" s="31"/>
    </x:row>
    <x:row r="119" ht="21.950000762939453" customHeight="1">
      <x:c r="A119" s="15" t="s">
        <x:v>226</x:v>
      </x:c>
      <x:c r="B119" s="12" t="s">
        <x:v>227</x:v>
      </x:c>
      <x:c r="C119" s="12" t="s">
        <x:v>101</x:v>
      </x:c>
      <x:c r="D119" s="12" t="s">
        <x:v>121</x:v>
      </x:c>
      <x:c r="E119" s="12"/>
      <x:c r="F119" s="12" t="s">
        <x:v>42</x:v>
      </x:c>
      <x:c r="G119" s="18">
        <x:v>615</x:v>
      </x:c>
      <x:c r="H119" s="21" t="e">
        <x:f>IF(SUMIFS(İndirimler!$C$2:$C$110,İndirimler!$A$2:$A$110,B119,İndirimler!$B$2:$B$110,C119)&gt;0,ROUND(G119*(1-SUMIFS(İndirimler!$C$2:$C$110,İndirimler!$A$2:$A$110,B119,İndirimler!$B$2:$B$110,C119)),2),"")</x:f>
        <x:v>#NAME?</x:v>
      </x:c>
      <x:c r="I119" s="24" t="e">
        <x:f>IF(SUMIFS(İndirimler!$D$2:$D$110,İndirimler!$A$2:$A$110,B119,İndirimler!$B$2:$B$110,C119)&gt;0,ROUND(G119*(1-SUMIFS(İndirimler!$D$2:$D$110,İndirimler!$A$2:$A$110,B119,İndirimler!$B$2:$B$110,C119)),2),"")</x:f>
        <x:v>#NAME?</x:v>
      </x:c>
      <x:c r="J119" s="12"/>
      <x:c r="K119" s="31"/>
    </x:row>
    <x:row r="120" ht="21.950000762939453" customHeight="1">
      <x:c r="A120" s="15" t="s">
        <x:v>228</x:v>
      </x:c>
      <x:c r="B120" s="12" t="s">
        <x:v>23</x:v>
      </x:c>
      <x:c r="C120" s="12" t="s">
        <x:v>101</x:v>
      </x:c>
      <x:c r="D120" s="12" t="s">
        <x:v>121</x:v>
      </x:c>
      <x:c r="E120" s="12" t="s">
        <x:v>69</x:v>
      </x:c>
      <x:c r="F120" s="12" t="s">
        <x:v>42</x:v>
      </x:c>
      <x:c r="G120" s="18">
        <x:v>546</x:v>
      </x:c>
      <x:c r="H120" s="21" t="e">
        <x:f>IF(SUMIFS(İndirimler!$C$2:$C$110,İndirimler!$A$2:$A$110,B120,İndirimler!$B$2:$B$110,C120)&gt;0,ROUND(G120*(1-SUMIFS(İndirimler!$C$2:$C$110,İndirimler!$A$2:$A$110,B120,İndirimler!$B$2:$B$110,C120)),2),"")</x:f>
        <x:v>#NAME?</x:v>
      </x:c>
      <x:c r="I120" s="24" t="e">
        <x:f>IF(SUMIFS(İndirimler!$D$2:$D$110,İndirimler!$A$2:$A$110,B120,İndirimler!$B$2:$B$110,C120)&gt;0,ROUND(G120*(1-SUMIFS(İndirimler!$D$2:$D$110,İndirimler!$A$2:$A$110,B120,İndirimler!$B$2:$B$110,C120)),2),"")</x:f>
        <x:v>#NAME?</x:v>
      </x:c>
      <x:c r="J120" s="12" t="s">
        <x:v>229</x:v>
      </x:c>
      <x:c r="K120" s="31"/>
    </x:row>
    <x:row r="121" ht="21.950000762939453" customHeight="1">
      <x:c r="A121" s="15" t="s">
        <x:v>230</x:v>
      </x:c>
      <x:c r="B121" s="12" t="s">
        <x:v>50</x:v>
      </x:c>
      <x:c r="C121" s="12" t="s">
        <x:v>101</x:v>
      </x:c>
      <x:c r="D121" s="12" t="s">
        <x:v>121</x:v>
      </x:c>
      <x:c r="E121" s="12" t="s">
        <x:v>152</x:v>
      </x:c>
      <x:c r="F121" s="12" t="s">
        <x:v>42</x:v>
      </x:c>
      <x:c r="G121" s="18">
        <x:v>700</x:v>
      </x:c>
      <x:c r="H121" s="21" t="e">
        <x:f>IF(SUMIFS(İndirimler!$C$2:$C$110,İndirimler!$A$2:$A$110,B121,İndirimler!$B$2:$B$110,C121)&gt;0,ROUND(G121*(1-SUMIFS(İndirimler!$C$2:$C$110,İndirimler!$A$2:$A$110,B121,İndirimler!$B$2:$B$110,C121)),2),"")</x:f>
        <x:v>#NAME?</x:v>
      </x:c>
      <x:c r="I121" s="24" t="e">
        <x:f>IF(SUMIFS(İndirimler!$D$2:$D$110,İndirimler!$A$2:$A$110,B121,İndirimler!$B$2:$B$110,C121)&gt;0,ROUND(G121*(1-SUMIFS(İndirimler!$D$2:$D$110,İndirimler!$A$2:$A$110,B121,İndirimler!$B$2:$B$110,C121)),2),"")</x:f>
        <x:v>#NAME?</x:v>
      </x:c>
      <x:c r="J121" s="12"/>
      <x:c r="K121" s="31"/>
    </x:row>
    <x:row r="122" ht="21.950000762939453" customHeight="1">
      <x:c r="A122" s="15" t="s">
        <x:v>231</x:v>
      </x:c>
      <x:c r="B122" s="12" t="s">
        <x:v>55</x:v>
      </x:c>
      <x:c r="C122" s="12" t="s">
        <x:v>101</x:v>
      </x:c>
      <x:c r="D122" s="12" t="s">
        <x:v>121</x:v>
      </x:c>
      <x:c r="E122" s="12" t="s">
        <x:v>69</x:v>
      </x:c>
      <x:c r="F122" s="12" t="s">
        <x:v>16</x:v>
      </x:c>
      <x:c r="G122" s="18">
        <x:v>478</x:v>
      </x:c>
      <x:c r="H122" s="21" t="e">
        <x:f>IF(SUMIFS(İndirimler!$C$2:$C$110,İndirimler!$A$2:$A$110,B122,İndirimler!$B$2:$B$110,C122)&gt;0,ROUND(G122*(1-SUMIFS(İndirimler!$C$2:$C$110,İndirimler!$A$2:$A$110,B122,İndirimler!$B$2:$B$110,C122)),2),"")</x:f>
        <x:v>#NAME?</x:v>
      </x:c>
      <x:c r="I122" s="24" t="e">
        <x:f>IF(SUMIFS(İndirimler!$D$2:$D$110,İndirimler!$A$2:$A$110,B122,İndirimler!$B$2:$B$110,C122)&gt;0,ROUND(G122*(1-SUMIFS(İndirimler!$D$2:$D$110,İndirimler!$A$2:$A$110,B122,İndirimler!$B$2:$B$110,C122)),2),"")</x:f>
        <x:v>#NAME?</x:v>
      </x:c>
      <x:c r="J122" s="12"/>
      <x:c r="K122" s="31"/>
    </x:row>
    <x:row r="123" ht="21.950000762939453" customHeight="1">
      <x:c r="A123" s="15" t="s">
        <x:v>232</x:v>
      </x:c>
      <x:c r="B123" s="12" t="s">
        <x:v>120</x:v>
      </x:c>
      <x:c r="C123" s="12" t="s">
        <x:v>101</x:v>
      </x:c>
      <x:c r="D123" s="12" t="s">
        <x:v>121</x:v>
      </x:c>
      <x:c r="E123" s="12"/>
      <x:c r="F123" s="12" t="s">
        <x:v>16</x:v>
      </x:c>
      <x:c r="G123" s="18"/>
      <x:c r="H123" s="21" t="e">
        <x:f>IF(SUMIFS(İndirimler!$C$2:$C$110,İndirimler!$A$2:$A$110,B123,İndirimler!$B$2:$B$110,C123)&gt;0,ROUND(G123*(1-SUMIFS(İndirimler!$C$2:$C$110,İndirimler!$A$2:$A$110,B123,İndirimler!$B$2:$B$110,C123)),2),"")</x:f>
        <x:v>#NAME?</x:v>
      </x:c>
      <x:c r="I123" s="24" t="e">
        <x:f>IF(SUMIFS(İndirimler!$D$2:$D$110,İndirimler!$A$2:$A$110,B123,İndirimler!$B$2:$B$110,C123)&gt;0,ROUND(G123*(1-SUMIFS(İndirimler!$D$2:$D$110,İndirimler!$A$2:$A$110,B123,İndirimler!$B$2:$B$110,C123)),2),"")</x:f>
        <x:v>#NAME?</x:v>
      </x:c>
      <x:c r="J123" s="12"/>
      <x:c r="K123" s="31"/>
    </x:row>
    <x:row r="124" ht="21.950000762939453" customHeight="1">
      <x:c r="A124" s="15" t="s">
        <x:v>233</x:v>
      </x:c>
      <x:c r="B124" s="12" t="s">
        <x:v>120</x:v>
      </x:c>
      <x:c r="C124" s="12" t="s">
        <x:v>101</x:v>
      </x:c>
      <x:c r="D124" s="12" t="s">
        <x:v>121</x:v>
      </x:c>
      <x:c r="E124" s="12" t="s">
        <x:v>234</x:v>
      </x:c>
      <x:c r="F124" s="12" t="s">
        <x:v>16</x:v>
      </x:c>
      <x:c r="G124" s="18"/>
      <x:c r="H124" s="21" t="e">
        <x:f>IF(SUMIFS(İndirimler!$C$2:$C$110,İndirimler!$A$2:$A$110,B124,İndirimler!$B$2:$B$110,C124)&gt;0,ROUND(G124*(1-SUMIFS(İndirimler!$C$2:$C$110,İndirimler!$A$2:$A$110,B124,İndirimler!$B$2:$B$110,C124)),2),"")</x:f>
        <x:v>#NAME?</x:v>
      </x:c>
      <x:c r="I124" s="24" t="e">
        <x:f>IF(SUMIFS(İndirimler!$D$2:$D$110,İndirimler!$A$2:$A$110,B124,İndirimler!$B$2:$B$110,C124)&gt;0,ROUND(G124*(1-SUMIFS(İndirimler!$D$2:$D$110,İndirimler!$A$2:$A$110,B124,İndirimler!$B$2:$B$110,C124)),2),"")</x:f>
        <x:v>#NAME?</x:v>
      </x:c>
      <x:c r="J124" s="12"/>
      <x:c r="K124" s="31"/>
    </x:row>
    <x:row r="125" ht="21.950000762939453" customHeight="1">
      <x:c r="A125" s="15" t="s">
        <x:v>235</x:v>
      </x:c>
      <x:c r="B125" s="12" t="s">
        <x:v>139</x:v>
      </x:c>
      <x:c r="C125" s="12" t="s">
        <x:v>101</x:v>
      </x:c>
      <x:c r="D125" s="12" t="s">
        <x:v>121</x:v>
      </x:c>
      <x:c r="E125" s="12" t="s">
        <x:v>69</x:v>
      </x:c>
      <x:c r="F125" s="12" t="s">
        <x:v>16</x:v>
      </x:c>
      <x:c r="G125" s="18">
        <x:v>480</x:v>
      </x:c>
      <x:c r="H125" s="21" t="e">
        <x:f>IF(SUMIFS(İndirimler!$C$2:$C$110,İndirimler!$A$2:$A$110,B125,İndirimler!$B$2:$B$110,C125)&gt;0,ROUND(G125*(1-SUMIFS(İndirimler!$C$2:$C$110,İndirimler!$A$2:$A$110,B125,İndirimler!$B$2:$B$110,C125)),2),"")</x:f>
        <x:v>#NAME?</x:v>
      </x:c>
      <x:c r="I125" s="24" t="e">
        <x:f>IF(SUMIFS(İndirimler!$D$2:$D$110,İndirimler!$A$2:$A$110,B125,İndirimler!$B$2:$B$110,C125)&gt;0,ROUND(G125*(1-SUMIFS(İndirimler!$D$2:$D$110,İndirimler!$A$2:$A$110,B125,İndirimler!$B$2:$B$110,C125)),2),"")</x:f>
        <x:v>#NAME?</x:v>
      </x:c>
      <x:c r="J125" s="12"/>
      <x:c r="K125" s="31"/>
    </x:row>
    <x:row r="126" ht="21.950000762939453" customHeight="1">
      <x:c r="A126" s="15" t="s">
        <x:v>236</x:v>
      </x:c>
      <x:c r="B126" s="12" t="s">
        <x:v>18</x:v>
      </x:c>
      <x:c r="C126" s="12" t="s">
        <x:v>101</x:v>
      </x:c>
      <x:c r="D126" s="12" t="s">
        <x:v>121</x:v>
      </x:c>
      <x:c r="E126" s="12"/>
      <x:c r="F126" s="12" t="s">
        <x:v>16</x:v>
      </x:c>
      <x:c r="G126" s="18"/>
      <x:c r="H126" s="21" t="e">
        <x:f>IF(SUMIFS(İndirimler!$C$2:$C$110,İndirimler!$A$2:$A$110,B126,İndirimler!$B$2:$B$110,C126)&gt;0,ROUND(G126*(1-SUMIFS(İndirimler!$C$2:$C$110,İndirimler!$A$2:$A$110,B126,İndirimler!$B$2:$B$110,C126)),2),"")</x:f>
        <x:v>#NAME?</x:v>
      </x:c>
      <x:c r="I126" s="24" t="e">
        <x:f>IF(SUMIFS(İndirimler!$D$2:$D$110,İndirimler!$A$2:$A$110,B126,İndirimler!$B$2:$B$110,C126)&gt;0,ROUND(G126*(1-SUMIFS(İndirimler!$D$2:$D$110,İndirimler!$A$2:$A$110,B126,İndirimler!$B$2:$B$110,C126)),2),"")</x:f>
        <x:v>#NAME?</x:v>
      </x:c>
      <x:c r="J126" s="12"/>
      <x:c r="K126" s="31"/>
    </x:row>
    <x:row r="127" ht="21.950000762939453" customHeight="1">
      <x:c r="A127" s="15" t="s">
        <x:v>237</x:v>
      </x:c>
      <x:c r="B127" s="12" t="s">
        <x:v>167</x:v>
      </x:c>
      <x:c r="C127" s="12" t="s">
        <x:v>101</x:v>
      </x:c>
      <x:c r="D127" s="12" t="s">
        <x:v>121</x:v>
      </x:c>
      <x:c r="E127" s="12"/>
      <x:c r="F127" s="12" t="s">
        <x:v>16</x:v>
      </x:c>
      <x:c r="G127" s="18"/>
      <x:c r="H127" s="21" t="e">
        <x:f>IF(SUMIFS(İndirimler!$C$2:$C$110,İndirimler!$A$2:$A$110,B127,İndirimler!$B$2:$B$110,C127)&gt;0,ROUND(G127*(1-SUMIFS(İndirimler!$C$2:$C$110,İndirimler!$A$2:$A$110,B127,İndirimler!$B$2:$B$110,C127)),2),"")</x:f>
        <x:v>#NAME?</x:v>
      </x:c>
      <x:c r="I127" s="24" t="e">
        <x:f>IF(SUMIFS(İndirimler!$D$2:$D$110,İndirimler!$A$2:$A$110,B127,İndirimler!$B$2:$B$110,C127)&gt;0,ROUND(G127*(1-SUMIFS(İndirimler!$D$2:$D$110,İndirimler!$A$2:$A$110,B127,İndirimler!$B$2:$B$110,C127)),2),"")</x:f>
        <x:v>#NAME?</x:v>
      </x:c>
      <x:c r="J127" s="12"/>
      <x:c r="K127" s="31"/>
    </x:row>
    <x:row r="128" ht="21.950000762939453" customHeight="1">
      <x:c r="A128" s="15" t="s">
        <x:v>238</x:v>
      </x:c>
      <x:c r="B128" s="12" t="s">
        <x:v>63</x:v>
      </x:c>
      <x:c r="C128" s="12" t="s">
        <x:v>101</x:v>
      </x:c>
      <x:c r="D128" s="12" t="s">
        <x:v>121</x:v>
      </x:c>
      <x:c r="E128" s="12" t="s">
        <x:v>64</x:v>
      </x:c>
      <x:c r="F128" s="12" t="s">
        <x:v>16</x:v>
      </x:c>
      <x:c r="G128" s="18"/>
      <x:c r="H128" s="21" t="e">
        <x:f>IF(SUMIFS(İndirimler!$C$2:$C$110,İndirimler!$A$2:$A$110,B128,İndirimler!$B$2:$B$110,C128)&gt;0,ROUND(G128*(1-SUMIFS(İndirimler!$C$2:$C$110,İndirimler!$A$2:$A$110,B128,İndirimler!$B$2:$B$110,C128)),2),"")</x:f>
        <x:v>#NAME?</x:v>
      </x:c>
      <x:c r="I128" s="24" t="e">
        <x:f>IF(SUMIFS(İndirimler!$D$2:$D$110,İndirimler!$A$2:$A$110,B128,İndirimler!$B$2:$B$110,C128)&gt;0,ROUND(G128*(1-SUMIFS(İndirimler!$D$2:$D$110,İndirimler!$A$2:$A$110,B128,İndirimler!$B$2:$B$110,C128)),2),"")</x:f>
        <x:v>#NAME?</x:v>
      </x:c>
      <x:c r="J128" s="30" t="s">
        <x:v>239</x:v>
      </x:c>
      <x:c r="K128" s="31"/>
    </x:row>
    <x:row r="129" ht="21.950000762939453" customHeight="1">
      <x:c r="A129" s="15" t="s">
        <x:v>240</x:v>
      </x:c>
      <x:c r="B129" s="12" t="s">
        <x:v>23</x:v>
      </x:c>
      <x:c r="C129" s="12" t="s">
        <x:v>101</x:v>
      </x:c>
      <x:c r="D129" s="12" t="s">
        <x:v>121</x:v>
      </x:c>
      <x:c r="E129" s="12" t="s">
        <x:v>69</x:v>
      </x:c>
      <x:c r="F129" s="12" t="s">
        <x:v>16</x:v>
      </x:c>
      <x:c r="G129" s="18">
        <x:v>498</x:v>
      </x:c>
      <x:c r="H129" s="21" t="e">
        <x:f>IF(SUMIFS(İndirimler!$C$2:$C$110,İndirimler!$A$2:$A$110,B129,İndirimler!$B$2:$B$110,C129)&gt;0,ROUND(G129*(1-SUMIFS(İndirimler!$C$2:$C$110,İndirimler!$A$2:$A$110,B129,İndirimler!$B$2:$B$110,C129)),2),"")</x:f>
        <x:v>#NAME?</x:v>
      </x:c>
      <x:c r="I129" s="24" t="e">
        <x:f>IF(SUMIFS(İndirimler!$D$2:$D$110,İndirimler!$A$2:$A$110,B129,İndirimler!$B$2:$B$110,C129)&gt;0,ROUND(G129*(1-SUMIFS(İndirimler!$D$2:$D$110,İndirimler!$A$2:$A$110,B129,İndirimler!$B$2:$B$110,C129)),2),"")</x:f>
        <x:v>#NAME?</x:v>
      </x:c>
      <x:c r="J129" s="30" t="s">
        <x:v>241</x:v>
      </x:c>
      <x:c r="K129" s="31"/>
    </x:row>
    <x:row r="130" ht="21.950000762939453" customHeight="1">
      <x:c r="A130" s="15" t="s">
        <x:v>242</x:v>
      </x:c>
      <x:c r="B130" s="12" t="s">
        <x:v>25</x:v>
      </x:c>
      <x:c r="C130" s="12" t="s">
        <x:v>101</x:v>
      </x:c>
      <x:c r="D130" s="12" t="s">
        <x:v>121</x:v>
      </x:c>
      <x:c r="E130" s="12" t="s">
        <x:v>28</x:v>
      </x:c>
      <x:c r="F130" s="12" t="s">
        <x:v>16</x:v>
      </x:c>
      <x:c r="G130" s="18"/>
      <x:c r="H130" s="21" t="e">
        <x:f>IF(SUMIFS(İndirimler!$C$2:$C$110,İndirimler!$A$2:$A$110,B130,İndirimler!$B$2:$B$110,C130)&gt;0,ROUND(G130*(1-SUMIFS(İndirimler!$C$2:$C$110,İndirimler!$A$2:$A$110,B130,İndirimler!$B$2:$B$110,C130)),2),"")</x:f>
        <x:v>#NAME?</x:v>
      </x:c>
      <x:c r="I130" s="24" t="e">
        <x:f>IF(SUMIFS(İndirimler!$D$2:$D$110,İndirimler!$A$2:$A$110,B130,İndirimler!$B$2:$B$110,C130)&gt;0,ROUND(G130*(1-SUMIFS(İndirimler!$D$2:$D$110,İndirimler!$A$2:$A$110,B130,İndirimler!$B$2:$B$110,C130)),2),"")</x:f>
        <x:v>#NAME?</x:v>
      </x:c>
      <x:c r="J130" s="12"/>
      <x:c r="K130" s="31"/>
    </x:row>
    <x:row r="131" ht="21.950000762939453" customHeight="1">
      <x:c r="A131" s="15" t="s">
        <x:v>243</x:v>
      </x:c>
      <x:c r="B131" s="12" t="s">
        <x:v>50</x:v>
      </x:c>
      <x:c r="C131" s="12" t="s">
        <x:v>101</x:v>
      </x:c>
      <x:c r="D131" s="12" t="s">
        <x:v>121</x:v>
      </x:c>
      <x:c r="E131" s="12" t="s">
        <x:v>69</x:v>
      </x:c>
      <x:c r="F131" s="12" t="s">
        <x:v>16</x:v>
      </x:c>
      <x:c r="G131" s="18">
        <x:v>493</x:v>
      </x:c>
      <x:c r="H131" s="21" t="e">
        <x:f>IF(SUMIFS(İndirimler!$C$2:$C$110,İndirimler!$A$2:$A$110,B131,İndirimler!$B$2:$B$110,C131)&gt;0,ROUND(G131*(1-SUMIFS(İndirimler!$C$2:$C$110,İndirimler!$A$2:$A$110,B131,İndirimler!$B$2:$B$110,C131)),2),"")</x:f>
        <x:v>#NAME?</x:v>
      </x:c>
      <x:c r="I131" s="24" t="e">
        <x:f>IF(SUMIFS(İndirimler!$D$2:$D$110,İndirimler!$A$2:$A$110,B131,İndirimler!$B$2:$B$110,C131)&gt;0,ROUND(G131*(1-SUMIFS(İndirimler!$D$2:$D$110,İndirimler!$A$2:$A$110,B131,İndirimler!$B$2:$B$110,C131)),2),"")</x:f>
        <x:v>#NAME?</x:v>
      </x:c>
      <x:c r="J131" s="12"/>
      <x:c r="K131" s="31"/>
    </x:row>
    <x:row r="132" ht="21.950000762939453" customHeight="1">
      <x:c r="A132" s="15" t="s">
        <x:v>244</x:v>
      </x:c>
      <x:c r="B132" s="12" t="s">
        <x:v>129</x:v>
      </x:c>
      <x:c r="C132" s="12" t="s">
        <x:v>101</x:v>
      </x:c>
      <x:c r="D132" s="12" t="s">
        <x:v>121</x:v>
      </x:c>
      <x:c r="E132" s="12"/>
      <x:c r="F132" s="12" t="s">
        <x:v>16</x:v>
      </x:c>
      <x:c r="G132" s="18"/>
      <x:c r="H132" s="21" t="e">
        <x:f>IF(SUMIFS(İndirimler!$C$2:$C$110,İndirimler!$A$2:$A$110,B132,İndirimler!$B$2:$B$110,C132)&gt;0,ROUND(G132*(1-SUMIFS(İndirimler!$C$2:$C$110,İndirimler!$A$2:$A$110,B132,İndirimler!$B$2:$B$110,C132)),2),"")</x:f>
        <x:v>#NAME?</x:v>
      </x:c>
      <x:c r="I132" s="24" t="e">
        <x:f>IF(SUMIFS(İndirimler!$D$2:$D$110,İndirimler!$A$2:$A$110,B132,İndirimler!$B$2:$B$110,C132)&gt;0,ROUND(G132*(1-SUMIFS(İndirimler!$D$2:$D$110,İndirimler!$A$2:$A$110,B132,İndirimler!$B$2:$B$110,C132)),2),"")</x:f>
        <x:v>#NAME?</x:v>
      </x:c>
      <x:c r="J132" s="12"/>
      <x:c r="K132" s="31"/>
    </x:row>
    <x:row r="133" ht="21.950000762939453" customHeight="1">
      <x:c r="A133" s="15" t="s">
        <x:v>245</x:v>
      </x:c>
      <x:c r="B133" s="12" t="s">
        <x:v>135</x:v>
      </x:c>
      <x:c r="C133" s="12" t="s">
        <x:v>101</x:v>
      </x:c>
      <x:c r="D133" s="12" t="s">
        <x:v>121</x:v>
      </x:c>
      <x:c r="E133" s="12"/>
      <x:c r="F133" s="12" t="s">
        <x:v>16</x:v>
      </x:c>
      <x:c r="G133" s="18"/>
      <x:c r="H133" s="21" t="e">
        <x:f>IF(SUMIFS(İndirimler!$C$2:$C$110,İndirimler!$A$2:$A$110,B133,İndirimler!$B$2:$B$110,C133)&gt;0,ROUND(G133*(1-SUMIFS(İndirimler!$C$2:$C$110,İndirimler!$A$2:$A$110,B133,İndirimler!$B$2:$B$110,C133)),2),"")</x:f>
        <x:v>#NAME?</x:v>
      </x:c>
      <x:c r="I133" s="24" t="e">
        <x:f>IF(SUMIFS(İndirimler!$D$2:$D$110,İndirimler!$A$2:$A$110,B133,İndirimler!$B$2:$B$110,C133)&gt;0,ROUND(G133*(1-SUMIFS(İndirimler!$D$2:$D$110,İndirimler!$A$2:$A$110,B133,İndirimler!$B$2:$B$110,C133)),2),"")</x:f>
        <x:v>#NAME?</x:v>
      </x:c>
      <x:c r="J133" s="12"/>
      <x:c r="K133" s="31"/>
    </x:row>
    <x:row r="134" ht="21.950000762939453" customHeight="1">
      <x:c r="A134" s="15" t="s">
        <x:v>246</x:v>
      </x:c>
      <x:c r="B134" s="12" t="s">
        <x:v>38</x:v>
      </x:c>
      <x:c r="C134" s="12" t="s">
        <x:v>101</x:v>
      </x:c>
      <x:c r="D134" s="12" t="s">
        <x:v>121</x:v>
      </x:c>
      <x:c r="E134" s="12"/>
      <x:c r="F134" s="12" t="s">
        <x:v>16</x:v>
      </x:c>
      <x:c r="G134" s="18"/>
      <x:c r="H134" s="21" t="e">
        <x:f>IF(SUMIFS(İndirimler!$C$2:$C$110,İndirimler!$A$2:$A$110,B134,İndirimler!$B$2:$B$110,C134)&gt;0,ROUND(G134*(1-SUMIFS(İndirimler!$C$2:$C$110,İndirimler!$A$2:$A$110,B134,İndirimler!$B$2:$B$110,C134)),2),"")</x:f>
        <x:v>#NAME?</x:v>
      </x:c>
      <x:c r="I134" s="24" t="e">
        <x:f>IF(SUMIFS(İndirimler!$D$2:$D$110,İndirimler!$A$2:$A$110,B134,İndirimler!$B$2:$B$110,C134)&gt;0,ROUND(G134*(1-SUMIFS(İndirimler!$D$2:$D$110,İndirimler!$A$2:$A$110,B134,İndirimler!$B$2:$B$110,C134)),2),"")</x:f>
        <x:v>#NAME?</x:v>
      </x:c>
      <x:c r="J134" s="12"/>
      <x:c r="K134" s="31"/>
    </x:row>
    <x:row r="135" ht="21.950000762939453" customHeight="1">
      <x:c r="A135" s="15" t="s">
        <x:v>247</x:v>
      </x:c>
      <x:c r="B135" s="12" t="s">
        <x:v>72</x:v>
      </x:c>
      <x:c r="C135" s="12" t="s">
        <x:v>101</x:v>
      </x:c>
      <x:c r="D135" s="12" t="s">
        <x:v>121</x:v>
      </x:c>
      <x:c r="E135" s="12"/>
      <x:c r="F135" s="12" t="s">
        <x:v>73</x:v>
      </x:c>
      <x:c r="G135" s="18"/>
      <x:c r="H135" s="21" t="e">
        <x:f>IF(SUMIFS(İndirimler!$C$2:$C$110,İndirimler!$A$2:$A$110,B135,İndirimler!$B$2:$B$110,C135)&gt;0,ROUND(G135*(1-SUMIFS(İndirimler!$C$2:$C$110,İndirimler!$A$2:$A$110,B135,İndirimler!$B$2:$B$110,C135)),2),"")</x:f>
        <x:v>#NAME?</x:v>
      </x:c>
      <x:c r="I135" s="24" t="e">
        <x:f>IF(SUMIFS(İndirimler!$D$2:$D$110,İndirimler!$A$2:$A$110,B135,İndirimler!$B$2:$B$110,C135)&gt;0,ROUND(G135*(1-SUMIFS(İndirimler!$D$2:$D$110,İndirimler!$A$2:$A$110,B135,İndirimler!$B$2:$B$110,C135)),2),"")</x:f>
        <x:v>#NAME?</x:v>
      </x:c>
      <x:c r="J135" s="12"/>
      <x:c r="K135" s="31"/>
    </x:row>
    <x:row r="136" ht="21.950000762939453" customHeight="1">
      <x:c r="A136" s="15" t="s">
        <x:v>248</x:v>
      </x:c>
      <x:c r="B136" s="12" t="s">
        <x:v>120</x:v>
      </x:c>
      <x:c r="C136" s="12" t="s">
        <x:v>249</x:v>
      </x:c>
      <x:c r="D136" s="12" t="s">
        <x:v>121</x:v>
      </x:c>
      <x:c r="E136" s="12"/>
      <x:c r="F136" s="12" t="s">
        <x:v>35</x:v>
      </x:c>
      <x:c r="G136" s="18">
        <x:v>625</x:v>
      </x:c>
      <x:c r="H136" s="21" t="e">
        <x:f>IF(SUMIFS(İndirimler!$C$2:$C$110,İndirimler!$A$2:$A$110,B136,İndirimler!$B$2:$B$110,C136)&gt;0,ROUND(G136*(1-SUMIFS(İndirimler!$C$2:$C$110,İndirimler!$A$2:$A$110,B136,İndirimler!$B$2:$B$110,C136)),2),"")</x:f>
        <x:v>#NAME?</x:v>
      </x:c>
      <x:c r="I136" s="24" t="e">
        <x:f>IF(SUMIFS(İndirimler!$D$2:$D$110,İndirimler!$A$2:$A$110,B136,İndirimler!$B$2:$B$110,C136)&gt;0,ROUND(G136*(1-SUMIFS(İndirimler!$D$2:$D$110,İndirimler!$A$2:$A$110,B136,İndirimler!$B$2:$B$110,C136)),2),"")</x:f>
        <x:v>#NAME?</x:v>
      </x:c>
      <x:c r="J136" s="12"/>
      <x:c r="K136" s="31"/>
    </x:row>
    <x:row r="137" ht="21.950000762939453" customHeight="1">
      <x:c r="A137" s="15" t="s">
        <x:v>250</x:v>
      </x:c>
      <x:c r="B137" s="12" t="s">
        <x:v>25</x:v>
      </x:c>
      <x:c r="C137" s="12" t="s">
        <x:v>249</x:v>
      </x:c>
      <x:c r="D137" s="12" t="s">
        <x:v>121</x:v>
      </x:c>
      <x:c r="E137" s="12" t="s">
        <x:v>127</x:v>
      </x:c>
      <x:c r="F137" s="12" t="s">
        <x:v>35</x:v>
      </x:c>
      <x:c r="G137" s="18">
        <x:v>719</x:v>
      </x:c>
      <x:c r="H137" s="21" t="e">
        <x:f>IF(SUMIFS(İndirimler!$C$2:$C$110,İndirimler!$A$2:$A$110,B137,İndirimler!$B$2:$B$110,C137)&gt;0,ROUND(G137*(1-SUMIFS(İndirimler!$C$2:$C$110,İndirimler!$A$2:$A$110,B137,İndirimler!$B$2:$B$110,C137)),2),"")</x:f>
        <x:v>#NAME?</x:v>
      </x:c>
      <x:c r="I137" s="24" t="e">
        <x:f>IF(SUMIFS(İndirimler!$D$2:$D$110,İndirimler!$A$2:$A$110,B137,İndirimler!$B$2:$B$110,C137)&gt;0,ROUND(G137*(1-SUMIFS(İndirimler!$D$2:$D$110,İndirimler!$A$2:$A$110,B137,İndirimler!$B$2:$B$110,C137)),2),"")</x:f>
        <x:v>#NAME?</x:v>
      </x:c>
      <x:c r="J137" s="12"/>
      <x:c r="K137" s="31"/>
    </x:row>
    <x:row r="138" ht="21.950000762939453" customHeight="1">
      <x:c r="A138" s="15" t="s">
        <x:v>251</x:v>
      </x:c>
      <x:c r="B138" s="12" t="s">
        <x:v>129</x:v>
      </x:c>
      <x:c r="C138" s="12" t="s">
        <x:v>249</x:v>
      </x:c>
      <x:c r="D138" s="12" t="s">
        <x:v>121</x:v>
      </x:c>
      <x:c r="E138" s="12" t="s">
        <x:v>130</x:v>
      </x:c>
      <x:c r="F138" s="12" t="s">
        <x:v>35</x:v>
      </x:c>
      <x:c r="G138" s="18">
        <x:v>779</x:v>
      </x:c>
      <x:c r="H138" s="21" t="e">
        <x:f>IF(SUMIFS(İndirimler!$C$2:$C$110,İndirimler!$A$2:$A$110,B138,İndirimler!$B$2:$B$110,C138)&gt;0,ROUND(G138*(1-SUMIFS(İndirimler!$C$2:$C$110,İndirimler!$A$2:$A$110,B138,İndirimler!$B$2:$B$110,C138)),2),"")</x:f>
        <x:v>#NAME?</x:v>
      </x:c>
      <x:c r="I138" s="24" t="e">
        <x:f>IF(SUMIFS(İndirimler!$D$2:$D$110,İndirimler!$A$2:$A$110,B138,İndirimler!$B$2:$B$110,C138)&gt;0,ROUND(G138*(1-SUMIFS(İndirimler!$D$2:$D$110,İndirimler!$A$2:$A$110,B138,İndirimler!$B$2:$B$110,C138)),2),"")</x:f>
        <x:v>#NAME?</x:v>
      </x:c>
      <x:c r="J138" s="12"/>
      <x:c r="K138" s="31"/>
    </x:row>
    <x:row r="139" ht="21.950000762939453" customHeight="1">
      <x:c r="A139" s="15" t="s">
        <x:v>252</x:v>
      </x:c>
      <x:c r="B139" s="12" t="s">
        <x:v>135</x:v>
      </x:c>
      <x:c r="C139" s="12" t="s">
        <x:v>249</x:v>
      </x:c>
      <x:c r="D139" s="12" t="s">
        <x:v>121</x:v>
      </x:c>
      <x:c r="E139" s="12"/>
      <x:c r="F139" s="12" t="s">
        <x:v>35</x:v>
      </x:c>
      <x:c r="G139" s="18">
        <x:v>539</x:v>
      </x:c>
      <x:c r="H139" s="21" t="e">
        <x:f>IF(SUMIFS(İndirimler!$C$2:$C$110,İndirimler!$A$2:$A$110,B139,İndirimler!$B$2:$B$110,C139)&gt;0,ROUND(G139*(1-SUMIFS(İndirimler!$C$2:$C$110,İndirimler!$A$2:$A$110,B139,İndirimler!$B$2:$B$110,C139)),2),"")</x:f>
        <x:v>#NAME?</x:v>
      </x:c>
      <x:c r="I139" s="24" t="e">
        <x:f>IF(SUMIFS(İndirimler!$D$2:$D$110,İndirimler!$A$2:$A$110,B139,İndirimler!$B$2:$B$110,C139)&gt;0,ROUND(G139*(1-SUMIFS(İndirimler!$D$2:$D$110,İndirimler!$A$2:$A$110,B139,İndirimler!$B$2:$B$110,C139)),2),"")</x:f>
        <x:v>#NAME?</x:v>
      </x:c>
      <x:c r="J139" s="12"/>
      <x:c r="K139" s="31"/>
    </x:row>
    <x:row r="140" ht="21.950000762939453" customHeight="1">
      <x:c r="A140" s="15" t="s">
        <x:v>253</x:v>
      </x:c>
      <x:c r="B140" s="12" t="s">
        <x:v>38</x:v>
      </x:c>
      <x:c r="C140" s="12" t="s">
        <x:v>249</x:v>
      </x:c>
      <x:c r="D140" s="12" t="s">
        <x:v>121</x:v>
      </x:c>
      <x:c r="E140" s="12" t="s">
        <x:v>254</x:v>
      </x:c>
      <x:c r="F140" s="12" t="s">
        <x:v>35</x:v>
      </x:c>
      <x:c r="G140" s="18">
        <x:v>779</x:v>
      </x:c>
      <x:c r="H140" s="21" t="e">
        <x:f>IF(SUMIFS(İndirimler!$C$2:$C$110,İndirimler!$A$2:$A$110,B140,İndirimler!$B$2:$B$110,C140)&gt;0,ROUND(G140*(1-SUMIFS(İndirimler!$C$2:$C$110,İndirimler!$A$2:$A$110,B140,İndirimler!$B$2:$B$110,C140)),2),"")</x:f>
        <x:v>#NAME?</x:v>
      </x:c>
      <x:c r="I140" s="24" t="e">
        <x:f>IF(SUMIFS(İndirimler!$D$2:$D$110,İndirimler!$A$2:$A$110,B140,İndirimler!$B$2:$B$110,C140)&gt;0,ROUND(G140*(1-SUMIFS(İndirimler!$D$2:$D$110,İndirimler!$A$2:$A$110,B140,İndirimler!$B$2:$B$110,C140)),2),"")</x:f>
        <x:v>#NAME?</x:v>
      </x:c>
      <x:c r="J140" s="12" t="s">
        <x:v>255</x:v>
      </x:c>
      <x:c r="K140" s="31"/>
    </x:row>
    <x:row r="141" ht="21.950000762939453" customHeight="1">
      <x:c r="A141" s="15" t="s">
        <x:v>256</x:v>
      </x:c>
      <x:c r="B141" s="12" t="s">
        <x:v>38</x:v>
      </x:c>
      <x:c r="C141" s="12" t="s">
        <x:v>249</x:v>
      </x:c>
      <x:c r="D141" s="12" t="s">
        <x:v>121</x:v>
      </x:c>
      <x:c r="E141" s="12" t="s">
        <x:v>257</x:v>
      </x:c>
      <x:c r="F141" s="12" t="s">
        <x:v>35</x:v>
      </x:c>
      <x:c r="G141" s="18">
        <x:v>899</x:v>
      </x:c>
      <x:c r="H141" s="21" t="e">
        <x:f>IF(SUMIFS(İndirimler!$C$2:$C$110,İndirimler!$A$2:$A$110,B141,İndirimler!$B$2:$B$110,C141)&gt;0,ROUND(G141*(1-SUMIFS(İndirimler!$C$2:$C$110,İndirimler!$A$2:$A$110,B141,İndirimler!$B$2:$B$110,C141)),2),"")</x:f>
        <x:v>#NAME?</x:v>
      </x:c>
      <x:c r="I141" s="24" t="e">
        <x:f>IF(SUMIFS(İndirimler!$D$2:$D$110,İndirimler!$A$2:$A$110,B141,İndirimler!$B$2:$B$110,C141)&gt;0,ROUND(G141*(1-SUMIFS(İndirimler!$D$2:$D$110,İndirimler!$A$2:$A$110,B141,İndirimler!$B$2:$B$110,C141)),2),"")</x:f>
        <x:v>#NAME?</x:v>
      </x:c>
      <x:c r="J141" s="12" t="s">
        <x:v>258</x:v>
      </x:c>
      <x:c r="K141" s="31"/>
    </x:row>
    <x:row r="142" ht="21.950000762939453" customHeight="1">
      <x:c r="A142" s="15" t="s">
        <x:v>259</x:v>
      </x:c>
      <x:c r="B142" s="12" t="s">
        <x:v>139</x:v>
      </x:c>
      <x:c r="C142" s="12" t="s">
        <x:v>249</x:v>
      </x:c>
      <x:c r="D142" s="12" t="s">
        <x:v>121</x:v>
      </x:c>
      <x:c r="E142" s="12" t="s">
        <x:v>140</x:v>
      </x:c>
      <x:c r="F142" s="12" t="s">
        <x:v>42</x:v>
      </x:c>
      <x:c r="G142" s="18">
        <x:v>550</x:v>
      </x:c>
      <x:c r="H142" s="21" t="e">
        <x:f>IF(SUMIFS(İndirimler!$C$2:$C$110,İndirimler!$A$2:$A$110,B142,İndirimler!$B$2:$B$110,C142)&gt;0,ROUND(G142*(1-SUMIFS(İndirimler!$C$2:$C$110,İndirimler!$A$2:$A$110,B142,İndirimler!$B$2:$B$110,C142)),2),"")</x:f>
        <x:v>#NAME?</x:v>
      </x:c>
      <x:c r="I142" s="24" t="e">
        <x:f>IF(SUMIFS(İndirimler!$D$2:$D$110,İndirimler!$A$2:$A$110,B142,İndirimler!$B$2:$B$110,C142)&gt;0,ROUND(G142*(1-SUMIFS(İndirimler!$D$2:$D$110,İndirimler!$A$2:$A$110,B142,İndirimler!$B$2:$B$110,C142)),2),"")</x:f>
        <x:v>#NAME?</x:v>
      </x:c>
      <x:c r="J142" s="12" t="s">
        <x:v>260</x:v>
      </x:c>
      <x:c r="K142" s="31"/>
    </x:row>
    <x:row r="143" ht="21.950000762939453" customHeight="1">
      <x:c r="A143" s="15" t="s">
        <x:v>261</x:v>
      </x:c>
      <x:c r="B143" s="12" t="s">
        <x:v>50</x:v>
      </x:c>
      <x:c r="C143" s="12" t="s">
        <x:v>249</x:v>
      </x:c>
      <x:c r="D143" s="12" t="s">
        <x:v>121</x:v>
      </x:c>
      <x:c r="E143" s="12" t="s">
        <x:v>152</x:v>
      </x:c>
      <x:c r="F143" s="12" t="s">
        <x:v>42</x:v>
      </x:c>
      <x:c r="G143" s="18">
        <x:v>681</x:v>
      </x:c>
      <x:c r="H143" s="21" t="e">
        <x:f>IF(SUMIFS(İndirimler!$C$2:$C$110,İndirimler!$A$2:$A$110,B143,İndirimler!$B$2:$B$110,C143)&gt;0,ROUND(G143*(1-SUMIFS(İndirimler!$C$2:$C$110,İndirimler!$A$2:$A$110,B143,İndirimler!$B$2:$B$110,C143)),2),"")</x:f>
        <x:v>#NAME?</x:v>
      </x:c>
      <x:c r="I143" s="24" t="e">
        <x:f>IF(SUMIFS(İndirimler!$D$2:$D$110,İndirimler!$A$2:$A$110,B143,İndirimler!$B$2:$B$110,C143)&gt;0,ROUND(G143*(1-SUMIFS(İndirimler!$D$2:$D$110,İndirimler!$A$2:$A$110,B143,İndirimler!$B$2:$B$110,C143)),2),"")</x:f>
        <x:v>#NAME?</x:v>
      </x:c>
      <x:c r="J143" s="12"/>
      <x:c r="K143" s="31"/>
    </x:row>
    <x:row r="144" ht="21.950000762939453" customHeight="1">
      <x:c r="A144" s="15" t="s">
        <x:v>262</x:v>
      </x:c>
      <x:c r="B144" s="12" t="s">
        <x:v>25</x:v>
      </x:c>
      <x:c r="C144" s="12" t="s">
        <x:v>13</x:v>
      </x:c>
      <x:c r="D144" s="12" t="s">
        <x:v>121</x:v>
      </x:c>
      <x:c r="E144" s="12" t="s">
        <x:v>127</x:v>
      </x:c>
      <x:c r="F144" s="12" t="s">
        <x:v>35</x:v>
      </x:c>
      <x:c r="G144" s="18">
        <x:v>999</x:v>
      </x:c>
      <x:c r="H144" s="21" t="e">
        <x:f>IF(SUMIFS(İndirimler!$C$2:$C$110,İndirimler!$A$2:$A$110,B144,İndirimler!$B$2:$B$110,C144)&gt;0,ROUND(G144*(1-SUMIFS(İndirimler!$C$2:$C$110,İndirimler!$A$2:$A$110,B144,İndirimler!$B$2:$B$110,C144)),2),"")</x:f>
        <x:v>#NAME?</x:v>
      </x:c>
      <x:c r="I144" s="24" t="e">
        <x:f>IF(SUMIFS(İndirimler!$D$2:$D$110,İndirimler!$A$2:$A$110,B144,İndirimler!$B$2:$B$110,C144)&gt;0,ROUND(G144*(1-SUMIFS(İndirimler!$D$2:$D$110,İndirimler!$A$2:$A$110,B144,İndirimler!$B$2:$B$110,C144)),2),"")</x:f>
        <x:v>#NAME?</x:v>
      </x:c>
      <x:c r="J144" s="12"/>
      <x:c r="K144" s="31"/>
    </x:row>
    <x:row r="145" ht="21.950000762939453" customHeight="1">
      <x:c r="A145" s="15" t="s">
        <x:v>263</x:v>
      </x:c>
      <x:c r="B145" s="12" t="s">
        <x:v>120</x:v>
      </x:c>
      <x:c r="C145" s="12" t="s">
        <x:v>13</x:v>
      </x:c>
      <x:c r="D145" s="12" t="s">
        <x:v>121</x:v>
      </x:c>
      <x:c r="E145" s="12" t="s">
        <x:v>234</x:v>
      </x:c>
      <x:c r="F145" s="12" t="s">
        <x:v>16</x:v>
      </x:c>
      <x:c r="G145" s="18"/>
      <x:c r="H145" s="21" t="e">
        <x:f>IF(SUMIFS(İndirimler!$C$2:$C$110,İndirimler!$A$2:$A$110,B145,İndirimler!$B$2:$B$110,C145)&gt;0,ROUND(G145*(1-SUMIFS(İndirimler!$C$2:$C$110,İndirimler!$A$2:$A$110,B145,İndirimler!$B$2:$B$110,C145)),2),"")</x:f>
        <x:v>#NAME?</x:v>
      </x:c>
      <x:c r="I145" s="24" t="e">
        <x:f>IF(SUMIFS(İndirimler!$D$2:$D$110,İndirimler!$A$2:$A$110,B145,İndirimler!$B$2:$B$110,C145)&gt;0,ROUND(G145*(1-SUMIFS(İndirimler!$D$2:$D$110,İndirimler!$A$2:$A$110,B145,İndirimler!$B$2:$B$110,C145)),2),"")</x:f>
        <x:v>#NAME?</x:v>
      </x:c>
      <x:c r="J145" s="12"/>
      <x:c r="K145" s="31"/>
    </x:row>
    <x:row r="146" ht="21.950000762939453" customHeight="1">
      <x:c r="A146" s="15" t="s">
        <x:v>264</x:v>
      </x:c>
      <x:c r="B146" s="12" t="s">
        <x:v>120</x:v>
      </x:c>
      <x:c r="C146" s="12" t="s">
        <x:v>13</x:v>
      </x:c>
      <x:c r="D146" s="12" t="s">
        <x:v>121</x:v>
      </x:c>
      <x:c r="E146" s="12" t="s">
        <x:v>265</x:v>
      </x:c>
      <x:c r="F146" s="12" t="s">
        <x:v>16</x:v>
      </x:c>
      <x:c r="G146" s="18">
        <x:v>619</x:v>
      </x:c>
      <x:c r="H146" s="21" t="e">
        <x:f>IF(SUMIFS(İndirimler!$C$2:$C$110,İndirimler!$A$2:$A$110,B146,İndirimler!$B$2:$B$110,C146)&gt;0,ROUND(G146*(1-SUMIFS(İndirimler!$C$2:$C$110,İndirimler!$A$2:$A$110,B146,İndirimler!$B$2:$B$110,C146)),2),"")</x:f>
        <x:v>#NAME?</x:v>
      </x:c>
      <x:c r="I146" s="24" t="e">
        <x:f>IF(SUMIFS(İndirimler!$D$2:$D$110,İndirimler!$A$2:$A$110,B146,İndirimler!$B$2:$B$110,C146)&gt;0,ROUND(G146*(1-SUMIFS(İndirimler!$D$2:$D$110,İndirimler!$A$2:$A$110,B146,İndirimler!$B$2:$B$110,C146)),2),"")</x:f>
        <x:v>#NAME?</x:v>
      </x:c>
      <x:c r="J146" s="12"/>
      <x:c r="K146" s="31"/>
    </x:row>
    <x:row r="147" ht="21.950000762939453" customHeight="1">
      <x:c r="A147" s="15" t="s">
        <x:v>266</x:v>
      </x:c>
      <x:c r="B147" s="12" t="s">
        <x:v>124</x:v>
      </x:c>
      <x:c r="C147" s="12" t="s">
        <x:v>13</x:v>
      </x:c>
      <x:c r="D147" s="12" t="s">
        <x:v>121</x:v>
      </x:c>
      <x:c r="E147" s="12" t="s">
        <x:v>267</x:v>
      </x:c>
      <x:c r="F147" s="12" t="s">
        <x:v>16</x:v>
      </x:c>
      <x:c r="G147" s="18"/>
      <x:c r="H147" s="21" t="e">
        <x:f>IF(SUMIFS(İndirimler!$C$2:$C$110,İndirimler!$A$2:$A$110,B147,İndirimler!$B$2:$B$110,C147)&gt;0,ROUND(G147*(1-SUMIFS(İndirimler!$C$2:$C$110,İndirimler!$A$2:$A$110,B147,İndirimler!$B$2:$B$110,C147)),2),"")</x:f>
        <x:v>#NAME?</x:v>
      </x:c>
      <x:c r="I147" s="24" t="e">
        <x:f>IF(SUMIFS(İndirimler!$D$2:$D$110,İndirimler!$A$2:$A$110,B147,İndirimler!$B$2:$B$110,C147)&gt;0,ROUND(G147*(1-SUMIFS(İndirimler!$D$2:$D$110,İndirimler!$A$2:$A$110,B147,İndirimler!$B$2:$B$110,C147)),2),"")</x:f>
        <x:v>#NAME?</x:v>
      </x:c>
      <x:c r="J147" s="12"/>
      <x:c r="K147" s="31"/>
    </x:row>
    <x:row r="148" ht="21.950000762939453" customHeight="1">
      <x:c r="A148" s="15" t="s">
        <x:v>268</x:v>
      </x:c>
      <x:c r="B148" s="12" t="s">
        <x:v>124</x:v>
      </x:c>
      <x:c r="C148" s="12" t="s">
        <x:v>13</x:v>
      </x:c>
      <x:c r="D148" s="12" t="s">
        <x:v>121</x:v>
      </x:c>
      <x:c r="E148" s="12" t="s">
        <x:v>125</x:v>
      </x:c>
      <x:c r="F148" s="12" t="s">
        <x:v>16</x:v>
      </x:c>
      <x:c r="G148" s="18">
        <x:v>469</x:v>
      </x:c>
      <x:c r="H148" s="21" t="e">
        <x:f>IF(SUMIFS(İndirimler!$C$2:$C$110,İndirimler!$A$2:$A$110,B148,İndirimler!$B$2:$B$110,C148)&gt;0,ROUND(G148*(1-SUMIFS(İndirimler!$C$2:$C$110,İndirimler!$A$2:$A$110,B148,İndirimler!$B$2:$B$110,C148)),2),"")</x:f>
        <x:v>#NAME?</x:v>
      </x:c>
      <x:c r="I148" s="24" t="e">
        <x:f>IF(SUMIFS(İndirimler!$D$2:$D$110,İndirimler!$A$2:$A$110,B148,İndirimler!$B$2:$B$110,C148)&gt;0,ROUND(G148*(1-SUMIFS(İndirimler!$D$2:$D$110,İndirimler!$A$2:$A$110,B148,İndirimler!$B$2:$B$110,C148)),2),"")</x:f>
        <x:v>#NAME?</x:v>
      </x:c>
      <x:c r="J148" s="12"/>
      <x:c r="K148" s="31"/>
    </x:row>
    <x:row r="149" ht="21.950000762939453" customHeight="1">
      <x:c r="A149" s="15" t="s">
        <x:v>269</x:v>
      </x:c>
      <x:c r="B149" s="12" t="s">
        <x:v>139</x:v>
      </x:c>
      <x:c r="C149" s="12" t="s">
        <x:v>13</x:v>
      </x:c>
      <x:c r="D149" s="12" t="s">
        <x:v>121</x:v>
      </x:c>
      <x:c r="E149" s="12" t="s">
        <x:v>69</x:v>
      </x:c>
      <x:c r="F149" s="12" t="s">
        <x:v>16</x:v>
      </x:c>
      <x:c r="G149" s="18">
        <x:v>638</x:v>
      </x:c>
      <x:c r="H149" s="21" t="e">
        <x:f>IF(SUMIFS(İndirimler!$C$2:$C$110,İndirimler!$A$2:$A$110,B149,İndirimler!$B$2:$B$110,C149)&gt;0,ROUND(G149*(1-SUMIFS(İndirimler!$C$2:$C$110,İndirimler!$A$2:$A$110,B149,İndirimler!$B$2:$B$110,C149)),2),"")</x:f>
        <x:v>#NAME?</x:v>
      </x:c>
      <x:c r="I149" s="24" t="e">
        <x:f>IF(SUMIFS(İndirimler!$D$2:$D$110,İndirimler!$A$2:$A$110,B149,İndirimler!$B$2:$B$110,C149)&gt;0,ROUND(G149*(1-SUMIFS(İndirimler!$D$2:$D$110,İndirimler!$A$2:$A$110,B149,İndirimler!$B$2:$B$110,C149)),2),"")</x:f>
        <x:v>#NAME?</x:v>
      </x:c>
      <x:c r="J149" s="12"/>
      <x:c r="K149" s="31"/>
    </x:row>
    <x:row r="150" ht="21.950000762939453" customHeight="1">
      <x:c r="A150" s="15" t="s">
        <x:v>270</x:v>
      </x:c>
      <x:c r="B150" s="12" t="s">
        <x:v>18</x:v>
      </x:c>
      <x:c r="C150" s="12" t="s">
        <x:v>13</x:v>
      </x:c>
      <x:c r="D150" s="12" t="s">
        <x:v>121</x:v>
      </x:c>
      <x:c r="E150" s="12"/>
      <x:c r="F150" s="12" t="s">
        <x:v>16</x:v>
      </x:c>
      <x:c r="G150" s="18">
        <x:v>549</x:v>
      </x:c>
      <x:c r="H150" s="21" t="e">
        <x:f>IF(SUMIFS(İndirimler!$C$2:$C$110,İndirimler!$A$2:$A$110,B150,İndirimler!$B$2:$B$110,C150)&gt;0,ROUND(G150*(1-SUMIFS(İndirimler!$C$2:$C$110,İndirimler!$A$2:$A$110,B150,İndirimler!$B$2:$B$110,C150)),2),"")</x:f>
        <x:v>#NAME?</x:v>
      </x:c>
      <x:c r="I150" s="24" t="e">
        <x:f>IF(SUMIFS(İndirimler!$D$2:$D$110,İndirimler!$A$2:$A$110,B150,İndirimler!$B$2:$B$110,C150)&gt;0,ROUND(G150*(1-SUMIFS(İndirimler!$D$2:$D$110,İndirimler!$A$2:$A$110,B150,İndirimler!$B$2:$B$110,C150)),2),"")</x:f>
        <x:v>#NAME?</x:v>
      </x:c>
      <x:c r="J150" s="12" t="s">
        <x:v>271</x:v>
      </x:c>
      <x:c r="K150" s="31"/>
    </x:row>
    <x:row r="151" ht="21.950000762939453" customHeight="1">
      <x:c r="A151" s="15" t="s">
        <x:v>272</x:v>
      </x:c>
      <x:c r="B151" s="12" t="s">
        <x:v>167</x:v>
      </x:c>
      <x:c r="C151" s="12" t="s">
        <x:v>13</x:v>
      </x:c>
      <x:c r="D151" s="12" t="s">
        <x:v>121</x:v>
      </x:c>
      <x:c r="E151" s="12" t="s">
        <x:v>273</x:v>
      </x:c>
      <x:c r="F151" s="12" t="s">
        <x:v>16</x:v>
      </x:c>
      <x:c r="G151" s="18"/>
      <x:c r="H151" s="21" t="e">
        <x:f>IF(SUMIFS(İndirimler!$C$2:$C$110,İndirimler!$A$2:$A$110,B151,İndirimler!$B$2:$B$110,C151)&gt;0,ROUND(G151*(1-SUMIFS(İndirimler!$C$2:$C$110,İndirimler!$A$2:$A$110,B151,İndirimler!$B$2:$B$110,C151)),2),"")</x:f>
        <x:v>#NAME?</x:v>
      </x:c>
      <x:c r="I151" s="24" t="e">
        <x:f>IF(SUMIFS(İndirimler!$D$2:$D$110,İndirimler!$A$2:$A$110,B151,İndirimler!$B$2:$B$110,C151)&gt;0,ROUND(G151*(1-SUMIFS(İndirimler!$D$2:$D$110,İndirimler!$A$2:$A$110,B151,İndirimler!$B$2:$B$110,C151)),2),"")</x:f>
        <x:v>#NAME?</x:v>
      </x:c>
      <x:c r="J151" s="12"/>
      <x:c r="K151" s="31"/>
    </x:row>
    <x:row r="152" ht="21.950000762939453" customHeight="1">
      <x:c r="A152" s="15" t="s">
        <x:v>274</x:v>
      </x:c>
      <x:c r="B152" s="12" t="s">
        <x:v>167</x:v>
      </x:c>
      <x:c r="C152" s="12" t="s">
        <x:v>13</x:v>
      </x:c>
      <x:c r="D152" s="12" t="s">
        <x:v>121</x:v>
      </x:c>
      <x:c r="E152" s="12" t="s">
        <x:v>275</x:v>
      </x:c>
      <x:c r="F152" s="12" t="s">
        <x:v>16</x:v>
      </x:c>
      <x:c r="G152" s="18"/>
      <x:c r="H152" s="21" t="e">
        <x:f>IF(SUMIFS(İndirimler!$C$2:$C$110,İndirimler!$A$2:$A$110,B152,İndirimler!$B$2:$B$110,C152)&gt;0,ROUND(G152*(1-SUMIFS(İndirimler!$C$2:$C$110,İndirimler!$A$2:$A$110,B152,İndirimler!$B$2:$B$110,C152)),2),"")</x:f>
        <x:v>#NAME?</x:v>
      </x:c>
      <x:c r="I152" s="24" t="e">
        <x:f>IF(SUMIFS(İndirimler!$D$2:$D$110,İndirimler!$A$2:$A$110,B152,İndirimler!$B$2:$B$110,C152)&gt;0,ROUND(G152*(1-SUMIFS(İndirimler!$D$2:$D$110,İndirimler!$A$2:$A$110,B152,İndirimler!$B$2:$B$110,C152)),2),"")</x:f>
        <x:v>#NAME?</x:v>
      </x:c>
      <x:c r="J152" s="12"/>
      <x:c r="K152" s="31"/>
    </x:row>
    <x:row r="153" ht="21.950000762939453" customHeight="1">
      <x:c r="A153" s="15" t="s">
        <x:v>276</x:v>
      </x:c>
      <x:c r="B153" s="12" t="s">
        <x:v>23</x:v>
      </x:c>
      <x:c r="C153" s="12" t="s">
        <x:v>13</x:v>
      </x:c>
      <x:c r="D153" s="12" t="s">
        <x:v>121</x:v>
      </x:c>
      <x:c r="E153" s="12" t="s">
        <x:v>69</x:v>
      </x:c>
      <x:c r="F153" s="12" t="s">
        <x:v>16</x:v>
      </x:c>
      <x:c r="G153" s="18">
        <x:v>495</x:v>
      </x:c>
      <x:c r="H153" s="21" t="e">
        <x:f>IF(SUMIFS(İndirimler!$C$2:$C$110,İndirimler!$A$2:$A$110,B153,İndirimler!$B$2:$B$110,C153)&gt;0,ROUND(G153*(1-SUMIFS(İndirimler!$C$2:$C$110,İndirimler!$A$2:$A$110,B153,İndirimler!$B$2:$B$110,C153)),2),"")</x:f>
        <x:v>#NAME?</x:v>
      </x:c>
      <x:c r="I153" s="24" t="e">
        <x:f>IF(SUMIFS(İndirimler!$D$2:$D$110,İndirimler!$A$2:$A$110,B153,İndirimler!$B$2:$B$110,C153)&gt;0,ROUND(G153*(1-SUMIFS(İndirimler!$D$2:$D$110,İndirimler!$A$2:$A$110,B153,İndirimler!$B$2:$B$110,C153)),2),"")</x:f>
        <x:v>#NAME?</x:v>
      </x:c>
      <x:c r="J153" s="12"/>
      <x:c r="K153" s="31"/>
    </x:row>
    <x:row r="154" ht="21.950000762939453" customHeight="1">
      <x:c r="A154" s="15" t="s">
        <x:v>277</x:v>
      </x:c>
      <x:c r="B154" s="12" t="s">
        <x:v>25</x:v>
      </x:c>
      <x:c r="C154" s="12" t="s">
        <x:v>13</x:v>
      </x:c>
      <x:c r="D154" s="12" t="s">
        <x:v>121</x:v>
      </x:c>
      <x:c r="E154" s="12"/>
      <x:c r="F154" s="12" t="s">
        <x:v>16</x:v>
      </x:c>
      <x:c r="G154" s="18"/>
      <x:c r="H154" s="21" t="e">
        <x:f>IF(SUMIFS(İndirimler!$C$2:$C$110,İndirimler!$A$2:$A$110,B154,İndirimler!$B$2:$B$110,C154)&gt;0,ROUND(G154*(1-SUMIFS(İndirimler!$C$2:$C$110,İndirimler!$A$2:$A$110,B154,İndirimler!$B$2:$B$110,C154)),2),"")</x:f>
        <x:v>#NAME?</x:v>
      </x:c>
      <x:c r="I154" s="24" t="e">
        <x:f>IF(SUMIFS(İndirimler!$D$2:$D$110,İndirimler!$A$2:$A$110,B154,İndirimler!$B$2:$B$110,C154)&gt;0,ROUND(G154*(1-SUMIFS(İndirimler!$D$2:$D$110,İndirimler!$A$2:$A$110,B154,İndirimler!$B$2:$B$110,C154)),2),"")</x:f>
        <x:v>#NAME?</x:v>
      </x:c>
      <x:c r="J154" s="12"/>
      <x:c r="K154" s="31"/>
    </x:row>
    <x:row r="155" ht="21.950000762939453" customHeight="1">
      <x:c r="A155" s="15" t="s">
        <x:v>278</x:v>
      </x:c>
      <x:c r="B155" s="12" t="s">
        <x:v>25</x:v>
      </x:c>
      <x:c r="C155" s="12" t="s">
        <x:v>13</x:v>
      </x:c>
      <x:c r="D155" s="12" t="s">
        <x:v>121</x:v>
      </x:c>
      <x:c r="E155" s="12"/>
      <x:c r="F155" s="12" t="s">
        <x:v>16</x:v>
      </x:c>
      <x:c r="G155" s="18">
        <x:v>599</x:v>
      </x:c>
      <x:c r="H155" s="21" t="e">
        <x:f>IF(SUMIFS(İndirimler!$C$2:$C$110,İndirimler!$A$2:$A$110,B155,İndirimler!$B$2:$B$110,C155)&gt;0,ROUND(G155*(1-SUMIFS(İndirimler!$C$2:$C$110,İndirimler!$A$2:$A$110,B155,İndirimler!$B$2:$B$110,C155)),2),"")</x:f>
        <x:v>#NAME?</x:v>
      </x:c>
      <x:c r="I155" s="24" t="e">
        <x:f>IF(SUMIFS(İndirimler!$D$2:$D$110,İndirimler!$A$2:$A$110,B155,İndirimler!$B$2:$B$110,C155)&gt;0,ROUND(G155*(1-SUMIFS(İndirimler!$D$2:$D$110,İndirimler!$A$2:$A$110,B155,İndirimler!$B$2:$B$110,C155)),2),"")</x:f>
        <x:v>#NAME?</x:v>
      </x:c>
      <x:c r="J155" s="12"/>
      <x:c r="K155" s="31"/>
    </x:row>
    <x:row r="156" ht="21.950000762939453" customHeight="1">
      <x:c r="A156" s="15" t="s">
        <x:v>279</x:v>
      </x:c>
      <x:c r="B156" s="12" t="s">
        <x:v>25</x:v>
      </x:c>
      <x:c r="C156" s="12" t="s">
        <x:v>13</x:v>
      </x:c>
      <x:c r="D156" s="12" t="s">
        <x:v>121</x:v>
      </x:c>
      <x:c r="E156" s="12" t="s">
        <x:v>280</x:v>
      </x:c>
      <x:c r="F156" s="12" t="s">
        <x:v>16</x:v>
      </x:c>
      <x:c r="G156" s="18"/>
      <x:c r="H156" s="21" t="e">
        <x:f>IF(SUMIFS(İndirimler!$C$2:$C$110,İndirimler!$A$2:$A$110,B156,İndirimler!$B$2:$B$110,C156)&gt;0,ROUND(G156*(1-SUMIFS(İndirimler!$C$2:$C$110,İndirimler!$A$2:$A$110,B156,İndirimler!$B$2:$B$110,C156)),2),"")</x:f>
        <x:v>#NAME?</x:v>
      </x:c>
      <x:c r="I156" s="24" t="e">
        <x:f>IF(SUMIFS(İndirimler!$D$2:$D$110,İndirimler!$A$2:$A$110,B156,İndirimler!$B$2:$B$110,C156)&gt;0,ROUND(G156*(1-SUMIFS(İndirimler!$D$2:$D$110,İndirimler!$A$2:$A$110,B156,İndirimler!$B$2:$B$110,C156)),2),"")</x:f>
        <x:v>#NAME?</x:v>
      </x:c>
      <x:c r="J156" s="12"/>
      <x:c r="K156" s="31"/>
    </x:row>
    <x:row r="157" ht="21.950000762939453" customHeight="1">
      <x:c r="A157" s="15" t="s">
        <x:v>281</x:v>
      </x:c>
      <x:c r="B157" s="12" t="s">
        <x:v>50</x:v>
      </x:c>
      <x:c r="C157" s="12" t="s">
        <x:v>13</x:v>
      </x:c>
      <x:c r="D157" s="12" t="s">
        <x:v>121</x:v>
      </x:c>
      <x:c r="E157" s="12" t="s">
        <x:v>69</x:v>
      </x:c>
      <x:c r="F157" s="12" t="s">
        <x:v>16</x:v>
      </x:c>
      <x:c r="G157" s="18">
        <x:v>622</x:v>
      </x:c>
      <x:c r="H157" s="21" t="e">
        <x:f>IF(SUMIFS(İndirimler!$C$2:$C$110,İndirimler!$A$2:$A$110,B157,İndirimler!$B$2:$B$110,C157)&gt;0,ROUND(G157*(1-SUMIFS(İndirimler!$C$2:$C$110,İndirimler!$A$2:$A$110,B157,İndirimler!$B$2:$B$110,C157)),2),"")</x:f>
        <x:v>#NAME?</x:v>
      </x:c>
      <x:c r="I157" s="24" t="e">
        <x:f>IF(SUMIFS(İndirimler!$D$2:$D$110,İndirimler!$A$2:$A$110,B157,İndirimler!$B$2:$B$110,C157)&gt;0,ROUND(G157*(1-SUMIFS(İndirimler!$D$2:$D$110,İndirimler!$A$2:$A$110,B157,İndirimler!$B$2:$B$110,C157)),2),"")</x:f>
        <x:v>#NAME?</x:v>
      </x:c>
      <x:c r="J157" s="12"/>
      <x:c r="K157" s="31"/>
    </x:row>
    <x:row r="158" ht="21.950000762939453" customHeight="1">
      <x:c r="A158" s="15" t="s">
        <x:v>282</x:v>
      </x:c>
      <x:c r="B158" s="12" t="s">
        <x:v>129</x:v>
      </x:c>
      <x:c r="C158" s="12" t="s">
        <x:v>13</x:v>
      </x:c>
      <x:c r="D158" s="12" t="s">
        <x:v>121</x:v>
      </x:c>
      <x:c r="E158" s="12"/>
      <x:c r="F158" s="12" t="s">
        <x:v>16</x:v>
      </x:c>
      <x:c r="G158" s="18">
        <x:v>599</x:v>
      </x:c>
      <x:c r="H158" s="21" t="e">
        <x:f>IF(SUMIFS(İndirimler!$C$2:$C$110,İndirimler!$A$2:$A$110,B158,İndirimler!$B$2:$B$110,C158)&gt;0,ROUND(G158*(1-SUMIFS(İndirimler!$C$2:$C$110,İndirimler!$A$2:$A$110,B158,İndirimler!$B$2:$B$110,C158)),2),"")</x:f>
        <x:v>#NAME?</x:v>
      </x:c>
      <x:c r="I158" s="24" t="e">
        <x:f>IF(SUMIFS(İndirimler!$D$2:$D$110,İndirimler!$A$2:$A$110,B158,İndirimler!$B$2:$B$110,C158)&gt;0,ROUND(G158*(1-SUMIFS(İndirimler!$D$2:$D$110,İndirimler!$A$2:$A$110,B158,İndirimler!$B$2:$B$110,C158)),2),"")</x:f>
        <x:v>#NAME?</x:v>
      </x:c>
      <x:c r="J158" s="12"/>
      <x:c r="K158" s="31"/>
    </x:row>
    <x:row r="159" ht="21.950000762939453" customHeight="1">
      <x:c r="A159" s="15" t="s">
        <x:v>283</x:v>
      </x:c>
      <x:c r="B159" s="12" t="s">
        <x:v>129</x:v>
      </x:c>
      <x:c r="C159" s="12" t="s">
        <x:v>13</x:v>
      </x:c>
      <x:c r="D159" s="12" t="s">
        <x:v>121</x:v>
      </x:c>
      <x:c r="E159" s="12"/>
      <x:c r="F159" s="12" t="s">
        <x:v>16</x:v>
      </x:c>
      <x:c r="G159" s="18"/>
      <x:c r="H159" s="21" t="e">
        <x:f>IF(SUMIFS(İndirimler!$C$2:$C$110,İndirimler!$A$2:$A$110,B159,İndirimler!$B$2:$B$110,C159)&gt;0,ROUND(G159*(1-SUMIFS(İndirimler!$C$2:$C$110,İndirimler!$A$2:$A$110,B159,İndirimler!$B$2:$B$110,C159)),2),"")</x:f>
        <x:v>#NAME?</x:v>
      </x:c>
      <x:c r="I159" s="24" t="e">
        <x:f>IF(SUMIFS(İndirimler!$D$2:$D$110,İndirimler!$A$2:$A$110,B159,İndirimler!$B$2:$B$110,C159)&gt;0,ROUND(G159*(1-SUMIFS(İndirimler!$D$2:$D$110,İndirimler!$A$2:$A$110,B159,İndirimler!$B$2:$B$110,C159)),2),"")</x:f>
        <x:v>#NAME?</x:v>
      </x:c>
      <x:c r="J159" s="12"/>
      <x:c r="K159" s="31"/>
    </x:row>
    <x:row r="160" ht="21.950000762939453" customHeight="1">
      <x:c r="A160" s="15" t="s">
        <x:v>284</x:v>
      </x:c>
      <x:c r="B160" s="12" t="s">
        <x:v>285</x:v>
      </x:c>
      <x:c r="C160" s="12" t="s">
        <x:v>13</x:v>
      </x:c>
      <x:c r="D160" s="12" t="s">
        <x:v>121</x:v>
      </x:c>
      <x:c r="E160" s="12"/>
      <x:c r="F160" s="12" t="s">
        <x:v>16</x:v>
      </x:c>
      <x:c r="G160" s="18">
        <x:v>499</x:v>
      </x:c>
      <x:c r="H160" s="21" t="e">
        <x:f>IF(SUMIFS(İndirimler!$C$2:$C$110,İndirimler!$A$2:$A$110,B160,İndirimler!$B$2:$B$110,C160)&gt;0,ROUND(G160*(1-SUMIFS(İndirimler!$C$2:$C$110,İndirimler!$A$2:$A$110,B160,İndirimler!$B$2:$B$110,C160)),2),"")</x:f>
        <x:v>#NAME?</x:v>
      </x:c>
      <x:c r="I160" s="24" t="e">
        <x:f>IF(SUMIFS(İndirimler!$D$2:$D$110,İndirimler!$A$2:$A$110,B160,İndirimler!$B$2:$B$110,C160)&gt;0,ROUND(G160*(1-SUMIFS(İndirimler!$D$2:$D$110,İndirimler!$A$2:$A$110,B160,İndirimler!$B$2:$B$110,C160)),2),"")</x:f>
        <x:v>#NAME?</x:v>
      </x:c>
      <x:c r="J160" s="12"/>
      <x:c r="K160" s="31"/>
    </x:row>
    <x:row r="161" ht="21.950000762939453" customHeight="1">
      <x:c r="A161" s="15" t="s">
        <x:v>286</x:v>
      </x:c>
      <x:c r="B161" s="12" t="s">
        <x:v>135</x:v>
      </x:c>
      <x:c r="C161" s="12" t="s">
        <x:v>13</x:v>
      </x:c>
      <x:c r="D161" s="12" t="s">
        <x:v>121</x:v>
      </x:c>
      <x:c r="E161" s="12" t="s">
        <x:v>275</x:v>
      </x:c>
      <x:c r="F161" s="12" t="s">
        <x:v>16</x:v>
      </x:c>
      <x:c r="G161" s="18">
        <x:v>269</x:v>
      </x:c>
      <x:c r="H161" s="21" t="e">
        <x:f>IF(SUMIFS(İndirimler!$C$2:$C$110,İndirimler!$A$2:$A$110,B161,İndirimler!$B$2:$B$110,C161)&gt;0,ROUND(G161*(1-SUMIFS(İndirimler!$C$2:$C$110,İndirimler!$A$2:$A$110,B161,İndirimler!$B$2:$B$110,C161)),2),"")</x:f>
        <x:v>#NAME?</x:v>
      </x:c>
      <x:c r="I161" s="24" t="e">
        <x:f>IF(SUMIFS(İndirimler!$D$2:$D$110,İndirimler!$A$2:$A$110,B161,İndirimler!$B$2:$B$110,C161)&gt;0,ROUND(G161*(1-SUMIFS(İndirimler!$D$2:$D$110,İndirimler!$A$2:$A$110,B161,İndirimler!$B$2:$B$110,C161)),2),"")</x:f>
        <x:v>#NAME?</x:v>
      </x:c>
      <x:c r="J161" s="12"/>
      <x:c r="K161" s="31"/>
    </x:row>
    <x:row r="162" ht="21.950000762939453" customHeight="1">
      <x:c r="A162" s="15" t="s">
        <x:v>287</x:v>
      </x:c>
      <x:c r="B162" s="12" t="s">
        <x:v>38</x:v>
      </x:c>
      <x:c r="C162" s="12" t="s">
        <x:v>13</x:v>
      </x:c>
      <x:c r="D162" s="12" t="s">
        <x:v>121</x:v>
      </x:c>
      <x:c r="E162" s="12" t="s">
        <x:v>69</x:v>
      </x:c>
      <x:c r="F162" s="12" t="s">
        <x:v>16</x:v>
      </x:c>
      <x:c r="G162" s="18">
        <x:v>419</x:v>
      </x:c>
      <x:c r="H162" s="21" t="e">
        <x:f>IF(SUMIFS(İndirimler!$C$2:$C$110,İndirimler!$A$2:$A$110,B162,İndirimler!$B$2:$B$110,C162)&gt;0,ROUND(G162*(1-SUMIFS(İndirimler!$C$2:$C$110,İndirimler!$A$2:$A$110,B162,İndirimler!$B$2:$B$110,C162)),2),"")</x:f>
        <x:v>#NAME?</x:v>
      </x:c>
      <x:c r="I162" s="24" t="e">
        <x:f>IF(SUMIFS(İndirimler!$D$2:$D$110,İndirimler!$A$2:$A$110,B162,İndirimler!$B$2:$B$110,C162)&gt;0,ROUND(G162*(1-SUMIFS(İndirimler!$D$2:$D$110,İndirimler!$A$2:$A$110,B162,İndirimler!$B$2:$B$110,C162)),2),"")</x:f>
        <x:v>#NAME?</x:v>
      </x:c>
      <x:c r="J162" s="12"/>
      <x:c r="K162" s="31"/>
    </x:row>
    <x:row r="163" ht="21.950000762939453" customHeight="1">
      <x:c r="A163" s="15" t="s">
        <x:v>288</x:v>
      </x:c>
      <x:c r="B163" s="12" t="s">
        <x:v>289</x:v>
      </x:c>
      <x:c r="C163" s="12" t="s">
        <x:v>13</x:v>
      </x:c>
      <x:c r="D163" s="12" t="s">
        <x:v>121</x:v>
      </x:c>
      <x:c r="E163" s="12"/>
      <x:c r="F163" s="12" t="s">
        <x:v>290</x:v>
      </x:c>
      <x:c r="G163" s="18">
        <x:v>499</x:v>
      </x:c>
      <x:c r="H163" s="21" t="e">
        <x:f>IF(SUMIFS(İndirimler!$C$2:$C$110,İndirimler!$A$2:$A$110,B163,İndirimler!$B$2:$B$110,C163)&gt;0,ROUND(G163*(1-SUMIFS(İndirimler!$C$2:$C$110,İndirimler!$A$2:$A$110,B163,İndirimler!$B$2:$B$110,C163)),2),"")</x:f>
        <x:v>#NAME?</x:v>
      </x:c>
      <x:c r="I163" s="24" t="e">
        <x:f>IF(SUMIFS(İndirimler!$D$2:$D$110,İndirimler!$A$2:$A$110,B163,İndirimler!$B$2:$B$110,C163)&gt;0,ROUND(G163*(1-SUMIFS(İndirimler!$D$2:$D$110,İndirimler!$A$2:$A$110,B163,İndirimler!$B$2:$B$110,C163)),2),"")</x:f>
        <x:v>#NAME?</x:v>
      </x:c>
      <x:c r="J163" s="12"/>
      <x:c r="K163" s="31"/>
    </x:row>
    <x:row r="164" ht="21.950000762939453" customHeight="1">
      <x:c r="A164" s="15" t="s">
        <x:v>291</x:v>
      </x:c>
      <x:c r="B164" s="12" t="s">
        <x:v>25</x:v>
      </x:c>
      <x:c r="C164" s="12" t="s">
        <x:v>13</x:v>
      </x:c>
      <x:c r="D164" s="12" t="s">
        <x:v>292</x:v>
      </x:c>
      <x:c r="E164" s="12" t="s">
        <x:v>127</x:v>
      </x:c>
      <x:c r="F164" s="12" t="s">
        <x:v>35</x:v>
      </x:c>
      <x:c r="G164" s="18">
        <x:v>599</x:v>
      </x:c>
      <x:c r="H164" s="21" t="e">
        <x:f>IF(SUMIFS(İndirimler!$C$2:$C$110,İndirimler!$A$2:$A$110,B164,İndirimler!$B$2:$B$110,C164)&gt;0,ROUND(G164*(1-SUMIFS(İndirimler!$C$2:$C$110,İndirimler!$A$2:$A$110,B164,İndirimler!$B$2:$B$110,C164)),2),"")</x:f>
        <x:v>#NAME?</x:v>
      </x:c>
      <x:c r="I164" s="24" t="e">
        <x:f>IF(SUMIFS(İndirimler!$D$2:$D$110,İndirimler!$A$2:$A$110,B164,İndirimler!$B$2:$B$110,C164)&gt;0,ROUND(G164*(1-SUMIFS(İndirimler!$D$2:$D$110,İndirimler!$A$2:$A$110,B164,İndirimler!$B$2:$B$110,C164)),2),"")</x:f>
        <x:v>#NAME?</x:v>
      </x:c>
      <x:c r="J164" s="12"/>
      <x:c r="K164" s="31"/>
    </x:row>
    <x:row r="165" ht="21.950000762939453" customHeight="1">
      <x:c r="A165" s="15" t="s">
        <x:v>293</x:v>
      </x:c>
      <x:c r="B165" s="12" t="s">
        <x:v>120</x:v>
      </x:c>
      <x:c r="C165" s="12" t="s">
        <x:v>13</x:v>
      </x:c>
      <x:c r="D165" s="12" t="s">
        <x:v>292</x:v>
      </x:c>
      <x:c r="E165" s="12"/>
      <x:c r="F165" s="12" t="s">
        <x:v>16</x:v>
      </x:c>
      <x:c r="G165" s="18">
        <x:v>385</x:v>
      </x:c>
      <x:c r="H165" s="21" t="e">
        <x:f>IF(SUMIFS(İndirimler!$C$2:$C$110,İndirimler!$A$2:$A$110,B165,İndirimler!$B$2:$B$110,C165)&gt;0,ROUND(G165*(1-SUMIFS(İndirimler!$C$2:$C$110,İndirimler!$A$2:$A$110,B165,İndirimler!$B$2:$B$110,C165)),2),"")</x:f>
        <x:v>#NAME?</x:v>
      </x:c>
      <x:c r="I165" s="24" t="e">
        <x:f>IF(SUMIFS(İndirimler!$D$2:$D$110,İndirimler!$A$2:$A$110,B165,İndirimler!$B$2:$B$110,C165)&gt;0,ROUND(G165*(1-SUMIFS(İndirimler!$D$2:$D$110,İndirimler!$A$2:$A$110,B165,İndirimler!$B$2:$B$110,C165)),2),"")</x:f>
        <x:v>#NAME?</x:v>
      </x:c>
      <x:c r="J165" s="12"/>
      <x:c r="K165" s="31"/>
    </x:row>
    <x:row r="166" ht="21.950000762939453" customHeight="1">
      <x:c r="A166" s="15" t="s">
        <x:v>294</x:v>
      </x:c>
      <x:c r="B166" s="12" t="s">
        <x:v>120</x:v>
      </x:c>
      <x:c r="C166" s="12" t="s">
        <x:v>13</x:v>
      </x:c>
      <x:c r="D166" s="12" t="s">
        <x:v>292</x:v>
      </x:c>
      <x:c r="E166" s="12" t="s">
        <x:v>234</x:v>
      </x:c>
      <x:c r="F166" s="12" t="s">
        <x:v>16</x:v>
      </x:c>
      <x:c r="G166" s="18"/>
      <x:c r="H166" s="21" t="e">
        <x:f>IF(SUMIFS(İndirimler!$C$2:$C$110,İndirimler!$A$2:$A$110,B166,İndirimler!$B$2:$B$110,C166)&gt;0,ROUND(G166*(1-SUMIFS(İndirimler!$C$2:$C$110,İndirimler!$A$2:$A$110,B166,İndirimler!$B$2:$B$110,C166)),2),"")</x:f>
        <x:v>#NAME?</x:v>
      </x:c>
      <x:c r="I166" s="24" t="e">
        <x:f>IF(SUMIFS(İndirimler!$D$2:$D$110,İndirimler!$A$2:$A$110,B166,İndirimler!$B$2:$B$110,C166)&gt;0,ROUND(G166*(1-SUMIFS(İndirimler!$D$2:$D$110,İndirimler!$A$2:$A$110,B166,İndirimler!$B$2:$B$110,C166)),2),"")</x:f>
        <x:v>#NAME?</x:v>
      </x:c>
      <x:c r="J166" s="12"/>
      <x:c r="K166" s="31"/>
    </x:row>
    <x:row r="167" ht="21.950000762939453" customHeight="1">
      <x:c r="A167" s="15" t="s">
        <x:v>295</x:v>
      </x:c>
      <x:c r="B167" s="12" t="s">
        <x:v>120</x:v>
      </x:c>
      <x:c r="C167" s="12" t="s">
        <x:v>13</x:v>
      </x:c>
      <x:c r="D167" s="12" t="s">
        <x:v>292</x:v>
      </x:c>
      <x:c r="E167" s="12"/>
      <x:c r="F167" s="12" t="s">
        <x:v>16</x:v>
      </x:c>
      <x:c r="G167" s="18"/>
      <x:c r="H167" s="21" t="e">
        <x:f>IF(SUMIFS(İndirimler!$C$2:$C$110,İndirimler!$A$2:$A$110,B167,İndirimler!$B$2:$B$110,C167)&gt;0,ROUND(G167*(1-SUMIFS(İndirimler!$C$2:$C$110,İndirimler!$A$2:$A$110,B167,İndirimler!$B$2:$B$110,C167)),2),"")</x:f>
        <x:v>#NAME?</x:v>
      </x:c>
      <x:c r="I167" s="24" t="e">
        <x:f>IF(SUMIFS(İndirimler!$D$2:$D$110,İndirimler!$A$2:$A$110,B167,İndirimler!$B$2:$B$110,C167)&gt;0,ROUND(G167*(1-SUMIFS(İndirimler!$D$2:$D$110,İndirimler!$A$2:$A$110,B167,İndirimler!$B$2:$B$110,C167)),2),"")</x:f>
        <x:v>#NAME?</x:v>
      </x:c>
      <x:c r="J167" s="12"/>
      <x:c r="K167" s="31"/>
    </x:row>
    <x:row r="168" ht="21.950000762939453" customHeight="1">
      <x:c r="A168" s="15" t="s">
        <x:v>296</x:v>
      </x:c>
      <x:c r="B168" s="12" t="s">
        <x:v>18</x:v>
      </x:c>
      <x:c r="C168" s="12" t="s">
        <x:v>13</x:v>
      </x:c>
      <x:c r="D168" s="12" t="s">
        <x:v>292</x:v>
      </x:c>
      <x:c r="E168" s="12"/>
      <x:c r="F168" s="12" t="s">
        <x:v>16</x:v>
      </x:c>
      <x:c r="G168" s="18">
        <x:v>429</x:v>
      </x:c>
      <x:c r="H168" s="21" t="e">
        <x:f>IF(SUMIFS(İndirimler!$C$2:$C$110,İndirimler!$A$2:$A$110,B168,İndirimler!$B$2:$B$110,C168)&gt;0,ROUND(G168*(1-SUMIFS(İndirimler!$C$2:$C$110,İndirimler!$A$2:$A$110,B168,İndirimler!$B$2:$B$110,C168)),2),"")</x:f>
        <x:v>#NAME?</x:v>
      </x:c>
      <x:c r="I168" s="24" t="e">
        <x:f>IF(SUMIFS(İndirimler!$D$2:$D$110,İndirimler!$A$2:$A$110,B168,İndirimler!$B$2:$B$110,C168)&gt;0,ROUND(G168*(1-SUMIFS(İndirimler!$D$2:$D$110,İndirimler!$A$2:$A$110,B168,İndirimler!$B$2:$B$110,C168)),2),"")</x:f>
        <x:v>#NAME?</x:v>
      </x:c>
      <x:c r="J168" s="12" t="s">
        <x:v>297</x:v>
      </x:c>
      <x:c r="K168" s="31"/>
    </x:row>
    <x:row r="169" ht="21.950000762939453" customHeight="1">
      <x:c r="A169" s="15" t="s">
        <x:v>298</x:v>
      </x:c>
      <x:c r="B169" s="12" t="s">
        <x:v>167</x:v>
      </x:c>
      <x:c r="C169" s="12" t="s">
        <x:v>13</x:v>
      </x:c>
      <x:c r="D169" s="12" t="s">
        <x:v>292</x:v>
      </x:c>
      <x:c r="E169" s="12" t="s">
        <x:v>299</x:v>
      </x:c>
      <x:c r="F169" s="12" t="s">
        <x:v>16</x:v>
      </x:c>
      <x:c r="G169" s="18"/>
      <x:c r="H169" s="21" t="e">
        <x:f>IF(SUMIFS(İndirimler!$C$2:$C$110,İndirimler!$A$2:$A$110,B169,İndirimler!$B$2:$B$110,C169)&gt;0,ROUND(G169*(1-SUMIFS(İndirimler!$C$2:$C$110,İndirimler!$A$2:$A$110,B169,İndirimler!$B$2:$B$110,C169)),2),"")</x:f>
        <x:v>#NAME?</x:v>
      </x:c>
      <x:c r="I169" s="24" t="e">
        <x:f>IF(SUMIFS(İndirimler!$D$2:$D$110,İndirimler!$A$2:$A$110,B169,İndirimler!$B$2:$B$110,C169)&gt;0,ROUND(G169*(1-SUMIFS(İndirimler!$D$2:$D$110,İndirimler!$A$2:$A$110,B169,İndirimler!$B$2:$B$110,C169)),2),"")</x:f>
        <x:v>#NAME?</x:v>
      </x:c>
      <x:c r="J169" s="12"/>
      <x:c r="K169" s="31"/>
    </x:row>
    <x:row r="170" ht="21.950000762939453" customHeight="1">
      <x:c r="A170" s="15" t="s">
        <x:v>300</x:v>
      </x:c>
      <x:c r="B170" s="12" t="s">
        <x:v>23</x:v>
      </x:c>
      <x:c r="C170" s="12" t="s">
        <x:v>13</x:v>
      </x:c>
      <x:c r="D170" s="12" t="s">
        <x:v>292</x:v>
      </x:c>
      <x:c r="E170" s="12"/>
      <x:c r="F170" s="12" t="s">
        <x:v>16</x:v>
      </x:c>
      <x:c r="G170" s="18">
        <x:v>475</x:v>
      </x:c>
      <x:c r="H170" s="21" t="e">
        <x:f>IF(SUMIFS(İndirimler!$C$2:$C$110,İndirimler!$A$2:$A$110,B170,İndirimler!$B$2:$B$110,C170)&gt;0,ROUND(G170*(1-SUMIFS(İndirimler!$C$2:$C$110,İndirimler!$A$2:$A$110,B170,İndirimler!$B$2:$B$110,C170)),2),"")</x:f>
        <x:v>#NAME?</x:v>
      </x:c>
      <x:c r="I170" s="24" t="e">
        <x:f>IF(SUMIFS(İndirimler!$D$2:$D$110,İndirimler!$A$2:$A$110,B170,İndirimler!$B$2:$B$110,C170)&gt;0,ROUND(G170*(1-SUMIFS(İndirimler!$D$2:$D$110,İndirimler!$A$2:$A$110,B170,İndirimler!$B$2:$B$110,C170)),2),"")</x:f>
        <x:v>#NAME?</x:v>
      </x:c>
      <x:c r="J170" s="12"/>
      <x:c r="K170" s="31"/>
    </x:row>
    <x:row r="171" ht="21.950000762939453" customHeight="1">
      <x:c r="A171" s="15" t="s">
        <x:v>301</x:v>
      </x:c>
      <x:c r="B171" s="12" t="s">
        <x:v>25</x:v>
      </x:c>
      <x:c r="C171" s="12" t="s">
        <x:v>13</x:v>
      </x:c>
      <x:c r="D171" s="12" t="s">
        <x:v>292</x:v>
      </x:c>
      <x:c r="E171" s="12"/>
      <x:c r="F171" s="12" t="s">
        <x:v>16</x:v>
      </x:c>
      <x:c r="G171" s="18"/>
      <x:c r="H171" s="21" t="e">
        <x:f>IF(SUMIFS(İndirimler!$C$2:$C$110,İndirimler!$A$2:$A$110,B171,İndirimler!$B$2:$B$110,C171)&gt;0,ROUND(G171*(1-SUMIFS(İndirimler!$C$2:$C$110,İndirimler!$A$2:$A$110,B171,İndirimler!$B$2:$B$110,C171)),2),"")</x:f>
        <x:v>#NAME?</x:v>
      </x:c>
      <x:c r="I171" s="24" t="e">
        <x:f>IF(SUMIFS(İndirimler!$D$2:$D$110,İndirimler!$A$2:$A$110,B171,İndirimler!$B$2:$B$110,C171)&gt;0,ROUND(G171*(1-SUMIFS(İndirimler!$D$2:$D$110,İndirimler!$A$2:$A$110,B171,İndirimler!$B$2:$B$110,C171)),2),"")</x:f>
        <x:v>#NAME?</x:v>
      </x:c>
      <x:c r="J171" s="12"/>
      <x:c r="K171" s="31"/>
    </x:row>
    <x:row r="172" ht="21.950000762939453" customHeight="1">
      <x:c r="A172" s="15" t="s">
        <x:v>302</x:v>
      </x:c>
      <x:c r="B172" s="12" t="s">
        <x:v>25</x:v>
      </x:c>
      <x:c r="C172" s="12" t="s">
        <x:v>13</x:v>
      </x:c>
      <x:c r="D172" s="12" t="s">
        <x:v>292</x:v>
      </x:c>
      <x:c r="E172" s="12" t="s">
        <x:v>28</x:v>
      </x:c>
      <x:c r="F172" s="12" t="s">
        <x:v>16</x:v>
      </x:c>
      <x:c r="G172" s="18">
        <x:v>559</x:v>
      </x:c>
      <x:c r="H172" s="21" t="e">
        <x:f>IF(SUMIFS(İndirimler!$C$2:$C$110,İndirimler!$A$2:$A$110,B172,İndirimler!$B$2:$B$110,C172)&gt;0,ROUND(G172*(1-SUMIFS(İndirimler!$C$2:$C$110,İndirimler!$A$2:$A$110,B172,İndirimler!$B$2:$B$110,C172)),2),"")</x:f>
        <x:v>#NAME?</x:v>
      </x:c>
      <x:c r="I172" s="24" t="e">
        <x:f>IF(SUMIFS(İndirimler!$D$2:$D$110,İndirimler!$A$2:$A$110,B172,İndirimler!$B$2:$B$110,C172)&gt;0,ROUND(G172*(1-SUMIFS(İndirimler!$D$2:$D$110,İndirimler!$A$2:$A$110,B172,İndirimler!$B$2:$B$110,C172)),2),"")</x:f>
        <x:v>#NAME?</x:v>
      </x:c>
      <x:c r="J172" s="12"/>
      <x:c r="K172" s="31"/>
    </x:row>
    <x:row r="173" ht="21.950000762939453" customHeight="1">
      <x:c r="A173" s="15" t="s">
        <x:v>303</x:v>
      </x:c>
      <x:c r="B173" s="12" t="s">
        <x:v>25</x:v>
      </x:c>
      <x:c r="C173" s="12" t="s">
        <x:v>13</x:v>
      </x:c>
      <x:c r="D173" s="12" t="s">
        <x:v>292</x:v>
      </x:c>
      <x:c r="E173" s="12" t="s">
        <x:v>280</x:v>
      </x:c>
      <x:c r="F173" s="12" t="s">
        <x:v>16</x:v>
      </x:c>
      <x:c r="G173" s="18"/>
      <x:c r="H173" s="21" t="e">
        <x:f>IF(SUMIFS(İndirimler!$C$2:$C$110,İndirimler!$A$2:$A$110,B173,İndirimler!$B$2:$B$110,C173)&gt;0,ROUND(G173*(1-SUMIFS(İndirimler!$C$2:$C$110,İndirimler!$A$2:$A$110,B173,İndirimler!$B$2:$B$110,C173)),2),"")</x:f>
        <x:v>#NAME?</x:v>
      </x:c>
      <x:c r="I173" s="24" t="e">
        <x:f>IF(SUMIFS(İndirimler!$D$2:$D$110,İndirimler!$A$2:$A$110,B173,İndirimler!$B$2:$B$110,C173)&gt;0,ROUND(G173*(1-SUMIFS(İndirimler!$D$2:$D$110,İndirimler!$A$2:$A$110,B173,İndirimler!$B$2:$B$110,C173)),2),"")</x:f>
        <x:v>#NAME?</x:v>
      </x:c>
      <x:c r="J173" s="12"/>
      <x:c r="K173" s="31"/>
    </x:row>
    <x:row r="174" ht="21.950000762939453" customHeight="1">
      <x:c r="A174" s="15" t="s">
        <x:v>304</x:v>
      </x:c>
      <x:c r="B174" s="12" t="s">
        <x:v>50</x:v>
      </x:c>
      <x:c r="C174" s="12" t="s">
        <x:v>13</x:v>
      </x:c>
      <x:c r="D174" s="12" t="s">
        <x:v>292</x:v>
      </x:c>
      <x:c r="E174" s="12"/>
      <x:c r="F174" s="12" t="s">
        <x:v>16</x:v>
      </x:c>
      <x:c r="G174" s="18">
        <x:v>706</x:v>
      </x:c>
      <x:c r="H174" s="21" t="e">
        <x:f>IF(SUMIFS(İndirimler!$C$2:$C$110,İndirimler!$A$2:$A$110,B174,İndirimler!$B$2:$B$110,C174)&gt;0,ROUND(G174*(1-SUMIFS(İndirimler!$C$2:$C$110,İndirimler!$A$2:$A$110,B174,İndirimler!$B$2:$B$110,C174)),2),"")</x:f>
        <x:v>#NAME?</x:v>
      </x:c>
      <x:c r="I174" s="24" t="e">
        <x:f>IF(SUMIFS(İndirimler!$D$2:$D$110,İndirimler!$A$2:$A$110,B174,İndirimler!$B$2:$B$110,C174)&gt;0,ROUND(G174*(1-SUMIFS(İndirimler!$D$2:$D$110,İndirimler!$A$2:$A$110,B174,İndirimler!$B$2:$B$110,C174)),2),"")</x:f>
        <x:v>#NAME?</x:v>
      </x:c>
      <x:c r="J174" s="12"/>
      <x:c r="K174" s="31"/>
    </x:row>
    <x:row r="175" ht="21.950000762939453" customHeight="1">
      <x:c r="A175" s="15" t="s">
        <x:v>305</x:v>
      </x:c>
      <x:c r="B175" s="12" t="s">
        <x:v>129</x:v>
      </x:c>
      <x:c r="C175" s="12" t="s">
        <x:v>13</x:v>
      </x:c>
      <x:c r="D175" s="12" t="s">
        <x:v>292</x:v>
      </x:c>
      <x:c r="E175" s="12"/>
      <x:c r="F175" s="12" t="s">
        <x:v>16</x:v>
      </x:c>
      <x:c r="G175" s="18"/>
      <x:c r="H175" s="21" t="e">
        <x:f>IF(SUMIFS(İndirimler!$C$2:$C$110,İndirimler!$A$2:$A$110,B175,İndirimler!$B$2:$B$110,C175)&gt;0,ROUND(G175*(1-SUMIFS(İndirimler!$C$2:$C$110,İndirimler!$A$2:$A$110,B175,İndirimler!$B$2:$B$110,C175)),2),"")</x:f>
        <x:v>#NAME?</x:v>
      </x:c>
      <x:c r="I175" s="24" t="e">
        <x:f>IF(SUMIFS(İndirimler!$D$2:$D$110,İndirimler!$A$2:$A$110,B175,İndirimler!$B$2:$B$110,C175)&gt;0,ROUND(G175*(1-SUMIFS(İndirimler!$D$2:$D$110,İndirimler!$A$2:$A$110,B175,İndirimler!$B$2:$B$110,C175)),2),"")</x:f>
        <x:v>#NAME?</x:v>
      </x:c>
      <x:c r="J175" s="12"/>
      <x:c r="K175" s="31"/>
    </x:row>
    <x:row r="176" ht="21.950000762939453" customHeight="1">
      <x:c r="A176" s="15" t="s">
        <x:v>306</x:v>
      </x:c>
      <x:c r="B176" s="12" t="s">
        <x:v>307</x:v>
      </x:c>
      <x:c r="C176" s="12" t="s">
        <x:v>33</x:v>
      </x:c>
      <x:c r="D176" s="12" t="s">
        <x:v>308</x:v>
      </x:c>
      <x:c r="E176" s="12" t="s">
        <x:v>309</x:v>
      </x:c>
      <x:c r="F176" s="12" t="s">
        <x:v>35</x:v>
      </x:c>
      <x:c r="G176" s="18">
        <x:v>565</x:v>
      </x:c>
      <x:c r="H176" s="21" t="e">
        <x:f>IF(SUMIFS(İndirimler!$C$2:$C$110,İndirimler!$A$2:$A$110,B176,İndirimler!$B$2:$B$110,C176)&gt;0,ROUND(G176*(1-SUMIFS(İndirimler!$C$2:$C$110,İndirimler!$A$2:$A$110,B176,İndirimler!$B$2:$B$110,C176)),2),"")</x:f>
        <x:v>#NAME?</x:v>
      </x:c>
      <x:c r="I176" s="24" t="e">
        <x:f>IF(SUMIFS(İndirimler!$D$2:$D$110,İndirimler!$A$2:$A$110,B176,İndirimler!$B$2:$B$110,C176)&gt;0,ROUND(G176*(1-SUMIFS(İndirimler!$D$2:$D$110,İndirimler!$A$2:$A$110,B176,İndirimler!$B$2:$B$110,C176)),2),"")</x:f>
        <x:v>#NAME?</x:v>
      </x:c>
      <x:c r="J176" s="12"/>
      <x:c r="K176" s="31"/>
    </x:row>
    <x:row r="177" ht="21.950000762939453" customHeight="1">
      <x:c r="A177" s="15" t="s">
        <x:v>310</x:v>
      </x:c>
      <x:c r="B177" s="12" t="s">
        <x:v>25</x:v>
      </x:c>
      <x:c r="C177" s="12" t="s">
        <x:v>33</x:v>
      </x:c>
      <x:c r="D177" s="12" t="s">
        <x:v>308</x:v>
      </x:c>
      <x:c r="E177" s="12" t="s">
        <x:v>127</x:v>
      </x:c>
      <x:c r="F177" s="12" t="s">
        <x:v>16</x:v>
      </x:c>
      <x:c r="G177" s="18">
        <x:v>199</x:v>
      </x:c>
      <x:c r="H177" s="21" t="e">
        <x:f>IF(SUMIFS(İndirimler!$C$2:$C$110,İndirimler!$A$2:$A$110,B177,İndirimler!$B$2:$B$110,C177)&gt;0,ROUND(G177*(1-SUMIFS(İndirimler!$C$2:$C$110,İndirimler!$A$2:$A$110,B177,İndirimler!$B$2:$B$110,C177)),2),"")</x:f>
        <x:v>#NAME?</x:v>
      </x:c>
      <x:c r="I177" s="24" t="e">
        <x:f>IF(SUMIFS(İndirimler!$D$2:$D$110,İndirimler!$A$2:$A$110,B177,İndirimler!$B$2:$B$110,C177)&gt;0,ROUND(G177*(1-SUMIFS(İndirimler!$D$2:$D$110,İndirimler!$A$2:$A$110,B177,İndirimler!$B$2:$B$110,C177)),2),"")</x:f>
        <x:v>#NAME?</x:v>
      </x:c>
      <x:c r="J177" s="12"/>
      <x:c r="K177" s="31"/>
    </x:row>
    <x:row r="178" ht="21.950000762939453" customHeight="1">
      <x:c r="A178" s="15" t="s">
        <x:v>311</x:v>
      </x:c>
      <x:c r="B178" s="12" t="s">
        <x:v>25</x:v>
      </x:c>
      <x:c r="C178" s="12" t="s">
        <x:v>33</x:v>
      </x:c>
      <x:c r="D178" s="12" t="s">
        <x:v>308</x:v>
      </x:c>
      <x:c r="E178" s="12" t="s">
        <x:v>127</x:v>
      </x:c>
      <x:c r="F178" s="12" t="s">
        <x:v>35</x:v>
      </x:c>
      <x:c r="G178" s="18">
        <x:v>379</x:v>
      </x:c>
      <x:c r="H178" s="21" t="e">
        <x:f>IF(SUMIFS(İndirimler!$C$2:$C$110,İndirimler!$A$2:$A$110,B178,İndirimler!$B$2:$B$110,C178)&gt;0,ROUND(G178*(1-SUMIFS(İndirimler!$C$2:$C$110,İndirimler!$A$2:$A$110,B178,İndirimler!$B$2:$B$110,C178)),2),"")</x:f>
        <x:v>#NAME?</x:v>
      </x:c>
      <x:c r="I178" s="24" t="e">
        <x:f>IF(SUMIFS(İndirimler!$D$2:$D$110,İndirimler!$A$2:$A$110,B178,İndirimler!$B$2:$B$110,C178)&gt;0,ROUND(G178*(1-SUMIFS(İndirimler!$D$2:$D$110,İndirimler!$A$2:$A$110,B178,İndirimler!$B$2:$B$110,C178)),2),"")</x:f>
        <x:v>#NAME?</x:v>
      </x:c>
      <x:c r="J178" s="12"/>
      <x:c r="K178" s="31"/>
    </x:row>
    <x:row r="179" ht="21.950000762939453" customHeight="1">
      <x:c r="A179" s="15" t="s">
        <x:v>312</x:v>
      </x:c>
      <x:c r="B179" s="12" t="s">
        <x:v>32</x:v>
      </x:c>
      <x:c r="C179" s="12" t="s">
        <x:v>33</x:v>
      </x:c>
      <x:c r="D179" s="12" t="s">
        <x:v>308</x:v>
      </x:c>
      <x:c r="E179" s="12"/>
      <x:c r="F179" s="12" t="s">
        <x:v>35</x:v>
      </x:c>
      <x:c r="G179" s="18">
        <x:v>539</x:v>
      </x:c>
      <x:c r="H179" s="21" t="e">
        <x:f>IF(SUMIFS(İndirimler!$C$2:$C$110,İndirimler!$A$2:$A$110,B179,İndirimler!$B$2:$B$110,C179)&gt;0,ROUND(G179*(1-SUMIFS(İndirimler!$C$2:$C$110,İndirimler!$A$2:$A$110,B179,İndirimler!$B$2:$B$110,C179)),2),"")</x:f>
        <x:v>#NAME?</x:v>
      </x:c>
      <x:c r="I179" s="24" t="e">
        <x:f>IF(SUMIFS(İndirimler!$D$2:$D$110,İndirimler!$A$2:$A$110,B179,İndirimler!$B$2:$B$110,C179)&gt;0,ROUND(G179*(1-SUMIFS(İndirimler!$D$2:$D$110,İndirimler!$A$2:$A$110,B179,İndirimler!$B$2:$B$110,C179)),2),"")</x:f>
        <x:v>#NAME?</x:v>
      </x:c>
      <x:c r="J179" s="30" t="s">
        <x:v>313</x:v>
      </x:c>
      <x:c r="K179" s="31"/>
    </x:row>
    <x:row r="180" ht="21.950000762939453" customHeight="1">
      <x:c r="A180" s="15" t="s">
        <x:v>314</x:v>
      </x:c>
      <x:c r="B180" s="12" t="s">
        <x:v>38</x:v>
      </x:c>
      <x:c r="C180" s="12" t="s">
        <x:v>33</x:v>
      </x:c>
      <x:c r="D180" s="12" t="s">
        <x:v>308</x:v>
      </x:c>
      <x:c r="E180" s="12"/>
      <x:c r="F180" s="12" t="s">
        <x:v>35</x:v>
      </x:c>
      <x:c r="G180" s="18">
        <x:v>685</x:v>
      </x:c>
      <x:c r="H180" s="21" t="e">
        <x:f>IF(SUMIFS(İndirimler!$C$2:$C$110,İndirimler!$A$2:$A$110,B180,İndirimler!$B$2:$B$110,C180)&gt;0,ROUND(G180*(1-SUMIFS(İndirimler!$C$2:$C$110,İndirimler!$A$2:$A$110,B180,İndirimler!$B$2:$B$110,C180)),2),"")</x:f>
        <x:v>#NAME?</x:v>
      </x:c>
      <x:c r="I180" s="24" t="e">
        <x:f>IF(SUMIFS(İndirimler!$D$2:$D$110,İndirimler!$A$2:$A$110,B180,İndirimler!$B$2:$B$110,C180)&gt;0,ROUND(G180*(1-SUMIFS(İndirimler!$D$2:$D$110,İndirimler!$A$2:$A$110,B180,İndirimler!$B$2:$B$110,C180)),2),"")</x:f>
        <x:v>#NAME?</x:v>
      </x:c>
      <x:c r="J180" s="30" t="s">
        <x:v>315</x:v>
      </x:c>
      <x:c r="K180" s="31"/>
    </x:row>
    <x:row r="181" ht="21.950000762939453" customHeight="1">
      <x:c r="A181" s="15" t="s">
        <x:v>316</x:v>
      </x:c>
      <x:c r="B181" s="12" t="s">
        <x:v>139</x:v>
      </x:c>
      <x:c r="C181" s="12" t="s">
        <x:v>33</x:v>
      </x:c>
      <x:c r="D181" s="12" t="s">
        <x:v>308</x:v>
      </x:c>
      <x:c r="E181" s="12" t="s">
        <x:v>317</x:v>
      </x:c>
      <x:c r="F181" s="12" t="s">
        <x:v>42</x:v>
      </x:c>
      <x:c r="G181" s="18">
        <x:v>478</x:v>
      </x:c>
      <x:c r="H181" s="21" t="e">
        <x:f>IF(SUMIFS(İndirimler!$C$2:$C$110,İndirimler!$A$2:$A$110,B181,İndirimler!$B$2:$B$110,C181)&gt;0,ROUND(G181*(1-SUMIFS(İndirimler!$C$2:$C$110,İndirimler!$A$2:$A$110,B181,İndirimler!$B$2:$B$110,C181)),2),"")</x:f>
        <x:v>#NAME?</x:v>
      </x:c>
      <x:c r="I181" s="24" t="e">
        <x:f>IF(SUMIFS(İndirimler!$D$2:$D$110,İndirimler!$A$2:$A$110,B181,İndirimler!$B$2:$B$110,C181)&gt;0,ROUND(G181*(1-SUMIFS(İndirimler!$D$2:$D$110,İndirimler!$A$2:$A$110,B181,İndirimler!$B$2:$B$110,C181)),2),"")</x:f>
        <x:v>#NAME?</x:v>
      </x:c>
      <x:c r="J181" s="30" t="s">
        <x:v>318</x:v>
      </x:c>
      <x:c r="K181" s="31"/>
    </x:row>
    <x:row r="182" ht="21.950000762939453" customHeight="1">
      <x:c r="A182" s="15" t="s">
        <x:v>319</x:v>
      </x:c>
      <x:c r="B182" s="12" t="s">
        <x:v>18</x:v>
      </x:c>
      <x:c r="C182" s="12" t="s">
        <x:v>33</x:v>
      </x:c>
      <x:c r="D182" s="12" t="s">
        <x:v>308</x:v>
      </x:c>
      <x:c r="E182" s="12" t="s">
        <x:v>41</x:v>
      </x:c>
      <x:c r="F182" s="12" t="s">
        <x:v>42</x:v>
      </x:c>
      <x:c r="G182" s="18"/>
      <x:c r="H182" s="21" t="e">
        <x:f>IF(SUMIFS(İndirimler!$C$2:$C$110,İndirimler!$A$2:$A$110,B182,İndirimler!$B$2:$B$110,C182)&gt;0,ROUND(G182*(1-SUMIFS(İndirimler!$C$2:$C$110,İndirimler!$A$2:$A$110,B182,İndirimler!$B$2:$B$110,C182)),2),"")</x:f>
        <x:v>#NAME?</x:v>
      </x:c>
      <x:c r="I182" s="24" t="e">
        <x:f>IF(SUMIFS(İndirimler!$D$2:$D$110,İndirimler!$A$2:$A$110,B182,İndirimler!$B$2:$B$110,C182)&gt;0,ROUND(G182*(1-SUMIFS(İndirimler!$D$2:$D$110,İndirimler!$A$2:$A$110,B182,İndirimler!$B$2:$B$110,C182)),2),"")</x:f>
        <x:v>#NAME?</x:v>
      </x:c>
      <x:c r="J182" s="12"/>
      <x:c r="K182" s="31"/>
    </x:row>
    <x:row r="183" ht="21.950000762939453" customHeight="1">
      <x:c r="A183" s="15" t="s">
        <x:v>320</x:v>
      </x:c>
      <x:c r="B183" s="12" t="s">
        <x:v>44</x:v>
      </x:c>
      <x:c r="C183" s="12" t="s">
        <x:v>33</x:v>
      </x:c>
      <x:c r="D183" s="12" t="s">
        <x:v>308</x:v>
      </x:c>
      <x:c r="E183" s="12" t="s">
        <x:v>45</x:v>
      </x:c>
      <x:c r="F183" s="12" t="s">
        <x:v>42</x:v>
      </x:c>
      <x:c r="G183" s="18">
        <x:v>274</x:v>
      </x:c>
      <x:c r="H183" s="21" t="e">
        <x:f>IF(SUMIFS(İndirimler!$C$2:$C$110,İndirimler!$A$2:$A$110,B183,İndirimler!$B$2:$B$110,C183)&gt;0,ROUND(G183*(1-SUMIFS(İndirimler!$C$2:$C$110,İndirimler!$A$2:$A$110,B183,İndirimler!$B$2:$B$110,C183)),2),"")</x:f>
        <x:v>#NAME?</x:v>
      </x:c>
      <x:c r="I183" s="24" t="e">
        <x:f>IF(SUMIFS(İndirimler!$D$2:$D$110,İndirimler!$A$2:$A$110,B183,İndirimler!$B$2:$B$110,C183)&gt;0,ROUND(G183*(1-SUMIFS(İndirimler!$D$2:$D$110,İndirimler!$A$2:$A$110,B183,İndirimler!$B$2:$B$110,C183)),2),"")</x:f>
        <x:v>#NAME?</x:v>
      </x:c>
      <x:c r="J183" s="12" t="s">
        <x:v>321</x:v>
      </x:c>
      <x:c r="K183" s="31"/>
    </x:row>
    <x:row r="184" ht="21.950000762939453" customHeight="1">
      <x:c r="A184" s="15" t="s">
        <x:v>322</x:v>
      </x:c>
      <x:c r="B184" s="12" t="s">
        <x:v>23</x:v>
      </x:c>
      <x:c r="C184" s="12" t="s">
        <x:v>33</x:v>
      </x:c>
      <x:c r="D184" s="12" t="s">
        <x:v>308</x:v>
      </x:c>
      <x:c r="E184" s="12"/>
      <x:c r="F184" s="12" t="s">
        <x:v>42</x:v>
      </x:c>
      <x:c r="G184" s="18">
        <x:v>576</x:v>
      </x:c>
      <x:c r="H184" s="21" t="e">
        <x:f>IF(SUMIFS(İndirimler!$C$2:$C$110,İndirimler!$A$2:$A$110,B184,İndirimler!$B$2:$B$110,C184)&gt;0,ROUND(G184*(1-SUMIFS(İndirimler!$C$2:$C$110,İndirimler!$A$2:$A$110,B184,İndirimler!$B$2:$B$110,C184)),2),"")</x:f>
        <x:v>#NAME?</x:v>
      </x:c>
      <x:c r="I184" s="24" t="e">
        <x:f>IF(SUMIFS(İndirimler!$D$2:$D$110,İndirimler!$A$2:$A$110,B184,İndirimler!$B$2:$B$110,C184)&gt;0,ROUND(G184*(1-SUMIFS(İndirimler!$D$2:$D$110,İndirimler!$A$2:$A$110,B184,İndirimler!$B$2:$B$110,C184)),2),"")</x:f>
        <x:v>#NAME?</x:v>
      </x:c>
      <x:c r="J184" s="12" t="s">
        <x:v>323</x:v>
      </x:c>
      <x:c r="K184" s="31"/>
    </x:row>
    <x:row r="185" ht="21.950000762939453" customHeight="1">
      <x:c r="A185" s="15" t="s">
        <x:v>324</x:v>
      </x:c>
      <x:c r="B185" s="12" t="s">
        <x:v>50</x:v>
      </x:c>
      <x:c r="C185" s="12" t="s">
        <x:v>33</x:v>
      </x:c>
      <x:c r="D185" s="12" t="s">
        <x:v>308</x:v>
      </x:c>
      <x:c r="E185" s="12" t="s">
        <x:v>51</x:v>
      </x:c>
      <x:c r="F185" s="12" t="s">
        <x:v>42</x:v>
      </x:c>
      <x:c r="G185" s="18">
        <x:v>660</x:v>
      </x:c>
      <x:c r="H185" s="21" t="e">
        <x:f>IF(SUMIFS(İndirimler!$C$2:$C$110,İndirimler!$A$2:$A$110,B185,İndirimler!$B$2:$B$110,C185)&gt;0,ROUND(G185*(1-SUMIFS(İndirimler!$C$2:$C$110,İndirimler!$A$2:$A$110,B185,İndirimler!$B$2:$B$110,C185)),2),"")</x:f>
        <x:v>#NAME?</x:v>
      </x:c>
      <x:c r="I185" s="24" t="e">
        <x:f>IF(SUMIFS(İndirimler!$D$2:$D$110,İndirimler!$A$2:$A$110,B185,İndirimler!$B$2:$B$110,C185)&gt;0,ROUND(G185*(1-SUMIFS(İndirimler!$D$2:$D$110,İndirimler!$A$2:$A$110,B185,İndirimler!$B$2:$B$110,C185)),2),"")</x:f>
        <x:v>#NAME?</x:v>
      </x:c>
      <x:c r="J185" s="12"/>
      <x:c r="K185" s="31"/>
    </x:row>
    <x:row r="186" ht="21.950000762939453" customHeight="1">
      <x:c r="A186" s="15" t="s">
        <x:v>325</x:v>
      </x:c>
      <x:c r="B186" s="12" t="s">
        <x:v>326</x:v>
      </x:c>
      <x:c r="C186" s="12" t="s">
        <x:v>33</x:v>
      </x:c>
      <x:c r="D186" s="12" t="s">
        <x:v>308</x:v>
      </x:c>
      <x:c r="E186" s="12"/>
      <x:c r="F186" s="12" t="s">
        <x:v>42</x:v>
      </x:c>
      <x:c r="G186" s="18">
        <x:v>525</x:v>
      </x:c>
      <x:c r="H186" s="21" t="e">
        <x:f>IF(SUMIFS(İndirimler!$C$2:$C$110,İndirimler!$A$2:$A$110,B186,İndirimler!$B$2:$B$110,C186)&gt;0,ROUND(G186*(1-SUMIFS(İndirimler!$C$2:$C$110,İndirimler!$A$2:$A$110,B186,İndirimler!$B$2:$B$110,C186)),2),"")</x:f>
        <x:v>#NAME?</x:v>
      </x:c>
      <x:c r="I186" s="24" t="e">
        <x:f>IF(SUMIFS(İndirimler!$D$2:$D$110,İndirimler!$A$2:$A$110,B186,İndirimler!$B$2:$B$110,C186)&gt;0,ROUND(G186*(1-SUMIFS(İndirimler!$D$2:$D$110,İndirimler!$A$2:$A$110,B186,İndirimler!$B$2:$B$110,C186)),2),"")</x:f>
        <x:v>#NAME?</x:v>
      </x:c>
      <x:c r="J186" s="12"/>
      <x:c r="K186" s="31"/>
    </x:row>
    <x:row r="187" ht="21.950000762939453" customHeight="1">
      <x:c r="A187" s="15" t="s">
        <x:v>327</x:v>
      </x:c>
      <x:c r="B187" s="12" t="s">
        <x:v>55</x:v>
      </x:c>
      <x:c r="C187" s="12" t="s">
        <x:v>33</x:v>
      </x:c>
      <x:c r="D187" s="12" t="s">
        <x:v>308</x:v>
      </x:c>
      <x:c r="E187" s="12"/>
      <x:c r="F187" s="12" t="s">
        <x:v>16</x:v>
      </x:c>
      <x:c r="G187" s="18">
        <x:v>346</x:v>
      </x:c>
      <x:c r="H187" s="21" t="e">
        <x:f>IF(SUMIFS(İndirimler!$C$2:$C$110,İndirimler!$A$2:$A$110,B187,İndirimler!$B$2:$B$110,C187)&gt;0,ROUND(G187*(1-SUMIFS(İndirimler!$C$2:$C$110,İndirimler!$A$2:$A$110,B187,İndirimler!$B$2:$B$110,C187)),2),"")</x:f>
        <x:v>#NAME?</x:v>
      </x:c>
      <x:c r="I187" s="24" t="e">
        <x:f>IF(SUMIFS(İndirimler!$D$2:$D$110,İndirimler!$A$2:$A$110,B187,İndirimler!$B$2:$B$110,C187)&gt;0,ROUND(G187*(1-SUMIFS(İndirimler!$D$2:$D$110,İndirimler!$A$2:$A$110,B187,İndirimler!$B$2:$B$110,C187)),2),"")</x:f>
        <x:v>#NAME?</x:v>
      </x:c>
      <x:c r="J187" s="12" t="s">
        <x:v>328</x:v>
      </x:c>
      <x:c r="K187" s="31"/>
    </x:row>
    <x:row r="188" ht="21.950000762939453" customHeight="1">
      <x:c r="A188" s="15" t="s">
        <x:v>329</x:v>
      </x:c>
      <x:c r="B188" s="12" t="s">
        <x:v>139</x:v>
      </x:c>
      <x:c r="C188" s="12" t="s">
        <x:v>33</x:v>
      </x:c>
      <x:c r="D188" s="12" t="s">
        <x:v>308</x:v>
      </x:c>
      <x:c r="E188" s="12"/>
      <x:c r="F188" s="12" t="s">
        <x:v>16</x:v>
      </x:c>
      <x:c r="G188" s="18">
        <x:v>416</x:v>
      </x:c>
      <x:c r="H188" s="21" t="e">
        <x:f>IF(SUMIFS(İndirimler!$C$2:$C$110,İndirimler!$A$2:$A$110,B188,İndirimler!$B$2:$B$110,C188)&gt;0,ROUND(G188*(1-SUMIFS(İndirimler!$C$2:$C$110,İndirimler!$A$2:$A$110,B188,İndirimler!$B$2:$B$110,C188)),2),"")</x:f>
        <x:v>#NAME?</x:v>
      </x:c>
      <x:c r="I188" s="24" t="e">
        <x:f>IF(SUMIFS(İndirimler!$D$2:$D$110,İndirimler!$A$2:$A$110,B188,İndirimler!$B$2:$B$110,C188)&gt;0,ROUND(G188*(1-SUMIFS(İndirimler!$D$2:$D$110,İndirimler!$A$2:$A$110,B188,İndirimler!$B$2:$B$110,C188)),2),"")</x:f>
        <x:v>#NAME?</x:v>
      </x:c>
      <x:c r="J188" s="30" t="s">
        <x:v>330</x:v>
      </x:c>
      <x:c r="K188" s="31"/>
    </x:row>
    <x:row r="189" ht="21.950000762939453" customHeight="1">
      <x:c r="A189" s="15" t="s">
        <x:v>331</x:v>
      </x:c>
      <x:c r="B189" s="12" t="s">
        <x:v>18</x:v>
      </x:c>
      <x:c r="C189" s="12" t="s">
        <x:v>33</x:v>
      </x:c>
      <x:c r="D189" s="12" t="s">
        <x:v>308</x:v>
      </x:c>
      <x:c r="E189" s="12"/>
      <x:c r="F189" s="12" t="s">
        <x:v>16</x:v>
      </x:c>
      <x:c r="G189" s="18">
        <x:v>479</x:v>
      </x:c>
      <x:c r="H189" s="21" t="e">
        <x:f>IF(SUMIFS(İndirimler!$C$2:$C$110,İndirimler!$A$2:$A$110,B189,İndirimler!$B$2:$B$110,C189)&gt;0,ROUND(G189*(1-SUMIFS(İndirimler!$C$2:$C$110,İndirimler!$A$2:$A$110,B189,İndirimler!$B$2:$B$110,C189)),2),"")</x:f>
        <x:v>#NAME?</x:v>
      </x:c>
      <x:c r="I189" s="24" t="e">
        <x:f>IF(SUMIFS(İndirimler!$D$2:$D$110,İndirimler!$A$2:$A$110,B189,İndirimler!$B$2:$B$110,C189)&gt;0,ROUND(G189*(1-SUMIFS(İndirimler!$D$2:$D$110,İndirimler!$A$2:$A$110,B189,İndirimler!$B$2:$B$110,C189)),2),"")</x:f>
        <x:v>#NAME?</x:v>
      </x:c>
      <x:c r="J189" s="30" t="s">
        <x:v>332</x:v>
      </x:c>
      <x:c r="K189" s="31"/>
    </x:row>
    <x:row r="190" ht="21.950000762939453" customHeight="1">
      <x:c r="A190" s="15" t="s">
        <x:v>333</x:v>
      </x:c>
      <x:c r="B190" s="12" t="s">
        <x:v>334</x:v>
      </x:c>
      <x:c r="C190" s="12" t="s">
        <x:v>33</x:v>
      </x:c>
      <x:c r="D190" s="12" t="s">
        <x:v>308</x:v>
      </x:c>
      <x:c r="E190" s="12"/>
      <x:c r="F190" s="12" t="s">
        <x:v>16</x:v>
      </x:c>
      <x:c r="G190" s="18">
        <x:v>429</x:v>
      </x:c>
      <x:c r="H190" s="21" t="e">
        <x:f>IF(SUMIFS(İndirimler!$C$2:$C$110,İndirimler!$A$2:$A$110,B190,İndirimler!$B$2:$B$110,C190)&gt;0,ROUND(G190*(1-SUMIFS(İndirimler!$C$2:$C$110,İndirimler!$A$2:$A$110,B190,İndirimler!$B$2:$B$110,C190)),2),"")</x:f>
        <x:v>#NAME?</x:v>
      </x:c>
      <x:c r="I190" s="24" t="e">
        <x:f>IF(SUMIFS(İndirimler!$D$2:$D$110,İndirimler!$A$2:$A$110,B190,İndirimler!$B$2:$B$110,C190)&gt;0,ROUND(G190*(1-SUMIFS(İndirimler!$D$2:$D$110,İndirimler!$A$2:$A$110,B190,İndirimler!$B$2:$B$110,C190)),2),"")</x:f>
        <x:v>#NAME?</x:v>
      </x:c>
      <x:c r="J190" s="12"/>
      <x:c r="K190" s="31"/>
    </x:row>
    <x:row r="191" ht="21.950000762939453" customHeight="1">
      <x:c r="A191" s="15" t="s">
        <x:v>335</x:v>
      </x:c>
      <x:c r="B191" s="12" t="s">
        <x:v>44</x:v>
      </x:c>
      <x:c r="C191" s="12" t="s">
        <x:v>33</x:v>
      </x:c>
      <x:c r="D191" s="12" t="s">
        <x:v>308</x:v>
      </x:c>
      <x:c r="E191" s="12" t="s">
        <x:v>60</x:v>
      </x:c>
      <x:c r="F191" s="12" t="s">
        <x:v>16</x:v>
      </x:c>
      <x:c r="G191" s="18">
        <x:v>274</x:v>
      </x:c>
      <x:c r="H191" s="21" t="e">
        <x:f>IF(SUMIFS(İndirimler!$C$2:$C$110,İndirimler!$A$2:$A$110,B191,İndirimler!$B$2:$B$110,C191)&gt;0,ROUND(G191*(1-SUMIFS(İndirimler!$C$2:$C$110,İndirimler!$A$2:$A$110,B191,İndirimler!$B$2:$B$110,C191)),2),"")</x:f>
        <x:v>#NAME?</x:v>
      </x:c>
      <x:c r="I191" s="24" t="e">
        <x:f>IF(SUMIFS(İndirimler!$D$2:$D$110,İndirimler!$A$2:$A$110,B191,İndirimler!$B$2:$B$110,C191)&gt;0,ROUND(G191*(1-SUMIFS(İndirimler!$D$2:$D$110,İndirimler!$A$2:$A$110,B191,İndirimler!$B$2:$B$110,C191)),2),"")</x:f>
        <x:v>#NAME?</x:v>
      </x:c>
      <x:c r="J191" s="12" t="s">
        <x:v>336</x:v>
      </x:c>
      <x:c r="K191" s="31"/>
    </x:row>
    <x:row r="192" ht="21.950000762939453" customHeight="1">
      <x:c r="A192" s="15" t="s">
        <x:v>337</x:v>
      </x:c>
      <x:c r="B192" s="12" t="s">
        <x:v>307</x:v>
      </x:c>
      <x:c r="C192" s="12" t="s">
        <x:v>33</x:v>
      </x:c>
      <x:c r="D192" s="12" t="s">
        <x:v>308</x:v>
      </x:c>
      <x:c r="E192" s="12"/>
      <x:c r="F192" s="12" t="s">
        <x:v>16</x:v>
      </x:c>
      <x:c r="G192" s="18"/>
      <x:c r="H192" s="21" t="e">
        <x:f>IF(SUMIFS(İndirimler!$C$2:$C$110,İndirimler!$A$2:$A$110,B192,İndirimler!$B$2:$B$110,C192)&gt;0,ROUND(G192*(1-SUMIFS(İndirimler!$C$2:$C$110,İndirimler!$A$2:$A$110,B192,İndirimler!$B$2:$B$110,C192)),2),"")</x:f>
        <x:v>#NAME?</x:v>
      </x:c>
      <x:c r="I192" s="24" t="e">
        <x:f>IF(SUMIFS(İndirimler!$D$2:$D$110,İndirimler!$A$2:$A$110,B192,İndirimler!$B$2:$B$110,C192)&gt;0,ROUND(G192*(1-SUMIFS(İndirimler!$D$2:$D$110,İndirimler!$A$2:$A$110,B192,İndirimler!$B$2:$B$110,C192)),2),"")</x:f>
        <x:v>#NAME?</x:v>
      </x:c>
      <x:c r="J192" s="12"/>
      <x:c r="K192" s="31" t="s">
        <x:v>338</x:v>
      </x:c>
    </x:row>
    <x:row r="193" ht="21.950000762939453" customHeight="1">
      <x:c r="A193" s="15" t="s">
        <x:v>339</x:v>
      </x:c>
      <x:c r="B193" s="12" t="s">
        <x:v>63</x:v>
      </x:c>
      <x:c r="C193" s="12" t="s">
        <x:v>33</x:v>
      </x:c>
      <x:c r="D193" s="12" t="s">
        <x:v>308</x:v>
      </x:c>
      <x:c r="E193" s="12" t="s">
        <x:v>64</x:v>
      </x:c>
      <x:c r="F193" s="12" t="s">
        <x:v>16</x:v>
      </x:c>
      <x:c r="G193" s="18">
        <x:v>499</x:v>
      </x:c>
      <x:c r="H193" s="21" t="e">
        <x:f>IF(SUMIFS(İndirimler!$C$2:$C$110,İndirimler!$A$2:$A$110,B193,İndirimler!$B$2:$B$110,C193)&gt;0,ROUND(G193*(1-SUMIFS(İndirimler!$C$2:$C$110,İndirimler!$A$2:$A$110,B193,İndirimler!$B$2:$B$110,C193)),2),"")</x:f>
        <x:v>#NAME?</x:v>
      </x:c>
      <x:c r="I193" s="24" t="e">
        <x:f>IF(SUMIFS(İndirimler!$D$2:$D$110,İndirimler!$A$2:$A$110,B193,İndirimler!$B$2:$B$110,C193)&gt;0,ROUND(G193*(1-SUMIFS(İndirimler!$D$2:$D$110,İndirimler!$A$2:$A$110,B193,İndirimler!$B$2:$B$110,C193)),2),"")</x:f>
        <x:v>#NAME?</x:v>
      </x:c>
      <x:c r="J193" s="12" t="s">
        <x:v>340</x:v>
      </x:c>
      <x:c r="K193" s="31"/>
    </x:row>
    <x:row r="194" ht="21.950000762939453" customHeight="1">
      <x:c r="A194" s="15" t="s">
        <x:v>341</x:v>
      </x:c>
      <x:c r="B194" s="12" t="s">
        <x:v>23</x:v>
      </x:c>
      <x:c r="C194" s="12" t="s">
        <x:v>33</x:v>
      </x:c>
      <x:c r="D194" s="12" t="s">
        <x:v>308</x:v>
      </x:c>
      <x:c r="E194" s="12"/>
      <x:c r="F194" s="12" t="s">
        <x:v>16</x:v>
      </x:c>
      <x:c r="G194" s="18">
        <x:v>560</x:v>
      </x:c>
      <x:c r="H194" s="21" t="e">
        <x:f>IF(SUMIFS(İndirimler!$C$2:$C$110,İndirimler!$A$2:$A$110,B194,İndirimler!$B$2:$B$110,C194)&gt;0,ROUND(G194*(1-SUMIFS(İndirimler!$C$2:$C$110,İndirimler!$A$2:$A$110,B194,İndirimler!$B$2:$B$110,C194)),2),"")</x:f>
        <x:v>#NAME?</x:v>
      </x:c>
      <x:c r="I194" s="24" t="e">
        <x:f>IF(SUMIFS(İndirimler!$D$2:$D$110,İndirimler!$A$2:$A$110,B194,İndirimler!$B$2:$B$110,C194)&gt;0,ROUND(G194*(1-SUMIFS(İndirimler!$D$2:$D$110,İndirimler!$A$2:$A$110,B194,İndirimler!$B$2:$B$110,C194)),2),"")</x:f>
        <x:v>#NAME?</x:v>
      </x:c>
      <x:c r="J194" s="30" t="s">
        <x:v>342</x:v>
      </x:c>
      <x:c r="K194" s="31"/>
    </x:row>
    <x:row r="195" ht="21.950000762939453" customHeight="1">
      <x:c r="A195" s="15" t="s">
        <x:v>343</x:v>
      </x:c>
      <x:c r="B195" s="12" t="s">
        <x:v>50</x:v>
      </x:c>
      <x:c r="C195" s="12" t="s">
        <x:v>33</x:v>
      </x:c>
      <x:c r="D195" s="12" t="s">
        <x:v>308</x:v>
      </x:c>
      <x:c r="E195" s="12" t="s">
        <x:v>69</x:v>
      </x:c>
      <x:c r="F195" s="12" t="s">
        <x:v>16</x:v>
      </x:c>
      <x:c r="G195" s="18">
        <x:v>546</x:v>
      </x:c>
      <x:c r="H195" s="21" t="e">
        <x:f>IF(SUMIFS(İndirimler!$C$2:$C$110,İndirimler!$A$2:$A$110,B195,İndirimler!$B$2:$B$110,C195)&gt;0,ROUND(G195*(1-SUMIFS(İndirimler!$C$2:$C$110,İndirimler!$A$2:$A$110,B195,İndirimler!$B$2:$B$110,C195)),2),"")</x:f>
        <x:v>#NAME?</x:v>
      </x:c>
      <x:c r="I195" s="24" t="e">
        <x:f>IF(SUMIFS(İndirimler!$D$2:$D$110,İndirimler!$A$2:$A$110,B195,İndirimler!$B$2:$B$110,C195)&gt;0,ROUND(G195*(1-SUMIFS(İndirimler!$D$2:$D$110,İndirimler!$A$2:$A$110,B195,İndirimler!$B$2:$B$110,C195)),2),"")</x:f>
        <x:v>#NAME?</x:v>
      </x:c>
      <x:c r="J195" s="12"/>
      <x:c r="K195" s="31"/>
    </x:row>
    <x:row r="196" ht="21.950000762939453" customHeight="1">
      <x:c r="A196" s="15" t="s">
        <x:v>344</x:v>
      </x:c>
      <x:c r="B196" s="12" t="s">
        <x:v>38</x:v>
      </x:c>
      <x:c r="C196" s="12" t="s">
        <x:v>33</x:v>
      </x:c>
      <x:c r="D196" s="12" t="s">
        <x:v>308</x:v>
      </x:c>
      <x:c r="E196" s="12" t="s">
        <x:v>69</x:v>
      </x:c>
      <x:c r="F196" s="12" t="s">
        <x:v>16</x:v>
      </x:c>
      <x:c r="G196" s="18">
        <x:v>409</x:v>
      </x:c>
      <x:c r="H196" s="21" t="e">
        <x:f>IF(SUMIFS(İndirimler!$C$2:$C$110,İndirimler!$A$2:$A$110,B196,İndirimler!$B$2:$B$110,C196)&gt;0,ROUND(G196*(1-SUMIFS(İndirimler!$C$2:$C$110,İndirimler!$A$2:$A$110,B196,İndirimler!$B$2:$B$110,C196)),2),"")</x:f>
        <x:v>#NAME?</x:v>
      </x:c>
      <x:c r="I196" s="24" t="e">
        <x:f>IF(SUMIFS(İndirimler!$D$2:$D$110,İndirimler!$A$2:$A$110,B196,İndirimler!$B$2:$B$110,C196)&gt;0,ROUND(G196*(1-SUMIFS(İndirimler!$D$2:$D$110,İndirimler!$A$2:$A$110,B196,İndirimler!$B$2:$B$110,C196)),2),"")</x:f>
        <x:v>#NAME?</x:v>
      </x:c>
      <x:c r="J196" s="12" t="s">
        <x:v>345</x:v>
      </x:c>
      <x:c r="K196" s="31"/>
    </x:row>
    <x:row r="197" ht="21.950000762939453" customHeight="1">
      <x:c r="A197" s="15" t="s">
        <x:v>346</x:v>
      </x:c>
      <x:c r="B197" s="12" t="s">
        <x:v>72</x:v>
      </x:c>
      <x:c r="C197" s="12" t="s">
        <x:v>33</x:v>
      </x:c>
      <x:c r="D197" s="12" t="s">
        <x:v>308</x:v>
      </x:c>
      <x:c r="E197" s="12"/>
      <x:c r="F197" s="12" t="s">
        <x:v>73</x:v>
      </x:c>
      <x:c r="G197" s="18">
        <x:v>455</x:v>
      </x:c>
      <x:c r="H197" s="21" t="e">
        <x:f>IF(SUMIFS(İndirimler!$C$2:$C$110,İndirimler!$A$2:$A$110,B197,İndirimler!$B$2:$B$110,C197)&gt;0,ROUND(G197*(1-SUMIFS(İndirimler!$C$2:$C$110,İndirimler!$A$2:$A$110,B197,İndirimler!$B$2:$B$110,C197)),2),"")</x:f>
        <x:v>#NAME?</x:v>
      </x:c>
      <x:c r="I197" s="24" t="e">
        <x:f>IF(SUMIFS(İndirimler!$D$2:$D$110,İndirimler!$A$2:$A$110,B197,İndirimler!$B$2:$B$110,C197)&gt;0,ROUND(G197*(1-SUMIFS(İndirimler!$D$2:$D$110,İndirimler!$A$2:$A$110,B197,İndirimler!$B$2:$B$110,C197)),2),"")</x:f>
        <x:v>#NAME?</x:v>
      </x:c>
      <x:c r="J197" s="12"/>
      <x:c r="K197" s="31"/>
    </x:row>
    <x:row r="198" ht="21.950000762939453" customHeight="1">
      <x:c r="A198" s="15" t="s">
        <x:v>347</x:v>
      </x:c>
      <x:c r="B198" s="12" t="s">
        <x:v>307</x:v>
      </x:c>
      <x:c r="C198" s="12" t="s">
        <x:v>76</x:v>
      </x:c>
      <x:c r="D198" s="12" t="s">
        <x:v>308</x:v>
      </x:c>
      <x:c r="E198" s="12" t="s">
        <x:v>309</x:v>
      </x:c>
      <x:c r="F198" s="12" t="s">
        <x:v>35</x:v>
      </x:c>
      <x:c r="G198" s="18">
        <x:v>615</x:v>
      </x:c>
      <x:c r="H198" s="21" t="e">
        <x:f>IF(SUMIFS(İndirimler!$C$2:$C$110,İndirimler!$A$2:$A$110,B198,İndirimler!$B$2:$B$110,C198)&gt;0,ROUND(G198*(1-SUMIFS(İndirimler!$C$2:$C$110,İndirimler!$A$2:$A$110,B198,İndirimler!$B$2:$B$110,C198)),2),"")</x:f>
        <x:v>#NAME?</x:v>
      </x:c>
      <x:c r="I198" s="24" t="e">
        <x:f>IF(SUMIFS(İndirimler!$D$2:$D$110,İndirimler!$A$2:$A$110,B198,İndirimler!$B$2:$B$110,C198)&gt;0,ROUND(G198*(1-SUMIFS(İndirimler!$D$2:$D$110,İndirimler!$A$2:$A$110,B198,İndirimler!$B$2:$B$110,C198)),2),"")</x:f>
        <x:v>#NAME?</x:v>
      </x:c>
      <x:c r="J198" s="12"/>
      <x:c r="K198" s="31" t="s">
        <x:v>348</x:v>
      </x:c>
    </x:row>
    <x:row r="199" ht="21.950000762939453" customHeight="1">
      <x:c r="A199" s="15" t="s">
        <x:v>349</x:v>
      </x:c>
      <x:c r="B199" s="12" t="s">
        <x:v>25</x:v>
      </x:c>
      <x:c r="C199" s="12" t="s">
        <x:v>76</x:v>
      </x:c>
      <x:c r="D199" s="12" t="s">
        <x:v>308</x:v>
      </x:c>
      <x:c r="E199" s="12" t="s">
        <x:v>127</x:v>
      </x:c>
      <x:c r="F199" s="12" t="s">
        <x:v>35</x:v>
      </x:c>
      <x:c r="G199" s="18">
        <x:v>615</x:v>
      </x:c>
      <x:c r="H199" s="21" t="e">
        <x:f>IF(SUMIFS(İndirimler!$C$2:$C$110,İndirimler!$A$2:$A$110,B199,İndirimler!$B$2:$B$110,C199)&gt;0,ROUND(G199*(1-SUMIFS(İndirimler!$C$2:$C$110,İndirimler!$A$2:$A$110,B199,İndirimler!$B$2:$B$110,C199)),2),"")</x:f>
        <x:v>#NAME?</x:v>
      </x:c>
      <x:c r="I199" s="24" t="e">
        <x:f>IF(SUMIFS(İndirimler!$D$2:$D$110,İndirimler!$A$2:$A$110,B199,İndirimler!$B$2:$B$110,C199)&gt;0,ROUND(G199*(1-SUMIFS(İndirimler!$D$2:$D$110,İndirimler!$A$2:$A$110,B199,İndirimler!$B$2:$B$110,C199)),2),"")</x:f>
        <x:v>#NAME?</x:v>
      </x:c>
      <x:c r="J199" s="12"/>
      <x:c r="K199" s="31"/>
    </x:row>
    <x:row r="200" ht="21.950000762939453" customHeight="1">
      <x:c r="A200" s="15" t="s">
        <x:v>350</x:v>
      </x:c>
      <x:c r="B200" s="12" t="s">
        <x:v>32</x:v>
      </x:c>
      <x:c r="C200" s="12" t="s">
        <x:v>76</x:v>
      </x:c>
      <x:c r="D200" s="12" t="s">
        <x:v>308</x:v>
      </x:c>
      <x:c r="E200" s="12"/>
      <x:c r="F200" s="12" t="s">
        <x:v>35</x:v>
      </x:c>
      <x:c r="G200" s="18">
        <x:v>499</x:v>
      </x:c>
      <x:c r="H200" s="21" t="e">
        <x:f>IF(SUMIFS(İndirimler!$C$2:$C$110,İndirimler!$A$2:$A$110,B200,İndirimler!$B$2:$B$110,C200)&gt;0,ROUND(G200*(1-SUMIFS(İndirimler!$C$2:$C$110,İndirimler!$A$2:$A$110,B200,İndirimler!$B$2:$B$110,C200)),2),"")</x:f>
        <x:v>#NAME?</x:v>
      </x:c>
      <x:c r="I200" s="24" t="e">
        <x:f>IF(SUMIFS(İndirimler!$D$2:$D$110,İndirimler!$A$2:$A$110,B200,İndirimler!$B$2:$B$110,C200)&gt;0,ROUND(G200*(1-SUMIFS(İndirimler!$D$2:$D$110,İndirimler!$A$2:$A$110,B200,İndirimler!$B$2:$B$110,C200)),2),"")</x:f>
        <x:v>#NAME?</x:v>
      </x:c>
      <x:c r="J200" s="30" t="s">
        <x:v>351</x:v>
      </x:c>
      <x:c r="K200" s="31"/>
    </x:row>
    <x:row r="201" ht="21.950000762939453" customHeight="1">
      <x:c r="A201" s="15" t="s">
        <x:v>352</x:v>
      </x:c>
      <x:c r="B201" s="12" t="s">
        <x:v>38</x:v>
      </x:c>
      <x:c r="C201" s="12" t="s">
        <x:v>76</x:v>
      </x:c>
      <x:c r="D201" s="12" t="s">
        <x:v>308</x:v>
      </x:c>
      <x:c r="E201" s="12"/>
      <x:c r="F201" s="12" t="s">
        <x:v>35</x:v>
      </x:c>
      <x:c r="G201" s="18">
        <x:v>825</x:v>
      </x:c>
      <x:c r="H201" s="21" t="e">
        <x:f>IF(SUMIFS(İndirimler!$C$2:$C$110,İndirimler!$A$2:$A$110,B201,İndirimler!$B$2:$B$110,C201)&gt;0,ROUND(G201*(1-SUMIFS(İndirimler!$C$2:$C$110,İndirimler!$A$2:$A$110,B201,İndirimler!$B$2:$B$110,C201)),2),"")</x:f>
        <x:v>#NAME?</x:v>
      </x:c>
      <x:c r="I201" s="24" t="e">
        <x:f>IF(SUMIFS(İndirimler!$D$2:$D$110,İndirimler!$A$2:$A$110,B201,İndirimler!$B$2:$B$110,C201)&gt;0,ROUND(G201*(1-SUMIFS(İndirimler!$D$2:$D$110,İndirimler!$A$2:$A$110,B201,İndirimler!$B$2:$B$110,C201)),2),"")</x:f>
        <x:v>#NAME?</x:v>
      </x:c>
      <x:c r="J201" s="12" t="s">
        <x:v>353</x:v>
      </x:c>
      <x:c r="K201" s="31"/>
    </x:row>
    <x:row r="202" ht="21.950000762939453" customHeight="1">
      <x:c r="A202" s="15" t="s">
        <x:v>354</x:v>
      </x:c>
      <x:c r="B202" s="12" t="s">
        <x:v>139</x:v>
      </x:c>
      <x:c r="C202" s="12" t="s">
        <x:v>76</x:v>
      </x:c>
      <x:c r="D202" s="12" t="s">
        <x:v>308</x:v>
      </x:c>
      <x:c r="E202" s="12" t="s">
        <x:v>317</x:v>
      </x:c>
      <x:c r="F202" s="12" t="s">
        <x:v>42</x:v>
      </x:c>
      <x:c r="G202" s="18">
        <x:v>570</x:v>
      </x:c>
      <x:c r="H202" s="21" t="e">
        <x:f>IF(SUMIFS(İndirimler!$C$2:$C$110,İndirimler!$A$2:$A$110,B202,İndirimler!$B$2:$B$110,C202)&gt;0,ROUND(G202*(1-SUMIFS(İndirimler!$C$2:$C$110,İndirimler!$A$2:$A$110,B202,İndirimler!$B$2:$B$110,C202)),2),"")</x:f>
        <x:v>#NAME?</x:v>
      </x:c>
      <x:c r="I202" s="24" t="e">
        <x:f>IF(SUMIFS(İndirimler!$D$2:$D$110,İndirimler!$A$2:$A$110,B202,İndirimler!$B$2:$B$110,C202)&gt;0,ROUND(G202*(1-SUMIFS(İndirimler!$D$2:$D$110,İndirimler!$A$2:$A$110,B202,İndirimler!$B$2:$B$110,C202)),2),"")</x:f>
        <x:v>#NAME?</x:v>
      </x:c>
      <x:c r="J202" s="12" t="s">
        <x:v>355</x:v>
      </x:c>
      <x:c r="K202" s="31"/>
    </x:row>
    <x:row r="203" ht="21.950000762939453" customHeight="1">
      <x:c r="A203" s="15" t="s">
        <x:v>356</x:v>
      </x:c>
      <x:c r="B203" s="12" t="s">
        <x:v>18</x:v>
      </x:c>
      <x:c r="C203" s="12" t="s">
        <x:v>76</x:v>
      </x:c>
      <x:c r="D203" s="12" t="s">
        <x:v>308</x:v>
      </x:c>
      <x:c r="E203" s="12" t="s">
        <x:v>41</x:v>
      </x:c>
      <x:c r="F203" s="12" t="s">
        <x:v>42</x:v>
      </x:c>
      <x:c r="G203" s="18"/>
      <x:c r="H203" s="21" t="e">
        <x:f>IF(SUMIFS(İndirimler!$C$2:$C$110,İndirimler!$A$2:$A$110,B203,İndirimler!$B$2:$B$110,C203)&gt;0,ROUND(G203*(1-SUMIFS(İndirimler!$C$2:$C$110,İndirimler!$A$2:$A$110,B203,İndirimler!$B$2:$B$110,C203)),2),"")</x:f>
        <x:v>#NAME?</x:v>
      </x:c>
      <x:c r="I203" s="24" t="e">
        <x:f>IF(SUMIFS(İndirimler!$D$2:$D$110,İndirimler!$A$2:$A$110,B203,İndirimler!$B$2:$B$110,C203)&gt;0,ROUND(G203*(1-SUMIFS(İndirimler!$D$2:$D$110,İndirimler!$A$2:$A$110,B203,İndirimler!$B$2:$B$110,C203)),2),"")</x:f>
        <x:v>#NAME?</x:v>
      </x:c>
      <x:c r="J203" s="12"/>
      <x:c r="K203" s="31"/>
    </x:row>
    <x:row r="204" ht="21.950000762939453" customHeight="1">
      <x:c r="A204" s="15" t="s">
        <x:v>357</x:v>
      </x:c>
      <x:c r="B204" s="12" t="s">
        <x:v>44</x:v>
      </x:c>
      <x:c r="C204" s="12" t="s">
        <x:v>76</x:v>
      </x:c>
      <x:c r="D204" s="12" t="s">
        <x:v>308</x:v>
      </x:c>
      <x:c r="E204" s="12" t="s">
        <x:v>45</x:v>
      </x:c>
      <x:c r="F204" s="12" t="s">
        <x:v>42</x:v>
      </x:c>
      <x:c r="G204" s="18">
        <x:v>322</x:v>
      </x:c>
      <x:c r="H204" s="21" t="e">
        <x:f>IF(SUMIFS(İndirimler!$C$2:$C$110,İndirimler!$A$2:$A$110,B204,İndirimler!$B$2:$B$110,C204)&gt;0,ROUND(G204*(1-SUMIFS(İndirimler!$C$2:$C$110,İndirimler!$A$2:$A$110,B204,İndirimler!$B$2:$B$110,C204)),2),"")</x:f>
        <x:v>#NAME?</x:v>
      </x:c>
      <x:c r="I204" s="24" t="e">
        <x:f>IF(SUMIFS(İndirimler!$D$2:$D$110,İndirimler!$A$2:$A$110,B204,İndirimler!$B$2:$B$110,C204)&gt;0,ROUND(G204*(1-SUMIFS(İndirimler!$D$2:$D$110,İndirimler!$A$2:$A$110,B204,İndirimler!$B$2:$B$110,C204)),2),"")</x:f>
        <x:v>#NAME?</x:v>
      </x:c>
      <x:c r="J204" s="12" t="s">
        <x:v>358</x:v>
      </x:c>
      <x:c r="K204" s="31"/>
    </x:row>
    <x:row r="205" ht="21.950000762939453" customHeight="1">
      <x:c r="A205" s="15" t="s">
        <x:v>359</x:v>
      </x:c>
      <x:c r="B205" s="12" t="s">
        <x:v>23</x:v>
      </x:c>
      <x:c r="C205" s="12" t="s">
        <x:v>76</x:v>
      </x:c>
      <x:c r="D205" s="12" t="s">
        <x:v>308</x:v>
      </x:c>
      <x:c r="E205" s="12"/>
      <x:c r="F205" s="12" t="s">
        <x:v>42</x:v>
      </x:c>
      <x:c r="G205" s="18">
        <x:v>608</x:v>
      </x:c>
      <x:c r="H205" s="21" t="e">
        <x:f>IF(SUMIFS(İndirimler!$C$2:$C$110,İndirimler!$A$2:$A$110,B205,İndirimler!$B$2:$B$110,C205)&gt;0,ROUND(G205*(1-SUMIFS(İndirimler!$C$2:$C$110,İndirimler!$A$2:$A$110,B205,İndirimler!$B$2:$B$110,C205)),2),"")</x:f>
        <x:v>#NAME?</x:v>
      </x:c>
      <x:c r="I205" s="24" t="e">
        <x:f>IF(SUMIFS(İndirimler!$D$2:$D$110,İndirimler!$A$2:$A$110,B205,İndirimler!$B$2:$B$110,C205)&gt;0,ROUND(G205*(1-SUMIFS(İndirimler!$D$2:$D$110,İndirimler!$A$2:$A$110,B205,İndirimler!$B$2:$B$110,C205)),2),"")</x:f>
        <x:v>#NAME?</x:v>
      </x:c>
      <x:c r="J205" s="12" t="s">
        <x:v>360</x:v>
      </x:c>
      <x:c r="K205" s="31"/>
    </x:row>
    <x:row r="206" ht="21.950000762939453" customHeight="1">
      <x:c r="A206" s="15" t="s">
        <x:v>361</x:v>
      </x:c>
      <x:c r="B206" s="12" t="s">
        <x:v>50</x:v>
      </x:c>
      <x:c r="C206" s="12" t="s">
        <x:v>76</x:v>
      </x:c>
      <x:c r="D206" s="12" t="s">
        <x:v>308</x:v>
      </x:c>
      <x:c r="E206" s="12" t="s">
        <x:v>51</x:v>
      </x:c>
      <x:c r="F206" s="12" t="s">
        <x:v>42</x:v>
      </x:c>
      <x:c r="G206" s="18">
        <x:v>540</x:v>
      </x:c>
      <x:c r="H206" s="21" t="e">
        <x:f>IF(SUMIFS(İndirimler!$C$2:$C$110,İndirimler!$A$2:$A$110,B206,İndirimler!$B$2:$B$110,C206)&gt;0,ROUND(G206*(1-SUMIFS(İndirimler!$C$2:$C$110,İndirimler!$A$2:$A$110,B206,İndirimler!$B$2:$B$110,C206)),2),"")</x:f>
        <x:v>#NAME?</x:v>
      </x:c>
      <x:c r="I206" s="24" t="e">
        <x:f>IF(SUMIFS(İndirimler!$D$2:$D$110,İndirimler!$A$2:$A$110,B206,İndirimler!$B$2:$B$110,C206)&gt;0,ROUND(G206*(1-SUMIFS(İndirimler!$D$2:$D$110,İndirimler!$A$2:$A$110,B206,İndirimler!$B$2:$B$110,C206)),2),"")</x:f>
        <x:v>#NAME?</x:v>
      </x:c>
      <x:c r="J206" s="12"/>
      <x:c r="K206" s="31"/>
    </x:row>
    <x:row r="207" ht="21.950000762939453" customHeight="1">
      <x:c r="A207" s="15" t="s">
        <x:v>362</x:v>
      </x:c>
      <x:c r="B207" s="12" t="s">
        <x:v>326</x:v>
      </x:c>
      <x:c r="C207" s="12" t="s">
        <x:v>76</x:v>
      </x:c>
      <x:c r="D207" s="12" t="s">
        <x:v>308</x:v>
      </x:c>
      <x:c r="E207" s="12"/>
      <x:c r="F207" s="12" t="s">
        <x:v>42</x:v>
      </x:c>
      <x:c r="G207" s="18">
        <x:v>555</x:v>
      </x:c>
      <x:c r="H207" s="21" t="e">
        <x:f>IF(SUMIFS(İndirimler!$C$2:$C$110,İndirimler!$A$2:$A$110,B207,İndirimler!$B$2:$B$110,C207)&gt;0,ROUND(G207*(1-SUMIFS(İndirimler!$C$2:$C$110,İndirimler!$A$2:$A$110,B207,İndirimler!$B$2:$B$110,C207)),2),"")</x:f>
        <x:v>#NAME?</x:v>
      </x:c>
      <x:c r="I207" s="24" t="e">
        <x:f>IF(SUMIFS(İndirimler!$D$2:$D$110,İndirimler!$A$2:$A$110,B207,İndirimler!$B$2:$B$110,C207)&gt;0,ROUND(G207*(1-SUMIFS(İndirimler!$D$2:$D$110,İndirimler!$A$2:$A$110,B207,İndirimler!$B$2:$B$110,C207)),2),"")</x:f>
        <x:v>#NAME?</x:v>
      </x:c>
      <x:c r="J207" s="12"/>
      <x:c r="K207" s="31"/>
    </x:row>
    <x:row r="208" ht="21.950000762939453" customHeight="1">
      <x:c r="A208" s="15" t="s">
        <x:v>363</x:v>
      </x:c>
      <x:c r="B208" s="12" t="s">
        <x:v>55</x:v>
      </x:c>
      <x:c r="C208" s="12" t="s">
        <x:v>76</x:v>
      </x:c>
      <x:c r="D208" s="12" t="s">
        <x:v>308</x:v>
      </x:c>
      <x:c r="E208" s="12"/>
      <x:c r="F208" s="12" t="s">
        <x:v>16</x:v>
      </x:c>
      <x:c r="G208" s="18">
        <x:v>434</x:v>
      </x:c>
      <x:c r="H208" s="21" t="e">
        <x:f>IF(SUMIFS(İndirimler!$C$2:$C$110,İndirimler!$A$2:$A$110,B208,İndirimler!$B$2:$B$110,C208)&gt;0,ROUND(G208*(1-SUMIFS(İndirimler!$C$2:$C$110,İndirimler!$A$2:$A$110,B208,İndirimler!$B$2:$B$110,C208)),2),"")</x:f>
        <x:v>#NAME?</x:v>
      </x:c>
      <x:c r="I208" s="24" t="e">
        <x:f>IF(SUMIFS(İndirimler!$D$2:$D$110,İndirimler!$A$2:$A$110,B208,İndirimler!$B$2:$B$110,C208)&gt;0,ROUND(G208*(1-SUMIFS(İndirimler!$D$2:$D$110,İndirimler!$A$2:$A$110,B208,İndirimler!$B$2:$B$110,C208)),2),"")</x:f>
        <x:v>#NAME?</x:v>
      </x:c>
      <x:c r="J208" s="12" t="s">
        <x:v>364</x:v>
      </x:c>
      <x:c r="K208" s="31"/>
    </x:row>
    <x:row r="209" ht="21.950000762939453" customHeight="1">
      <x:c r="A209" s="15" t="s">
        <x:v>365</x:v>
      </x:c>
      <x:c r="B209" s="12" t="s">
        <x:v>139</x:v>
      </x:c>
      <x:c r="C209" s="12" t="s">
        <x:v>76</x:v>
      </x:c>
      <x:c r="D209" s="12" t="s">
        <x:v>308</x:v>
      </x:c>
      <x:c r="E209" s="12"/>
      <x:c r="F209" s="12" t="s">
        <x:v>16</x:v>
      </x:c>
      <x:c r="G209" s="18">
        <x:v>528</x:v>
      </x:c>
      <x:c r="H209" s="21" t="e">
        <x:f>IF(SUMIFS(İndirimler!$C$2:$C$110,İndirimler!$A$2:$A$110,B209,İndirimler!$B$2:$B$110,C209)&gt;0,ROUND(G209*(1-SUMIFS(İndirimler!$C$2:$C$110,İndirimler!$A$2:$A$110,B209,İndirimler!$B$2:$B$110,C209)),2),"")</x:f>
        <x:v>#NAME?</x:v>
      </x:c>
      <x:c r="I209" s="24" t="e">
        <x:f>IF(SUMIFS(İndirimler!$D$2:$D$110,İndirimler!$A$2:$A$110,B209,İndirimler!$B$2:$B$110,C209)&gt;0,ROUND(G209*(1-SUMIFS(İndirimler!$D$2:$D$110,İndirimler!$A$2:$A$110,B209,İndirimler!$B$2:$B$110,C209)),2),"")</x:f>
        <x:v>#NAME?</x:v>
      </x:c>
      <x:c r="J209" s="12" t="s">
        <x:v>366</x:v>
      </x:c>
      <x:c r="K209" s="31"/>
    </x:row>
    <x:row r="210" ht="21.950000762939453" customHeight="1">
      <x:c r="A210" s="15" t="s">
        <x:v>367</x:v>
      </x:c>
      <x:c r="B210" s="12" t="s">
        <x:v>18</x:v>
      </x:c>
      <x:c r="C210" s="12" t="s">
        <x:v>76</x:v>
      </x:c>
      <x:c r="D210" s="12" t="s">
        <x:v>308</x:v>
      </x:c>
      <x:c r="E210" s="12"/>
      <x:c r="F210" s="12" t="s">
        <x:v>16</x:v>
      </x:c>
      <x:c r="G210" s="18">
        <x:v>519</x:v>
      </x:c>
      <x:c r="H210" s="21" t="e">
        <x:f>IF(SUMIFS(İndirimler!$C$2:$C$110,İndirimler!$A$2:$A$110,B210,İndirimler!$B$2:$B$110,C210)&gt;0,ROUND(G210*(1-SUMIFS(İndirimler!$C$2:$C$110,İndirimler!$A$2:$A$110,B210,İndirimler!$B$2:$B$110,C210)),2),"")</x:f>
        <x:v>#NAME?</x:v>
      </x:c>
      <x:c r="I210" s="24" t="e">
        <x:f>IF(SUMIFS(İndirimler!$D$2:$D$110,İndirimler!$A$2:$A$110,B210,İndirimler!$B$2:$B$110,C210)&gt;0,ROUND(G210*(1-SUMIFS(İndirimler!$D$2:$D$110,İndirimler!$A$2:$A$110,B210,İndirimler!$B$2:$B$110,C210)),2),"")</x:f>
        <x:v>#NAME?</x:v>
      </x:c>
      <x:c r="J210" s="30" t="s">
        <x:v>368</x:v>
      </x:c>
      <x:c r="K210" s="31"/>
    </x:row>
    <x:row r="211" ht="21.950000762939453" customHeight="1">
      <x:c r="A211" s="15" t="s">
        <x:v>369</x:v>
      </x:c>
      <x:c r="B211" s="12" t="s">
        <x:v>334</x:v>
      </x:c>
      <x:c r="C211" s="12" t="s">
        <x:v>76</x:v>
      </x:c>
      <x:c r="D211" s="12" t="s">
        <x:v>308</x:v>
      </x:c>
      <x:c r="E211" s="12"/>
      <x:c r="F211" s="12" t="s">
        <x:v>16</x:v>
      </x:c>
      <x:c r="G211" s="18">
        <x:v>479</x:v>
      </x:c>
      <x:c r="H211" s="21" t="e">
        <x:f>IF(SUMIFS(İndirimler!$C$2:$C$110,İndirimler!$A$2:$A$110,B211,İndirimler!$B$2:$B$110,C211)&gt;0,ROUND(G211*(1-SUMIFS(İndirimler!$C$2:$C$110,İndirimler!$A$2:$A$110,B211,İndirimler!$B$2:$B$110,C211)),2),"")</x:f>
        <x:v>#NAME?</x:v>
      </x:c>
      <x:c r="I211" s="24" t="e">
        <x:f>IF(SUMIFS(İndirimler!$D$2:$D$110,İndirimler!$A$2:$A$110,B211,İndirimler!$B$2:$B$110,C211)&gt;0,ROUND(G211*(1-SUMIFS(İndirimler!$D$2:$D$110,İndirimler!$A$2:$A$110,B211,İndirimler!$B$2:$B$110,C211)),2),"")</x:f>
        <x:v>#NAME?</x:v>
      </x:c>
      <x:c r="J211" s="12"/>
      <x:c r="K211" s="31"/>
    </x:row>
    <x:row r="212" ht="21.950000762939453" customHeight="1">
      <x:c r="A212" s="15" t="s">
        <x:v>370</x:v>
      </x:c>
      <x:c r="B212" s="12" t="s">
        <x:v>334</x:v>
      </x:c>
      <x:c r="C212" s="12" t="s">
        <x:v>76</x:v>
      </x:c>
      <x:c r="D212" s="12" t="s">
        <x:v>308</x:v>
      </x:c>
      <x:c r="E212" s="12"/>
      <x:c r="F212" s="12" t="s">
        <x:v>16</x:v>
      </x:c>
      <x:c r="G212" s="18">
        <x:v>479</x:v>
      </x:c>
      <x:c r="H212" s="21" t="e">
        <x:f>IF(SUMIFS(İndirimler!$C$2:$C$110,İndirimler!$A$2:$A$110,B212,İndirimler!$B$2:$B$110,C212)&gt;0,ROUND(G212*(1-SUMIFS(İndirimler!$C$2:$C$110,İndirimler!$A$2:$A$110,B212,İndirimler!$B$2:$B$110,C212)),2),"")</x:f>
        <x:v>#NAME?</x:v>
      </x:c>
      <x:c r="I212" s="24" t="e">
        <x:f>IF(SUMIFS(İndirimler!$D$2:$D$110,İndirimler!$A$2:$A$110,B212,İndirimler!$B$2:$B$110,C212)&gt;0,ROUND(G212*(1-SUMIFS(İndirimler!$D$2:$D$110,İndirimler!$A$2:$A$110,B212,İndirimler!$B$2:$B$110,C212)),2),"")</x:f>
        <x:v>#NAME?</x:v>
      </x:c>
      <x:c r="J212" s="12"/>
      <x:c r="K212" s="31"/>
    </x:row>
    <x:row r="213" ht="21.950000762939453" customHeight="1">
      <x:c r="A213" s="15" t="s">
        <x:v>371</x:v>
      </x:c>
      <x:c r="B213" s="12" t="s">
        <x:v>44</x:v>
      </x:c>
      <x:c r="C213" s="12" t="s">
        <x:v>76</x:v>
      </x:c>
      <x:c r="D213" s="12" t="s">
        <x:v>308</x:v>
      </x:c>
      <x:c r="E213" s="12" t="s">
        <x:v>60</x:v>
      </x:c>
      <x:c r="F213" s="12" t="s">
        <x:v>16</x:v>
      </x:c>
      <x:c r="G213" s="18">
        <x:v>274</x:v>
      </x:c>
      <x:c r="H213" s="21" t="e">
        <x:f>IF(SUMIFS(İndirimler!$C$2:$C$110,İndirimler!$A$2:$A$110,B213,İndirimler!$B$2:$B$110,C213)&gt;0,ROUND(G213*(1-SUMIFS(İndirimler!$C$2:$C$110,İndirimler!$A$2:$A$110,B213,İndirimler!$B$2:$B$110,C213)),2),"")</x:f>
        <x:v>#NAME?</x:v>
      </x:c>
      <x:c r="I213" s="24" t="e">
        <x:f>IF(SUMIFS(İndirimler!$D$2:$D$110,İndirimler!$A$2:$A$110,B213,İndirimler!$B$2:$B$110,C213)&gt;0,ROUND(G213*(1-SUMIFS(İndirimler!$D$2:$D$110,İndirimler!$A$2:$A$110,B213,İndirimler!$B$2:$B$110,C213)),2),"")</x:f>
        <x:v>#NAME?</x:v>
      </x:c>
      <x:c r="J213" s="12" t="s">
        <x:v>372</x:v>
      </x:c>
      <x:c r="K213" s="31"/>
    </x:row>
    <x:row r="214" ht="21.950000762939453" customHeight="1">
      <x:c r="A214" s="15" t="s">
        <x:v>373</x:v>
      </x:c>
      <x:c r="B214" s="12" t="s">
        <x:v>307</x:v>
      </x:c>
      <x:c r="C214" s="12" t="s">
        <x:v>76</x:v>
      </x:c>
      <x:c r="D214" s="12" t="s">
        <x:v>308</x:v>
      </x:c>
      <x:c r="E214" s="12"/>
      <x:c r="F214" s="12" t="s">
        <x:v>16</x:v>
      </x:c>
      <x:c r="G214" s="18"/>
      <x:c r="H214" s="21" t="e">
        <x:f>IF(SUMIFS(İndirimler!$C$2:$C$110,İndirimler!$A$2:$A$110,B214,İndirimler!$B$2:$B$110,C214)&gt;0,ROUND(G214*(1-SUMIFS(İndirimler!$C$2:$C$110,İndirimler!$A$2:$A$110,B214,İndirimler!$B$2:$B$110,C214)),2),"")</x:f>
        <x:v>#NAME?</x:v>
      </x:c>
      <x:c r="I214" s="24" t="e">
        <x:f>IF(SUMIFS(İndirimler!$D$2:$D$110,İndirimler!$A$2:$A$110,B214,İndirimler!$B$2:$B$110,C214)&gt;0,ROUND(G214*(1-SUMIFS(İndirimler!$D$2:$D$110,İndirimler!$A$2:$A$110,B214,İndirimler!$B$2:$B$110,C214)),2),"")</x:f>
        <x:v>#NAME?</x:v>
      </x:c>
      <x:c r="J214" s="12"/>
      <x:c r="K214" s="31" t="s">
        <x:v>374</x:v>
      </x:c>
    </x:row>
    <x:row r="215" ht="21.950000762939453" customHeight="1">
      <x:c r="A215" s="15" t="s">
        <x:v>375</x:v>
      </x:c>
      <x:c r="B215" s="12" t="s">
        <x:v>63</x:v>
      </x:c>
      <x:c r="C215" s="12" t="s">
        <x:v>76</x:v>
      </x:c>
      <x:c r="D215" s="12" t="s">
        <x:v>308</x:v>
      </x:c>
      <x:c r="E215" s="12" t="s">
        <x:v>64</x:v>
      </x:c>
      <x:c r="F215" s="12" t="s">
        <x:v>16</x:v>
      </x:c>
      <x:c r="G215" s="18">
        <x:v>525</x:v>
      </x:c>
      <x:c r="H215" s="21" t="e">
        <x:f>IF(SUMIFS(İndirimler!$C$2:$C$110,İndirimler!$A$2:$A$110,B215,İndirimler!$B$2:$B$110,C215)&gt;0,ROUND(G215*(1-SUMIFS(İndirimler!$C$2:$C$110,İndirimler!$A$2:$A$110,B215,İndirimler!$B$2:$B$110,C215)),2),"")</x:f>
        <x:v>#NAME?</x:v>
      </x:c>
      <x:c r="I215" s="24" t="e">
        <x:f>IF(SUMIFS(İndirimler!$D$2:$D$110,İndirimler!$A$2:$A$110,B215,İndirimler!$B$2:$B$110,C215)&gt;0,ROUND(G215*(1-SUMIFS(İndirimler!$D$2:$D$110,İndirimler!$A$2:$A$110,B215,İndirimler!$B$2:$B$110,C215)),2),"")</x:f>
        <x:v>#NAME?</x:v>
      </x:c>
      <x:c r="J215" s="12" t="s">
        <x:v>376</x:v>
      </x:c>
      <x:c r="K215" s="31"/>
    </x:row>
    <x:row r="216" ht="21.950000762939453" customHeight="1">
      <x:c r="A216" s="15" t="s">
        <x:v>377</x:v>
      </x:c>
      <x:c r="B216" s="12" t="s">
        <x:v>23</x:v>
      </x:c>
      <x:c r="C216" s="12" t="s">
        <x:v>76</x:v>
      </x:c>
      <x:c r="D216" s="12" t="s">
        <x:v>308</x:v>
      </x:c>
      <x:c r="E216" s="12"/>
      <x:c r="F216" s="12" t="s">
        <x:v>16</x:v>
      </x:c>
      <x:c r="G216" s="18">
        <x:v>590</x:v>
      </x:c>
      <x:c r="H216" s="21" t="e">
        <x:f>IF(SUMIFS(İndirimler!$C$2:$C$110,İndirimler!$A$2:$A$110,B216,İndirimler!$B$2:$B$110,C216)&gt;0,ROUND(G216*(1-SUMIFS(İndirimler!$C$2:$C$110,İndirimler!$A$2:$A$110,B216,İndirimler!$B$2:$B$110,C216)),2),"")</x:f>
        <x:v>#NAME?</x:v>
      </x:c>
      <x:c r="I216" s="24" t="e">
        <x:f>IF(SUMIFS(İndirimler!$D$2:$D$110,İndirimler!$A$2:$A$110,B216,İndirimler!$B$2:$B$110,C216)&gt;0,ROUND(G216*(1-SUMIFS(İndirimler!$D$2:$D$110,İndirimler!$A$2:$A$110,B216,İndirimler!$B$2:$B$110,C216)),2),"")</x:f>
        <x:v>#NAME?</x:v>
      </x:c>
      <x:c r="J216" s="12" t="s">
        <x:v>378</x:v>
      </x:c>
      <x:c r="K216" s="31"/>
    </x:row>
    <x:row r="217" ht="21.950000762939453" customHeight="1">
      <x:c r="A217" s="15" t="s">
        <x:v>379</x:v>
      </x:c>
      <x:c r="B217" s="12" t="s">
        <x:v>50</x:v>
      </x:c>
      <x:c r="C217" s="12" t="s">
        <x:v>76</x:v>
      </x:c>
      <x:c r="D217" s="12" t="s">
        <x:v>308</x:v>
      </x:c>
      <x:c r="E217" s="12" t="s">
        <x:v>69</x:v>
      </x:c>
      <x:c r="F217" s="12" t="s">
        <x:v>16</x:v>
      </x:c>
      <x:c r="G217" s="18">
        <x:v>458</x:v>
      </x:c>
      <x:c r="H217" s="21" t="e">
        <x:f>IF(SUMIFS(İndirimler!$C$2:$C$110,İndirimler!$A$2:$A$110,B217,İndirimler!$B$2:$B$110,C217)&gt;0,ROUND(G217*(1-SUMIFS(İndirimler!$C$2:$C$110,İndirimler!$A$2:$A$110,B217,İndirimler!$B$2:$B$110,C217)),2),"")</x:f>
        <x:v>#NAME?</x:v>
      </x:c>
      <x:c r="I217" s="24" t="e">
        <x:f>IF(SUMIFS(İndirimler!$D$2:$D$110,İndirimler!$A$2:$A$110,B217,İndirimler!$B$2:$B$110,C217)&gt;0,ROUND(G217*(1-SUMIFS(İndirimler!$D$2:$D$110,İndirimler!$A$2:$A$110,B217,İndirimler!$B$2:$B$110,C217)),2),"")</x:f>
        <x:v>#NAME?</x:v>
      </x:c>
      <x:c r="J217" s="12"/>
      <x:c r="K217" s="31"/>
    </x:row>
    <x:row r="218" ht="21.950000762939453" customHeight="1">
      <x:c r="A218" s="15" t="s">
        <x:v>380</x:v>
      </x:c>
      <x:c r="B218" s="12" t="s">
        <x:v>38</x:v>
      </x:c>
      <x:c r="C218" s="12" t="s">
        <x:v>76</x:v>
      </x:c>
      <x:c r="D218" s="12" t="s">
        <x:v>308</x:v>
      </x:c>
      <x:c r="E218" s="12" t="s">
        <x:v>69</x:v>
      </x:c>
      <x:c r="F218" s="12" t="s">
        <x:v>16</x:v>
      </x:c>
      <x:c r="G218" s="18">
        <x:v>505</x:v>
      </x:c>
      <x:c r="H218" s="21" t="e">
        <x:f>IF(SUMIFS(İndirimler!$C$2:$C$110,İndirimler!$A$2:$A$110,B218,İndirimler!$B$2:$B$110,C218)&gt;0,ROUND(G218*(1-SUMIFS(İndirimler!$C$2:$C$110,İndirimler!$A$2:$A$110,B218,İndirimler!$B$2:$B$110,C218)),2),"")</x:f>
        <x:v>#NAME?</x:v>
      </x:c>
      <x:c r="I218" s="24" t="e">
        <x:f>IF(SUMIFS(İndirimler!$D$2:$D$110,İndirimler!$A$2:$A$110,B218,İndirimler!$B$2:$B$110,C218)&gt;0,ROUND(G218*(1-SUMIFS(İndirimler!$D$2:$D$110,İndirimler!$A$2:$A$110,B218,İndirimler!$B$2:$B$110,C218)),2),"")</x:f>
        <x:v>#NAME?</x:v>
      </x:c>
      <x:c r="J218" s="12" t="s">
        <x:v>381</x:v>
      </x:c>
      <x:c r="K218" s="31"/>
    </x:row>
    <x:row r="219" ht="21.950000762939453" customHeight="1">
      <x:c r="A219" s="15" t="s">
        <x:v>382</x:v>
      </x:c>
      <x:c r="B219" s="12" t="s">
        <x:v>72</x:v>
      </x:c>
      <x:c r="C219" s="12" t="s">
        <x:v>76</x:v>
      </x:c>
      <x:c r="D219" s="12" t="s">
        <x:v>308</x:v>
      </x:c>
      <x:c r="E219" s="12"/>
      <x:c r="F219" s="12" t="s">
        <x:v>73</x:v>
      </x:c>
      <x:c r="G219" s="18">
        <x:v>455</x:v>
      </x:c>
      <x:c r="H219" s="21" t="e">
        <x:f>IF(SUMIFS(İndirimler!$C$2:$C$110,İndirimler!$A$2:$A$110,B219,İndirimler!$B$2:$B$110,C219)&gt;0,ROUND(G219*(1-SUMIFS(İndirimler!$C$2:$C$110,İndirimler!$A$2:$A$110,B219,İndirimler!$B$2:$B$110,C219)),2),"")</x:f>
        <x:v>#NAME?</x:v>
      </x:c>
      <x:c r="I219" s="24" t="e">
        <x:f>IF(SUMIFS(İndirimler!$D$2:$D$110,İndirimler!$A$2:$A$110,B219,İndirimler!$B$2:$B$110,C219)&gt;0,ROUND(G219*(1-SUMIFS(İndirimler!$D$2:$D$110,İndirimler!$A$2:$A$110,B219,İndirimler!$B$2:$B$110,C219)),2),"")</x:f>
        <x:v>#NAME?</x:v>
      </x:c>
      <x:c r="J219" s="12"/>
      <x:c r="K219" s="31"/>
    </x:row>
    <x:row r="220" ht="21.950000762939453" customHeight="1">
      <x:c r="A220" s="15" t="s">
        <x:v>383</x:v>
      </x:c>
      <x:c r="B220" s="12" t="s">
        <x:v>25</x:v>
      </x:c>
      <x:c r="C220" s="12" t="s">
        <x:v>101</x:v>
      </x:c>
      <x:c r="D220" s="12" t="s">
        <x:v>308</x:v>
      </x:c>
      <x:c r="E220" s="12" t="s">
        <x:v>127</x:v>
      </x:c>
      <x:c r="F220" s="12" t="s">
        <x:v>35</x:v>
      </x:c>
      <x:c r="G220" s="18"/>
      <x:c r="H220" s="21" t="e">
        <x:f>IF(SUMIFS(İndirimler!$C$2:$C$110,İndirimler!$A$2:$A$110,B220,İndirimler!$B$2:$B$110,C220)&gt;0,ROUND(G220*(1-SUMIFS(İndirimler!$C$2:$C$110,İndirimler!$A$2:$A$110,B220,İndirimler!$B$2:$B$110,C220)),2),"")</x:f>
        <x:v>#NAME?</x:v>
      </x:c>
      <x:c r="I220" s="24" t="e">
        <x:f>IF(SUMIFS(İndirimler!$D$2:$D$110,İndirimler!$A$2:$A$110,B220,İndirimler!$B$2:$B$110,C220)&gt;0,ROUND(G220*(1-SUMIFS(İndirimler!$D$2:$D$110,İndirimler!$A$2:$A$110,B220,İndirimler!$B$2:$B$110,C220)),2),"")</x:f>
        <x:v>#NAME?</x:v>
      </x:c>
      <x:c r="J220" s="12"/>
      <x:c r="K220" s="31"/>
    </x:row>
    <x:row r="221" ht="21.950000762939453" customHeight="1">
      <x:c r="A221" s="15" t="s">
        <x:v>384</x:v>
      </x:c>
      <x:c r="B221" s="12" t="s">
        <x:v>38</x:v>
      </x:c>
      <x:c r="C221" s="12" t="s">
        <x:v>101</x:v>
      </x:c>
      <x:c r="D221" s="12" t="s">
        <x:v>308</x:v>
      </x:c>
      <x:c r="E221" s="12"/>
      <x:c r="F221" s="12" t="s">
        <x:v>35</x:v>
      </x:c>
      <x:c r="G221" s="18"/>
      <x:c r="H221" s="21" t="e">
        <x:f>IF(SUMIFS(İndirimler!$C$2:$C$110,İndirimler!$A$2:$A$110,B221,İndirimler!$B$2:$B$110,C221)&gt;0,ROUND(G221*(1-SUMIFS(İndirimler!$C$2:$C$110,İndirimler!$A$2:$A$110,B221,İndirimler!$B$2:$B$110,C221)),2),"")</x:f>
        <x:v>#NAME?</x:v>
      </x:c>
      <x:c r="I221" s="24" t="e">
        <x:f>IF(SUMIFS(İndirimler!$D$2:$D$110,İndirimler!$A$2:$A$110,B221,İndirimler!$B$2:$B$110,C221)&gt;0,ROUND(G221*(1-SUMIFS(İndirimler!$D$2:$D$110,İndirimler!$A$2:$A$110,B221,İndirimler!$B$2:$B$110,C221)),2),"")</x:f>
        <x:v>#NAME?</x:v>
      </x:c>
      <x:c r="J221" s="12"/>
      <x:c r="K221" s="31"/>
    </x:row>
    <x:row r="222" ht="21.950000762939453" customHeight="1">
      <x:c r="A222" s="15" t="s">
        <x:v>385</x:v>
      </x:c>
      <x:c r="B222" s="12" t="s">
        <x:v>139</x:v>
      </x:c>
      <x:c r="C222" s="12" t="s">
        <x:v>101</x:v>
      </x:c>
      <x:c r="D222" s="12" t="s">
        <x:v>308</x:v>
      </x:c>
      <x:c r="E222" s="12" t="s">
        <x:v>317</x:v>
      </x:c>
      <x:c r="F222" s="12" t="s">
        <x:v>42</x:v>
      </x:c>
      <x:c r="G222" s="18">
        <x:v>773</x:v>
      </x:c>
      <x:c r="H222" s="21" t="e">
        <x:f>IF(SUMIFS(İndirimler!$C$2:$C$110,İndirimler!$A$2:$A$110,B222,İndirimler!$B$2:$B$110,C222)&gt;0,ROUND(G222*(1-SUMIFS(İndirimler!$C$2:$C$110,İndirimler!$A$2:$A$110,B222,İndirimler!$B$2:$B$110,C222)),2),"")</x:f>
        <x:v>#NAME?</x:v>
      </x:c>
      <x:c r="I222" s="24" t="e">
        <x:f>IF(SUMIFS(İndirimler!$D$2:$D$110,İndirimler!$A$2:$A$110,B222,İndirimler!$B$2:$B$110,C222)&gt;0,ROUND(G222*(1-SUMIFS(İndirimler!$D$2:$D$110,İndirimler!$A$2:$A$110,B222,İndirimler!$B$2:$B$110,C222)),2),"")</x:f>
        <x:v>#NAME?</x:v>
      </x:c>
      <x:c r="J222" s="12"/>
      <x:c r="K222" s="31"/>
    </x:row>
    <x:row r="223" ht="21.950000762939453" customHeight="1">
      <x:c r="A223" s="15" t="s">
        <x:v>386</x:v>
      </x:c>
      <x:c r="B223" s="12" t="s">
        <x:v>18</x:v>
      </x:c>
      <x:c r="C223" s="12" t="s">
        <x:v>101</x:v>
      </x:c>
      <x:c r="D223" s="12" t="s">
        <x:v>308</x:v>
      </x:c>
      <x:c r="E223" s="12" t="s">
        <x:v>41</x:v>
      </x:c>
      <x:c r="F223" s="12" t="s">
        <x:v>42</x:v>
      </x:c>
      <x:c r="G223" s="18"/>
      <x:c r="H223" s="21" t="e">
        <x:f>IF(SUMIFS(İndirimler!$C$2:$C$110,İndirimler!$A$2:$A$110,B223,İndirimler!$B$2:$B$110,C223)&gt;0,ROUND(G223*(1-SUMIFS(İndirimler!$C$2:$C$110,İndirimler!$A$2:$A$110,B223,İndirimler!$B$2:$B$110,C223)),2),"")</x:f>
        <x:v>#NAME?</x:v>
      </x:c>
      <x:c r="I223" s="24" t="e">
        <x:f>IF(SUMIFS(İndirimler!$D$2:$D$110,İndirimler!$A$2:$A$110,B223,İndirimler!$B$2:$B$110,C223)&gt;0,ROUND(G223*(1-SUMIFS(İndirimler!$D$2:$D$110,İndirimler!$A$2:$A$110,B223,İndirimler!$B$2:$B$110,C223)),2),"")</x:f>
        <x:v>#NAME?</x:v>
      </x:c>
      <x:c r="J223" s="12"/>
      <x:c r="K223" s="31"/>
    </x:row>
    <x:row r="224" ht="21.950000762939453" customHeight="1">
      <x:c r="A224" s="15" t="s">
        <x:v>387</x:v>
      </x:c>
      <x:c r="B224" s="12" t="s">
        <x:v>72</x:v>
      </x:c>
      <x:c r="C224" s="12" t="s">
        <x:v>101</x:v>
      </x:c>
      <x:c r="D224" s="12" t="s">
        <x:v>308</x:v>
      </x:c>
      <x:c r="E224" s="12" t="s">
        <x:v>104</x:v>
      </x:c>
      <x:c r="F224" s="12" t="s">
        <x:v>42</x:v>
      </x:c>
      <x:c r="G224" s="18"/>
      <x:c r="H224" s="21" t="e">
        <x:f>IF(SUMIFS(İndirimler!$C$2:$C$110,İndirimler!$A$2:$A$110,B224,İndirimler!$B$2:$B$110,C224)&gt;0,ROUND(G224*(1-SUMIFS(İndirimler!$C$2:$C$110,İndirimler!$A$2:$A$110,B224,İndirimler!$B$2:$B$110,C224)),2),"")</x:f>
        <x:v>#NAME?</x:v>
      </x:c>
      <x:c r="I224" s="24" t="e">
        <x:f>IF(SUMIFS(İndirimler!$D$2:$D$110,İndirimler!$A$2:$A$110,B224,İndirimler!$B$2:$B$110,C224)&gt;0,ROUND(G224*(1-SUMIFS(İndirimler!$D$2:$D$110,İndirimler!$A$2:$A$110,B224,İndirimler!$B$2:$B$110,C224)),2),"")</x:f>
        <x:v>#NAME?</x:v>
      </x:c>
      <x:c r="J224" s="12"/>
      <x:c r="K224" s="31"/>
    </x:row>
    <x:row r="225" ht="21.950000762939453" customHeight="1">
      <x:c r="A225" s="15" t="s">
        <x:v>388</x:v>
      </x:c>
      <x:c r="B225" s="12" t="s">
        <x:v>23</x:v>
      </x:c>
      <x:c r="C225" s="12" t="s">
        <x:v>101</x:v>
      </x:c>
      <x:c r="D225" s="12" t="s">
        <x:v>308</x:v>
      </x:c>
      <x:c r="E225" s="12"/>
      <x:c r="F225" s="12" t="s">
        <x:v>42</x:v>
      </x:c>
      <x:c r="G225" s="18">
        <x:v>490</x:v>
      </x:c>
      <x:c r="H225" s="21" t="e">
        <x:f>IF(SUMIFS(İndirimler!$C$2:$C$110,İndirimler!$A$2:$A$110,B225,İndirimler!$B$2:$B$110,C225)&gt;0,ROUND(G225*(1-SUMIFS(İndirimler!$C$2:$C$110,İndirimler!$A$2:$A$110,B225,İndirimler!$B$2:$B$110,C225)),2),"")</x:f>
        <x:v>#NAME?</x:v>
      </x:c>
      <x:c r="I225" s="24" t="e">
        <x:f>IF(SUMIFS(İndirimler!$D$2:$D$110,İndirimler!$A$2:$A$110,B225,İndirimler!$B$2:$B$110,C225)&gt;0,ROUND(G225*(1-SUMIFS(İndirimler!$D$2:$D$110,İndirimler!$A$2:$A$110,B225,İndirimler!$B$2:$B$110,C225)),2),"")</x:f>
        <x:v>#NAME?</x:v>
      </x:c>
      <x:c r="J225" s="12" t="s">
        <x:v>389</x:v>
      </x:c>
      <x:c r="K225" s="31"/>
    </x:row>
    <x:row r="226" ht="21.950000762939453" customHeight="1">
      <x:c r="A226" s="15" t="s">
        <x:v>390</x:v>
      </x:c>
      <x:c r="B226" s="12" t="s">
        <x:v>50</x:v>
      </x:c>
      <x:c r="C226" s="12" t="s">
        <x:v>101</x:v>
      </x:c>
      <x:c r="D226" s="12" t="s">
        <x:v>308</x:v>
      </x:c>
      <x:c r="E226" s="12" t="s">
        <x:v>51</x:v>
      </x:c>
      <x:c r="F226" s="12" t="s">
        <x:v>42</x:v>
      </x:c>
      <x:c r="G226" s="18">
        <x:v>480</x:v>
      </x:c>
      <x:c r="H226" s="21" t="e">
        <x:f>IF(SUMIFS(İndirimler!$C$2:$C$110,İndirimler!$A$2:$A$110,B226,İndirimler!$B$2:$B$110,C226)&gt;0,ROUND(G226*(1-SUMIFS(İndirimler!$C$2:$C$110,İndirimler!$A$2:$A$110,B226,İndirimler!$B$2:$B$110,C226)),2),"")</x:f>
        <x:v>#NAME?</x:v>
      </x:c>
      <x:c r="I226" s="24" t="e">
        <x:f>IF(SUMIFS(İndirimler!$D$2:$D$110,İndirimler!$A$2:$A$110,B226,İndirimler!$B$2:$B$110,C226)&gt;0,ROUND(G226*(1-SUMIFS(İndirimler!$D$2:$D$110,İndirimler!$A$2:$A$110,B226,İndirimler!$B$2:$B$110,C226)),2),"")</x:f>
        <x:v>#NAME?</x:v>
      </x:c>
      <x:c r="J226" s="12"/>
      <x:c r="K226" s="31"/>
    </x:row>
    <x:row r="227" ht="21.950000762939453" customHeight="1">
      <x:c r="A227" s="15" t="s">
        <x:v>391</x:v>
      </x:c>
      <x:c r="B227" s="12" t="s">
        <x:v>55</x:v>
      </x:c>
      <x:c r="C227" s="12" t="s">
        <x:v>101</x:v>
      </x:c>
      <x:c r="D227" s="12" t="s">
        <x:v>308</x:v>
      </x:c>
      <x:c r="E227" s="12"/>
      <x:c r="F227" s="12" t="s">
        <x:v>16</x:v>
      </x:c>
      <x:c r="G227" s="18">
        <x:v>498</x:v>
      </x:c>
      <x:c r="H227" s="21" t="e">
        <x:f>IF(SUMIFS(İndirimler!$C$2:$C$110,İndirimler!$A$2:$A$110,B227,İndirimler!$B$2:$B$110,C227)&gt;0,ROUND(G227*(1-SUMIFS(İndirimler!$C$2:$C$110,İndirimler!$A$2:$A$110,B227,İndirimler!$B$2:$B$110,C227)),2),"")</x:f>
        <x:v>#NAME?</x:v>
      </x:c>
      <x:c r="I227" s="24" t="e">
        <x:f>IF(SUMIFS(İndirimler!$D$2:$D$110,İndirimler!$A$2:$A$110,B227,İndirimler!$B$2:$B$110,C227)&gt;0,ROUND(G227*(1-SUMIFS(İndirimler!$D$2:$D$110,İndirimler!$A$2:$A$110,B227,İndirimler!$B$2:$B$110,C227)),2),"")</x:f>
        <x:v>#NAME?</x:v>
      </x:c>
      <x:c r="J227" s="12"/>
      <x:c r="K227" s="31"/>
    </x:row>
    <x:row r="228" ht="21.950000762939453" customHeight="1">
      <x:c r="A228" s="15" t="s">
        <x:v>392</x:v>
      </x:c>
      <x:c r="B228" s="12" t="s">
        <x:v>139</x:v>
      </x:c>
      <x:c r="C228" s="12" t="s">
        <x:v>101</x:v>
      </x:c>
      <x:c r="D228" s="12" t="s">
        <x:v>308</x:v>
      </x:c>
      <x:c r="E228" s="12"/>
      <x:c r="F228" s="12" t="s">
        <x:v>16</x:v>
      </x:c>
      <x:c r="G228" s="18">
        <x:v>672</x:v>
      </x:c>
      <x:c r="H228" s="21" t="e">
        <x:f>IF(SUMIFS(İndirimler!$C$2:$C$110,İndirimler!$A$2:$A$110,B228,İndirimler!$B$2:$B$110,C228)&gt;0,ROUND(G228*(1-SUMIFS(İndirimler!$C$2:$C$110,İndirimler!$A$2:$A$110,B228,İndirimler!$B$2:$B$110,C228)),2),"")</x:f>
        <x:v>#NAME?</x:v>
      </x:c>
      <x:c r="I228" s="24" t="e">
        <x:f>IF(SUMIFS(İndirimler!$D$2:$D$110,İndirimler!$A$2:$A$110,B228,İndirimler!$B$2:$B$110,C228)&gt;0,ROUND(G228*(1-SUMIFS(İndirimler!$D$2:$D$110,İndirimler!$A$2:$A$110,B228,İndirimler!$B$2:$B$110,C228)),2),"")</x:f>
        <x:v>#NAME?</x:v>
      </x:c>
      <x:c r="J228" s="12"/>
      <x:c r="K228" s="31"/>
    </x:row>
    <x:row r="229" ht="21.950000762939453" customHeight="1">
      <x:c r="A229" s="15" t="s">
        <x:v>393</x:v>
      </x:c>
      <x:c r="B229" s="12" t="s">
        <x:v>18</x:v>
      </x:c>
      <x:c r="C229" s="12" t="s">
        <x:v>101</x:v>
      </x:c>
      <x:c r="D229" s="12" t="s">
        <x:v>308</x:v>
      </x:c>
      <x:c r="E229" s="12"/>
      <x:c r="F229" s="12" t="s">
        <x:v>16</x:v>
      </x:c>
      <x:c r="G229" s="18"/>
      <x:c r="H229" s="21" t="e">
        <x:f>IF(SUMIFS(İndirimler!$C$2:$C$110,İndirimler!$A$2:$A$110,B229,İndirimler!$B$2:$B$110,C229)&gt;0,ROUND(G229*(1-SUMIFS(İndirimler!$C$2:$C$110,İndirimler!$A$2:$A$110,B229,İndirimler!$B$2:$B$110,C229)),2),"")</x:f>
        <x:v>#NAME?</x:v>
      </x:c>
      <x:c r="I229" s="24" t="e">
        <x:f>IF(SUMIFS(İndirimler!$D$2:$D$110,İndirimler!$A$2:$A$110,B229,İndirimler!$B$2:$B$110,C229)&gt;0,ROUND(G229*(1-SUMIFS(İndirimler!$D$2:$D$110,İndirimler!$A$2:$A$110,B229,İndirimler!$B$2:$B$110,C229)),2),"")</x:f>
        <x:v>#NAME?</x:v>
      </x:c>
      <x:c r="J229" s="12"/>
      <x:c r="K229" s="31"/>
    </x:row>
    <x:row r="230" ht="21.950000762939453" customHeight="1">
      <x:c r="A230" s="15" t="s">
        <x:v>394</x:v>
      </x:c>
      <x:c r="B230" s="12" t="s">
        <x:v>334</x:v>
      </x:c>
      <x:c r="C230" s="12" t="s">
        <x:v>101</x:v>
      </x:c>
      <x:c r="D230" s="12" t="s">
        <x:v>308</x:v>
      </x:c>
      <x:c r="E230" s="12"/>
      <x:c r="F230" s="12" t="s">
        <x:v>16</x:v>
      </x:c>
      <x:c r="G230" s="18"/>
      <x:c r="H230" s="21" t="e">
        <x:f>IF(SUMIFS(İndirimler!$C$2:$C$110,İndirimler!$A$2:$A$110,B230,İndirimler!$B$2:$B$110,C230)&gt;0,ROUND(G230*(1-SUMIFS(İndirimler!$C$2:$C$110,İndirimler!$A$2:$A$110,B230,İndirimler!$B$2:$B$110,C230)),2),"")</x:f>
        <x:v>#NAME?</x:v>
      </x:c>
      <x:c r="I230" s="24" t="e">
        <x:f>IF(SUMIFS(İndirimler!$D$2:$D$110,İndirimler!$A$2:$A$110,B230,İndirimler!$B$2:$B$110,C230)&gt;0,ROUND(G230*(1-SUMIFS(İndirimler!$D$2:$D$110,İndirimler!$A$2:$A$110,B230,İndirimler!$B$2:$B$110,C230)),2),"")</x:f>
        <x:v>#NAME?</x:v>
      </x:c>
      <x:c r="J230" s="12"/>
      <x:c r="K230" s="31"/>
    </x:row>
    <x:row r="231" ht="21.950000762939453" customHeight="1">
      <x:c r="A231" s="15" t="s">
        <x:v>395</x:v>
      </x:c>
      <x:c r="B231" s="12" t="s">
        <x:v>307</x:v>
      </x:c>
      <x:c r="C231" s="12" t="s">
        <x:v>101</x:v>
      </x:c>
      <x:c r="D231" s="12" t="s">
        <x:v>308</x:v>
      </x:c>
      <x:c r="E231" s="12"/>
      <x:c r="F231" s="12" t="s">
        <x:v>16</x:v>
      </x:c>
      <x:c r="G231" s="18"/>
      <x:c r="H231" s="21" t="e">
        <x:f>IF(SUMIFS(İndirimler!$C$2:$C$110,İndirimler!$A$2:$A$110,B231,İndirimler!$B$2:$B$110,C231)&gt;0,ROUND(G231*(1-SUMIFS(İndirimler!$C$2:$C$110,İndirimler!$A$2:$A$110,B231,İndirimler!$B$2:$B$110,C231)),2),"")</x:f>
        <x:v>#NAME?</x:v>
      </x:c>
      <x:c r="I231" s="24" t="e">
        <x:f>IF(SUMIFS(İndirimler!$D$2:$D$110,İndirimler!$A$2:$A$110,B231,İndirimler!$B$2:$B$110,C231)&gt;0,ROUND(G231*(1-SUMIFS(İndirimler!$D$2:$D$110,İndirimler!$A$2:$A$110,B231,İndirimler!$B$2:$B$110,C231)),2),"")</x:f>
        <x:v>#NAME?</x:v>
      </x:c>
      <x:c r="J231" s="12"/>
      <x:c r="K231" s="31"/>
    </x:row>
    <x:row r="232" ht="21.950000762939453" customHeight="1">
      <x:c r="A232" s="15" t="s">
        <x:v>396</x:v>
      </x:c>
      <x:c r="B232" s="12" t="s">
        <x:v>307</x:v>
      </x:c>
      <x:c r="C232" s="12" t="s">
        <x:v>101</x:v>
      </x:c>
      <x:c r="D232" s="12" t="s">
        <x:v>308</x:v>
      </x:c>
      <x:c r="E232" s="12"/>
      <x:c r="F232" s="12" t="s">
        <x:v>16</x:v>
      </x:c>
      <x:c r="G232" s="18"/>
      <x:c r="H232" s="21" t="e">
        <x:f>IF(SUMIFS(İndirimler!$C$2:$C$110,İndirimler!$A$2:$A$110,B232,İndirimler!$B$2:$B$110,C232)&gt;0,ROUND(G232*(1-SUMIFS(İndirimler!$C$2:$C$110,İndirimler!$A$2:$A$110,B232,İndirimler!$B$2:$B$110,C232)),2),"")</x:f>
        <x:v>#NAME?</x:v>
      </x:c>
      <x:c r="I232" s="24" t="e">
        <x:f>IF(SUMIFS(İndirimler!$D$2:$D$110,İndirimler!$A$2:$A$110,B232,İndirimler!$B$2:$B$110,C232)&gt;0,ROUND(G232*(1-SUMIFS(İndirimler!$D$2:$D$110,İndirimler!$A$2:$A$110,B232,İndirimler!$B$2:$B$110,C232)),2),"")</x:f>
        <x:v>#NAME?</x:v>
      </x:c>
      <x:c r="J232" s="12"/>
      <x:c r="K232" s="31"/>
    </x:row>
    <x:row r="233" ht="21.950000762939453" customHeight="1">
      <x:c r="A233" s="15" t="s">
        <x:v>397</x:v>
      </x:c>
      <x:c r="B233" s="12" t="s">
        <x:v>63</x:v>
      </x:c>
      <x:c r="C233" s="12" t="s">
        <x:v>101</x:v>
      </x:c>
      <x:c r="D233" s="12" t="s">
        <x:v>308</x:v>
      </x:c>
      <x:c r="E233" s="12" t="s">
        <x:v>64</x:v>
      </x:c>
      <x:c r="F233" s="12" t="s">
        <x:v>16</x:v>
      </x:c>
      <x:c r="G233" s="18"/>
      <x:c r="H233" s="21" t="e">
        <x:f>IF(SUMIFS(İndirimler!$C$2:$C$110,İndirimler!$A$2:$A$110,B233,İndirimler!$B$2:$B$110,C233)&gt;0,ROUND(G233*(1-SUMIFS(İndirimler!$C$2:$C$110,İndirimler!$A$2:$A$110,B233,İndirimler!$B$2:$B$110,C233)),2),"")</x:f>
        <x:v>#NAME?</x:v>
      </x:c>
      <x:c r="I233" s="24" t="e">
        <x:f>IF(SUMIFS(İndirimler!$D$2:$D$110,İndirimler!$A$2:$A$110,B233,İndirimler!$B$2:$B$110,C233)&gt;0,ROUND(G233*(1-SUMIFS(İndirimler!$D$2:$D$110,İndirimler!$A$2:$A$110,B233,İndirimler!$B$2:$B$110,C233)),2),"")</x:f>
        <x:v>#NAME?</x:v>
      </x:c>
      <x:c r="J233" s="12" t="s">
        <x:v>398</x:v>
      </x:c>
      <x:c r="K233" s="31"/>
    </x:row>
    <x:row r="234" ht="21.950000762939453" customHeight="1">
      <x:c r="A234" s="15" t="s">
        <x:v>399</x:v>
      </x:c>
      <x:c r="B234" s="12" t="s">
        <x:v>23</x:v>
      </x:c>
      <x:c r="C234" s="12" t="s">
        <x:v>101</x:v>
      </x:c>
      <x:c r="D234" s="12" t="s">
        <x:v>308</x:v>
      </x:c>
      <x:c r="E234" s="12"/>
      <x:c r="F234" s="12" t="s">
        <x:v>16</x:v>
      </x:c>
      <x:c r="G234" s="18">
        <x:v>498</x:v>
      </x:c>
      <x:c r="H234" s="21" t="e">
        <x:f>IF(SUMIFS(İndirimler!$C$2:$C$110,İndirimler!$A$2:$A$110,B234,İndirimler!$B$2:$B$110,C234)&gt;0,ROUND(G234*(1-SUMIFS(İndirimler!$C$2:$C$110,İndirimler!$A$2:$A$110,B234,İndirimler!$B$2:$B$110,C234)),2),"")</x:f>
        <x:v>#NAME?</x:v>
      </x:c>
      <x:c r="I234" s="24" t="e">
        <x:f>IF(SUMIFS(İndirimler!$D$2:$D$110,İndirimler!$A$2:$A$110,B234,İndirimler!$B$2:$B$110,C234)&gt;0,ROUND(G234*(1-SUMIFS(İndirimler!$D$2:$D$110,İndirimler!$A$2:$A$110,B234,İndirimler!$B$2:$B$110,C234)),2),"")</x:f>
        <x:v>#NAME?</x:v>
      </x:c>
      <x:c r="J234" s="12" t="s">
        <x:v>400</x:v>
      </x:c>
      <x:c r="K234" s="31"/>
    </x:row>
    <x:row r="235" ht="21.950000762939453" customHeight="1">
      <x:c r="A235" s="15" t="s">
        <x:v>401</x:v>
      </x:c>
      <x:c r="B235" s="12" t="s">
        <x:v>50</x:v>
      </x:c>
      <x:c r="C235" s="12" t="s">
        <x:v>101</x:v>
      </x:c>
      <x:c r="D235" s="12" t="s">
        <x:v>308</x:v>
      </x:c>
      <x:c r="E235" s="12" t="s">
        <x:v>69</x:v>
      </x:c>
      <x:c r="F235" s="12" t="s">
        <x:v>16</x:v>
      </x:c>
      <x:c r="G235" s="18">
        <x:v>387</x:v>
      </x:c>
      <x:c r="H235" s="21" t="e">
        <x:f>IF(SUMIFS(İndirimler!$C$2:$C$110,İndirimler!$A$2:$A$110,B235,İndirimler!$B$2:$B$110,C235)&gt;0,ROUND(G235*(1-SUMIFS(İndirimler!$C$2:$C$110,İndirimler!$A$2:$A$110,B235,İndirimler!$B$2:$B$110,C235)),2),"")</x:f>
        <x:v>#NAME?</x:v>
      </x:c>
      <x:c r="I235" s="24" t="e">
        <x:f>IF(SUMIFS(İndirimler!$D$2:$D$110,İndirimler!$A$2:$A$110,B235,İndirimler!$B$2:$B$110,C235)&gt;0,ROUND(G235*(1-SUMIFS(İndirimler!$D$2:$D$110,İndirimler!$A$2:$A$110,B235,İndirimler!$B$2:$B$110,C235)),2),"")</x:f>
        <x:v>#NAME?</x:v>
      </x:c>
      <x:c r="J235" s="12"/>
      <x:c r="K235" s="31"/>
    </x:row>
    <x:row r="236" ht="21.950000762939453" customHeight="1">
      <x:c r="A236" s="15" t="s">
        <x:v>402</x:v>
      </x:c>
      <x:c r="B236" s="12" t="s">
        <x:v>38</x:v>
      </x:c>
      <x:c r="C236" s="12" t="s">
        <x:v>101</x:v>
      </x:c>
      <x:c r="D236" s="12" t="s">
        <x:v>308</x:v>
      </x:c>
      <x:c r="E236" s="12"/>
      <x:c r="F236" s="12" t="s">
        <x:v>16</x:v>
      </x:c>
      <x:c r="G236" s="18"/>
      <x:c r="H236" s="21" t="e">
        <x:f>IF(SUMIFS(İndirimler!$C$2:$C$110,İndirimler!$A$2:$A$110,B236,İndirimler!$B$2:$B$110,C236)&gt;0,ROUND(G236*(1-SUMIFS(İndirimler!$C$2:$C$110,İndirimler!$A$2:$A$110,B236,İndirimler!$B$2:$B$110,C236)),2),"")</x:f>
        <x:v>#NAME?</x:v>
      </x:c>
      <x:c r="I236" s="24" t="e">
        <x:f>IF(SUMIFS(İndirimler!$D$2:$D$110,İndirimler!$A$2:$A$110,B236,İndirimler!$B$2:$B$110,C236)&gt;0,ROUND(G236*(1-SUMIFS(İndirimler!$D$2:$D$110,İndirimler!$A$2:$A$110,B236,İndirimler!$B$2:$B$110,C236)),2),"")</x:f>
        <x:v>#NAME?</x:v>
      </x:c>
      <x:c r="J236" s="12"/>
      <x:c r="K236" s="31"/>
    </x:row>
    <x:row r="237" ht="21.950000762939453" customHeight="1">
      <x:c r="A237" s="15" t="s">
        <x:v>403</x:v>
      </x:c>
      <x:c r="B237" s="12" t="s">
        <x:v>72</x:v>
      </x:c>
      <x:c r="C237" s="12" t="s">
        <x:v>101</x:v>
      </x:c>
      <x:c r="D237" s="12" t="s">
        <x:v>308</x:v>
      </x:c>
      <x:c r="E237" s="12"/>
      <x:c r="F237" s="12" t="s">
        <x:v>73</x:v>
      </x:c>
      <x:c r="G237" s="18"/>
      <x:c r="H237" s="21" t="e">
        <x:f>IF(SUMIFS(İndirimler!$C$2:$C$110,İndirimler!$A$2:$A$110,B237,İndirimler!$B$2:$B$110,C237)&gt;0,ROUND(G237*(1-SUMIFS(İndirimler!$C$2:$C$110,İndirimler!$A$2:$A$110,B237,İndirimler!$B$2:$B$110,C237)),2),"")</x:f>
        <x:v>#NAME?</x:v>
      </x:c>
      <x:c r="I237" s="24" t="e">
        <x:f>IF(SUMIFS(İndirimler!$D$2:$D$110,İndirimler!$A$2:$A$110,B237,İndirimler!$B$2:$B$110,C237)&gt;0,ROUND(G237*(1-SUMIFS(İndirimler!$D$2:$D$110,İndirimler!$A$2:$A$110,B237,İndirimler!$B$2:$B$110,C237)),2),"")</x:f>
        <x:v>#NAME?</x:v>
      </x:c>
      <x:c r="J237" s="12"/>
      <x:c r="K237" s="31"/>
    </x:row>
    <x:row r="238" ht="21.950000762939453" customHeight="1">
      <x:c r="A238" s="15" t="s">
        <x:v>404</x:v>
      </x:c>
      <x:c r="B238" s="12" t="s">
        <x:v>25</x:v>
      </x:c>
      <x:c r="C238" s="12" t="s">
        <x:v>249</x:v>
      </x:c>
      <x:c r="D238" s="12" t="s">
        <x:v>308</x:v>
      </x:c>
      <x:c r="E238" s="12" t="s">
        <x:v>127</x:v>
      </x:c>
      <x:c r="F238" s="12" t="s">
        <x:v>35</x:v>
      </x:c>
      <x:c r="G238" s="18">
        <x:v>399</x:v>
      </x:c>
      <x:c r="H238" s="21" t="e">
        <x:f>IF(SUMIFS(İndirimler!$C$2:$C$110,İndirimler!$A$2:$A$110,B238,İndirimler!$B$2:$B$110,C238)&gt;0,ROUND(G238*(1-SUMIFS(İndirimler!$C$2:$C$110,İndirimler!$A$2:$A$110,B238,İndirimler!$B$2:$B$110,C238)),2),"")</x:f>
        <x:v>#NAME?</x:v>
      </x:c>
      <x:c r="I238" s="24" t="e">
        <x:f>IF(SUMIFS(İndirimler!$D$2:$D$110,İndirimler!$A$2:$A$110,B238,İndirimler!$B$2:$B$110,C238)&gt;0,ROUND(G238*(1-SUMIFS(İndirimler!$D$2:$D$110,İndirimler!$A$2:$A$110,B238,İndirimler!$B$2:$B$110,C238)),2),"")</x:f>
        <x:v>#NAME?</x:v>
      </x:c>
      <x:c r="J238" s="12"/>
      <x:c r="K238" s="31"/>
    </x:row>
    <x:row r="239" ht="21.950000762939453" customHeight="1">
      <x:c r="A239" s="15" t="s">
        <x:v>405</x:v>
      </x:c>
      <x:c r="B239" s="12" t="s">
        <x:v>25</x:v>
      </x:c>
      <x:c r="C239" s="12" t="s">
        <x:v>249</x:v>
      </x:c>
      <x:c r="D239" s="12" t="s">
        <x:v>308</x:v>
      </x:c>
      <x:c r="E239" s="12" t="s">
        <x:v>406</x:v>
      </x:c>
      <x:c r="F239" s="12" t="s">
        <x:v>16</x:v>
      </x:c>
      <x:c r="G239" s="18">
        <x:v>199</x:v>
      </x:c>
      <x:c r="H239" s="21" t="e">
        <x:f>IF(SUMIFS(İndirimler!$C$2:$C$110,İndirimler!$A$2:$A$110,B239,İndirimler!$B$2:$B$110,C239)&gt;0,ROUND(G239*(1-SUMIFS(İndirimler!$C$2:$C$110,İndirimler!$A$2:$A$110,B239,İndirimler!$B$2:$B$110,C239)),2),"")</x:f>
        <x:v>#NAME?</x:v>
      </x:c>
      <x:c r="I239" s="24" t="e">
        <x:f>IF(SUMIFS(İndirimler!$D$2:$D$110,İndirimler!$A$2:$A$110,B239,İndirimler!$B$2:$B$110,C239)&gt;0,ROUND(G239*(1-SUMIFS(İndirimler!$D$2:$D$110,İndirimler!$A$2:$A$110,B239,İndirimler!$B$2:$B$110,C239)),2),"")</x:f>
        <x:v>#NAME?</x:v>
      </x:c>
      <x:c r="J239" s="12"/>
      <x:c r="K239" s="31"/>
    </x:row>
    <x:row r="240" ht="21.950000762939453" customHeight="1">
      <x:c r="A240" s="15" t="s">
        <x:v>407</x:v>
      </x:c>
      <x:c r="B240" s="12" t="s">
        <x:v>38</x:v>
      </x:c>
      <x:c r="C240" s="12" t="s">
        <x:v>249</x:v>
      </x:c>
      <x:c r="D240" s="12" t="s">
        <x:v>308</x:v>
      </x:c>
      <x:c r="E240" s="12" t="s">
        <x:v>254</x:v>
      </x:c>
      <x:c r="F240" s="12" t="s">
        <x:v>35</x:v>
      </x:c>
      <x:c r="G240" s="18">
        <x:v>685</x:v>
      </x:c>
      <x:c r="H240" s="21" t="e">
        <x:f>IF(SUMIFS(İndirimler!$C$2:$C$110,İndirimler!$A$2:$A$110,B240,İndirimler!$B$2:$B$110,C240)&gt;0,ROUND(G240*(1-SUMIFS(İndirimler!$C$2:$C$110,İndirimler!$A$2:$A$110,B240,İndirimler!$B$2:$B$110,C240)),2),"")</x:f>
        <x:v>#NAME?</x:v>
      </x:c>
      <x:c r="I240" s="24" t="e">
        <x:f>IF(SUMIFS(İndirimler!$D$2:$D$110,İndirimler!$A$2:$A$110,B240,İndirimler!$B$2:$B$110,C240)&gt;0,ROUND(G240*(1-SUMIFS(İndirimler!$D$2:$D$110,İndirimler!$A$2:$A$110,B240,İndirimler!$B$2:$B$110,C240)),2),"")</x:f>
        <x:v>#NAME?</x:v>
      </x:c>
      <x:c r="J240" s="12" t="s">
        <x:v>408</x:v>
      </x:c>
      <x:c r="K240" s="31"/>
    </x:row>
    <x:row r="241" ht="21.950000762939453" customHeight="1">
      <x:c r="A241" s="15" t="s">
        <x:v>409</x:v>
      </x:c>
      <x:c r="B241" s="12" t="s">
        <x:v>38</x:v>
      </x:c>
      <x:c r="C241" s="12" t="s">
        <x:v>249</x:v>
      </x:c>
      <x:c r="D241" s="12" t="s">
        <x:v>308</x:v>
      </x:c>
      <x:c r="E241" s="12" t="s">
        <x:v>257</x:v>
      </x:c>
      <x:c r="F241" s="12" t="s">
        <x:v>35</x:v>
      </x:c>
      <x:c r="G241" s="18">
        <x:v>685</x:v>
      </x:c>
      <x:c r="H241" s="21" t="e">
        <x:f>IF(SUMIFS(İndirimler!$C$2:$C$110,İndirimler!$A$2:$A$110,B241,İndirimler!$B$2:$B$110,C241)&gt;0,ROUND(G241*(1-SUMIFS(İndirimler!$C$2:$C$110,İndirimler!$A$2:$A$110,B241,İndirimler!$B$2:$B$110,C241)),2),"")</x:f>
        <x:v>#NAME?</x:v>
      </x:c>
      <x:c r="I241" s="24" t="e">
        <x:f>IF(SUMIFS(İndirimler!$D$2:$D$110,İndirimler!$A$2:$A$110,B241,İndirimler!$B$2:$B$110,C241)&gt;0,ROUND(G241*(1-SUMIFS(İndirimler!$D$2:$D$110,İndirimler!$A$2:$A$110,B241,İndirimler!$B$2:$B$110,C241)),2),"")</x:f>
        <x:v>#NAME?</x:v>
      </x:c>
      <x:c r="J241" s="12" t="s">
        <x:v>410</x:v>
      </x:c>
      <x:c r="K241" s="31"/>
    </x:row>
    <x:row r="242" ht="21.950000762939453" customHeight="1">
      <x:c r="A242" s="15" t="s">
        <x:v>411</x:v>
      </x:c>
      <x:c r="B242" s="12" t="s">
        <x:v>139</x:v>
      </x:c>
      <x:c r="C242" s="12" t="s">
        <x:v>249</x:v>
      </x:c>
      <x:c r="D242" s="12" t="s">
        <x:v>308</x:v>
      </x:c>
      <x:c r="E242" s="12" t="s">
        <x:v>317</x:v>
      </x:c>
      <x:c r="F242" s="12" t="s">
        <x:v>42</x:v>
      </x:c>
      <x:c r="G242" s="18">
        <x:v>348</x:v>
      </x:c>
      <x:c r="H242" s="21" t="e">
        <x:f>IF(SUMIFS(İndirimler!$C$2:$C$110,İndirimler!$A$2:$A$110,B242,İndirimler!$B$2:$B$110,C242)&gt;0,ROUND(G242*(1-SUMIFS(İndirimler!$C$2:$C$110,İndirimler!$A$2:$A$110,B242,İndirimler!$B$2:$B$110,C242)),2),"")</x:f>
        <x:v>#NAME?</x:v>
      </x:c>
      <x:c r="I242" s="24" t="e">
        <x:f>IF(SUMIFS(İndirimler!$D$2:$D$110,İndirimler!$A$2:$A$110,B242,İndirimler!$B$2:$B$110,C242)&gt;0,ROUND(G242*(1-SUMIFS(İndirimler!$D$2:$D$110,İndirimler!$A$2:$A$110,B242,İndirimler!$B$2:$B$110,C242)),2),"")</x:f>
        <x:v>#NAME?</x:v>
      </x:c>
      <x:c r="J242" s="12" t="s">
        <x:v>412</x:v>
      </x:c>
      <x:c r="K242" s="31"/>
    </x:row>
    <x:row r="243" ht="21.950000762939453" customHeight="1">
      <x:c r="A243" s="15" t="s">
        <x:v>413</x:v>
      </x:c>
      <x:c r="B243" s="12" t="s">
        <x:v>50</x:v>
      </x:c>
      <x:c r="C243" s="12" t="s">
        <x:v>249</x:v>
      </x:c>
      <x:c r="D243" s="12" t="s">
        <x:v>308</x:v>
      </x:c>
      <x:c r="E243" s="12" t="s">
        <x:v>51</x:v>
      </x:c>
      <x:c r="F243" s="12" t="s">
        <x:v>42</x:v>
      </x:c>
      <x:c r="G243" s="18">
        <x:v>428</x:v>
      </x:c>
      <x:c r="H243" s="21" t="e">
        <x:f>IF(SUMIFS(İndirimler!$C$2:$C$110,İndirimler!$A$2:$A$110,B243,İndirimler!$B$2:$B$110,C243)&gt;0,ROUND(G243*(1-SUMIFS(İndirimler!$C$2:$C$110,İndirimler!$A$2:$A$110,B243,İndirimler!$B$2:$B$110,C243)),2),"")</x:f>
        <x:v>#NAME?</x:v>
      </x:c>
      <x:c r="I243" s="24" t="e">
        <x:f>IF(SUMIFS(İndirimler!$D$2:$D$110,İndirimler!$A$2:$A$110,B243,İndirimler!$B$2:$B$110,C243)&gt;0,ROUND(G243*(1-SUMIFS(İndirimler!$D$2:$D$110,İndirimler!$A$2:$A$110,B243,İndirimler!$B$2:$B$110,C243)),2),"")</x:f>
        <x:v>#NAME?</x:v>
      </x:c>
      <x:c r="J243" s="12"/>
      <x:c r="K243" s="31"/>
    </x:row>
    <x:row r="244" ht="21.950000762939453" customHeight="1">
      <x:c r="A244" s="15" t="s">
        <x:v>414</x:v>
      </x:c>
      <x:c r="B244" s="12" t="s">
        <x:v>326</x:v>
      </x:c>
      <x:c r="C244" s="12" t="s">
        <x:v>249</x:v>
      </x:c>
      <x:c r="D244" s="12" t="s">
        <x:v>308</x:v>
      </x:c>
      <x:c r="E244" s="12"/>
      <x:c r="F244" s="12" t="s">
        <x:v>42</x:v>
      </x:c>
      <x:c r="G244" s="18">
        <x:v>362</x:v>
      </x:c>
      <x:c r="H244" s="21" t="e">
        <x:f>IF(SUMIFS(İndirimler!$C$2:$C$110,İndirimler!$A$2:$A$110,B244,İndirimler!$B$2:$B$110,C244)&gt;0,ROUND(G244*(1-SUMIFS(İndirimler!$C$2:$C$110,İndirimler!$A$2:$A$110,B244,İndirimler!$B$2:$B$110,C244)),2),"")</x:f>
        <x:v>#NAME?</x:v>
      </x:c>
      <x:c r="I244" s="24" t="e">
        <x:f>IF(SUMIFS(İndirimler!$D$2:$D$110,İndirimler!$A$2:$A$110,B244,İndirimler!$B$2:$B$110,C244)&gt;0,ROUND(G244*(1-SUMIFS(İndirimler!$D$2:$D$110,İndirimler!$A$2:$A$110,B244,İndirimler!$B$2:$B$110,C244)),2),"")</x:f>
        <x:v>#NAME?</x:v>
      </x:c>
      <x:c r="J244" s="12"/>
      <x:c r="K244" s="31"/>
    </x:row>
    <x:row r="245" ht="21.950000762939453" customHeight="1">
      <x:c r="A245" s="15" t="s">
        <x:v>415</x:v>
      </x:c>
      <x:c r="B245" s="12" t="s">
        <x:v>326</x:v>
      </x:c>
      <x:c r="C245" s="12" t="s">
        <x:v>249</x:v>
      </x:c>
      <x:c r="D245" s="12" t="s">
        <x:v>308</x:v>
      </x:c>
      <x:c r="E245" s="12"/>
      <x:c r="F245" s="12" t="s">
        <x:v>42</x:v>
      </x:c>
      <x:c r="G245" s="18">
        <x:v>338</x:v>
      </x:c>
      <x:c r="H245" s="21" t="e">
        <x:f>IF(SUMIFS(İndirimler!$C$2:$C$110,İndirimler!$A$2:$A$110,B245,İndirimler!$B$2:$B$110,C245)&gt;0,ROUND(G245*(1-SUMIFS(İndirimler!$C$2:$C$110,İndirimler!$A$2:$A$110,B245,İndirimler!$B$2:$B$110,C245)),2),"")</x:f>
        <x:v>#NAME?</x:v>
      </x:c>
      <x:c r="I245" s="24" t="e">
        <x:f>IF(SUMIFS(İndirimler!$D$2:$D$110,İndirimler!$A$2:$A$110,B245,İndirimler!$B$2:$B$110,C245)&gt;0,ROUND(G245*(1-SUMIFS(İndirimler!$D$2:$D$110,İndirimler!$A$2:$A$110,B245,İndirimler!$B$2:$B$110,C245)),2),"")</x:f>
        <x:v>#NAME?</x:v>
      </x:c>
      <x:c r="J245" s="12"/>
      <x:c r="K245" s="31"/>
    </x:row>
    <x:row r="246" ht="21.950000762939453" customHeight="1">
      <x:c r="A246" s="15" t="s">
        <x:v>416</x:v>
      </x:c>
      <x:c r="B246" s="12" t="s">
        <x:v>139</x:v>
      </x:c>
      <x:c r="C246" s="12" t="s">
        <x:v>13</x:v>
      </x:c>
      <x:c r="D246" s="12" t="s">
        <x:v>308</x:v>
      </x:c>
      <x:c r="E246" s="12"/>
      <x:c r="F246" s="12" t="s">
        <x:v>16</x:v>
      </x:c>
      <x:c r="G246" s="18">
        <x:v>605</x:v>
      </x:c>
      <x:c r="H246" s="21" t="e">
        <x:f>IF(SUMIFS(İndirimler!$C$2:$C$110,İndirimler!$A$2:$A$110,B246,İndirimler!$B$2:$B$110,C246)&gt;0,ROUND(G246*(1-SUMIFS(İndirimler!$C$2:$C$110,İndirimler!$A$2:$A$110,B246,İndirimler!$B$2:$B$110,C246)),2),"")</x:f>
        <x:v>#NAME?</x:v>
      </x:c>
      <x:c r="I246" s="24" t="e">
        <x:f>IF(SUMIFS(İndirimler!$D$2:$D$110,İndirimler!$A$2:$A$110,B246,İndirimler!$B$2:$B$110,C246)&gt;0,ROUND(G246*(1-SUMIFS(İndirimler!$D$2:$D$110,İndirimler!$A$2:$A$110,B246,İndirimler!$B$2:$B$110,C246)),2),"")</x:f>
        <x:v>#NAME?</x:v>
      </x:c>
      <x:c r="J246" s="12"/>
      <x:c r="K246" s="31"/>
    </x:row>
    <x:row r="247" ht="21.950000762939453" customHeight="1">
      <x:c r="A247" s="15" t="s">
        <x:v>417</x:v>
      </x:c>
      <x:c r="B247" s="12" t="s">
        <x:v>18</x:v>
      </x:c>
      <x:c r="C247" s="12" t="s">
        <x:v>13</x:v>
      </x:c>
      <x:c r="D247" s="12" t="s">
        <x:v>308</x:v>
      </x:c>
      <x:c r="E247" s="12"/>
      <x:c r="F247" s="12" t="s">
        <x:v>16</x:v>
      </x:c>
      <x:c r="G247" s="18">
        <x:v>499</x:v>
      </x:c>
      <x:c r="H247" s="21" t="e">
        <x:f>IF(SUMIFS(İndirimler!$C$2:$C$110,İndirimler!$A$2:$A$110,B247,İndirimler!$B$2:$B$110,C247)&gt;0,ROUND(G247*(1-SUMIFS(İndirimler!$C$2:$C$110,İndirimler!$A$2:$A$110,B247,İndirimler!$B$2:$B$110,C247)),2),"")</x:f>
        <x:v>#NAME?</x:v>
      </x:c>
      <x:c r="I247" s="24" t="e">
        <x:f>IF(SUMIFS(İndirimler!$D$2:$D$110,İndirimler!$A$2:$A$110,B247,İndirimler!$B$2:$B$110,C247)&gt;0,ROUND(G247*(1-SUMIFS(İndirimler!$D$2:$D$110,İndirimler!$A$2:$A$110,B247,İndirimler!$B$2:$B$110,C247)),2),"")</x:f>
        <x:v>#NAME?</x:v>
      </x:c>
      <x:c r="J247" s="12" t="s">
        <x:v>297</x:v>
      </x:c>
      <x:c r="K247" s="31"/>
    </x:row>
    <x:row r="248" ht="21.950000762939453" customHeight="1">
      <x:c r="A248" s="15" t="s">
        <x:v>418</x:v>
      </x:c>
      <x:c r="B248" s="12" t="s">
        <x:v>334</x:v>
      </x:c>
      <x:c r="C248" s="12" t="s">
        <x:v>13</x:v>
      </x:c>
      <x:c r="D248" s="12" t="s">
        <x:v>308</x:v>
      </x:c>
      <x:c r="E248" s="12"/>
      <x:c r="F248" s="12" t="s">
        <x:v>16</x:v>
      </x:c>
      <x:c r="G248" s="18"/>
      <x:c r="H248" s="21" t="e">
        <x:f>IF(SUMIFS(İndirimler!$C$2:$C$110,İndirimler!$A$2:$A$110,B248,İndirimler!$B$2:$B$110,C248)&gt;0,ROUND(G248*(1-SUMIFS(İndirimler!$C$2:$C$110,İndirimler!$A$2:$A$110,B248,İndirimler!$B$2:$B$110,C248)),2),"")</x:f>
        <x:v>#NAME?</x:v>
      </x:c>
      <x:c r="I248" s="24" t="e">
        <x:f>IF(SUMIFS(İndirimler!$D$2:$D$110,İndirimler!$A$2:$A$110,B248,İndirimler!$B$2:$B$110,C248)&gt;0,ROUND(G248*(1-SUMIFS(İndirimler!$D$2:$D$110,İndirimler!$A$2:$A$110,B248,İndirimler!$B$2:$B$110,C248)),2),"")</x:f>
        <x:v>#NAME?</x:v>
      </x:c>
      <x:c r="J248" s="12"/>
      <x:c r="K248" s="31"/>
    </x:row>
    <x:row r="249" ht="21.950000762939453" customHeight="1">
      <x:c r="A249" s="15" t="s">
        <x:v>419</x:v>
      </x:c>
      <x:c r="B249" s="12" t="s">
        <x:v>307</x:v>
      </x:c>
      <x:c r="C249" s="12" t="s">
        <x:v>13</x:v>
      </x:c>
      <x:c r="D249" s="12" t="s">
        <x:v>308</x:v>
      </x:c>
      <x:c r="E249" s="12"/>
      <x:c r="F249" s="12" t="s">
        <x:v>16</x:v>
      </x:c>
      <x:c r="G249" s="18"/>
      <x:c r="H249" s="21" t="e">
        <x:f>IF(SUMIFS(İndirimler!$C$2:$C$110,İndirimler!$A$2:$A$110,B249,İndirimler!$B$2:$B$110,C249)&gt;0,ROUND(G249*(1-SUMIFS(İndirimler!$C$2:$C$110,İndirimler!$A$2:$A$110,B249,İndirimler!$B$2:$B$110,C249)),2),"")</x:f>
        <x:v>#NAME?</x:v>
      </x:c>
      <x:c r="I249" s="24" t="e">
        <x:f>IF(SUMIFS(İndirimler!$D$2:$D$110,İndirimler!$A$2:$A$110,B249,İndirimler!$B$2:$B$110,C249)&gt;0,ROUND(G249*(1-SUMIFS(İndirimler!$D$2:$D$110,İndirimler!$A$2:$A$110,B249,İndirimler!$B$2:$B$110,C249)),2),"")</x:f>
        <x:v>#NAME?</x:v>
      </x:c>
      <x:c r="J249" s="12"/>
      <x:c r="K249" s="31"/>
    </x:row>
    <x:row r="250" ht="21.950000762939453" customHeight="1">
      <x:c r="A250" s="15" t="s">
        <x:v>420</x:v>
      </x:c>
      <x:c r="B250" s="12" t="s">
        <x:v>23</x:v>
      </x:c>
      <x:c r="C250" s="12" t="s">
        <x:v>13</x:v>
      </x:c>
      <x:c r="D250" s="12" t="s">
        <x:v>308</x:v>
      </x:c>
      <x:c r="E250" s="12"/>
      <x:c r="F250" s="12" t="s">
        <x:v>16</x:v>
      </x:c>
      <x:c r="G250" s="18">
        <x:v>478</x:v>
      </x:c>
      <x:c r="H250" s="21" t="e">
        <x:f>IF(SUMIFS(İndirimler!$C$2:$C$110,İndirimler!$A$2:$A$110,B250,İndirimler!$B$2:$B$110,C250)&gt;0,ROUND(G250*(1-SUMIFS(İndirimler!$C$2:$C$110,İndirimler!$A$2:$A$110,B250,İndirimler!$B$2:$B$110,C250)),2),"")</x:f>
        <x:v>#NAME?</x:v>
      </x:c>
      <x:c r="I250" s="24" t="e">
        <x:f>IF(SUMIFS(İndirimler!$D$2:$D$110,İndirimler!$A$2:$A$110,B250,İndirimler!$B$2:$B$110,C250)&gt;0,ROUND(G250*(1-SUMIFS(İndirimler!$D$2:$D$110,İndirimler!$A$2:$A$110,B250,İndirimler!$B$2:$B$110,C250)),2),"")</x:f>
        <x:v>#NAME?</x:v>
      </x:c>
      <x:c r="J250" s="12"/>
      <x:c r="K250" s="31"/>
    </x:row>
    <x:row r="251" ht="21.950000762939453" customHeight="1">
      <x:c r="A251" s="15" t="s">
        <x:v>421</x:v>
      </x:c>
      <x:c r="B251" s="12" t="s">
        <x:v>25</x:v>
      </x:c>
      <x:c r="C251" s="12" t="s">
        <x:v>13</x:v>
      </x:c>
      <x:c r="D251" s="12" t="s">
        <x:v>308</x:v>
      </x:c>
      <x:c r="E251" s="12" t="s">
        <x:v>28</x:v>
      </x:c>
      <x:c r="F251" s="12" t="s">
        <x:v>16</x:v>
      </x:c>
      <x:c r="G251" s="18"/>
      <x:c r="H251" s="21" t="e">
        <x:f>IF(SUMIFS(İndirimler!$C$2:$C$110,İndirimler!$A$2:$A$110,B251,İndirimler!$B$2:$B$110,C251)&gt;0,ROUND(G251*(1-SUMIFS(İndirimler!$C$2:$C$110,İndirimler!$A$2:$A$110,B251,İndirimler!$B$2:$B$110,C251)),2),"")</x:f>
        <x:v>#NAME?</x:v>
      </x:c>
      <x:c r="I251" s="24" t="e">
        <x:f>IF(SUMIFS(İndirimler!$D$2:$D$110,İndirimler!$A$2:$A$110,B251,İndirimler!$B$2:$B$110,C251)&gt;0,ROUND(G251*(1-SUMIFS(İndirimler!$D$2:$D$110,İndirimler!$A$2:$A$110,B251,İndirimler!$B$2:$B$110,C251)),2),"")</x:f>
        <x:v>#NAME?</x:v>
      </x:c>
      <x:c r="J251" s="12"/>
      <x:c r="K251" s="31"/>
    </x:row>
    <x:row r="252" ht="21.950000762939453" customHeight="1">
      <x:c r="A252" s="15" t="s">
        <x:v>422</x:v>
      </x:c>
      <x:c r="B252" s="12" t="s">
        <x:v>50</x:v>
      </x:c>
      <x:c r="C252" s="12" t="s">
        <x:v>13</x:v>
      </x:c>
      <x:c r="D252" s="12" t="s">
        <x:v>308</x:v>
      </x:c>
      <x:c r="E252" s="12"/>
      <x:c r="F252" s="12" t="s">
        <x:v>16</x:v>
      </x:c>
      <x:c r="G252" s="18">
        <x:v>504</x:v>
      </x:c>
      <x:c r="H252" s="21" t="e">
        <x:f>IF(SUMIFS(İndirimler!$C$2:$C$110,İndirimler!$A$2:$A$110,B252,İndirimler!$B$2:$B$110,C252)&gt;0,ROUND(G252*(1-SUMIFS(İndirimler!$C$2:$C$110,İndirimler!$A$2:$A$110,B252,İndirimler!$B$2:$B$110,C252)),2),"")</x:f>
        <x:v>#NAME?</x:v>
      </x:c>
      <x:c r="I252" s="24" t="e">
        <x:f>IF(SUMIFS(İndirimler!$D$2:$D$110,İndirimler!$A$2:$A$110,B252,İndirimler!$B$2:$B$110,C252)&gt;0,ROUND(G252*(1-SUMIFS(İndirimler!$D$2:$D$110,İndirimler!$A$2:$A$110,B252,İndirimler!$B$2:$B$110,C252)),2),"")</x:f>
        <x:v>#NAME?</x:v>
      </x:c>
      <x:c r="J252" s="12"/>
      <x:c r="K252" s="31"/>
    </x:row>
    <x:row r="253" ht="21.950000762939453" customHeight="1">
      <x:c r="A253" s="15" t="s">
        <x:v>423</x:v>
      </x:c>
      <x:c r="B253" s="12" t="s">
        <x:v>129</x:v>
      </x:c>
      <x:c r="C253" s="12" t="s">
        <x:v>13</x:v>
      </x:c>
      <x:c r="D253" s="12" t="s">
        <x:v>308</x:v>
      </x:c>
      <x:c r="E253" s="12"/>
      <x:c r="F253" s="12" t="s">
        <x:v>16</x:v>
      </x:c>
      <x:c r="G253" s="18">
        <x:v>499</x:v>
      </x:c>
      <x:c r="H253" s="21" t="e">
        <x:f>IF(SUMIFS(İndirimler!$C$2:$C$110,İndirimler!$A$2:$A$110,B253,İndirimler!$B$2:$B$110,C253)&gt;0,ROUND(G253*(1-SUMIFS(İndirimler!$C$2:$C$110,İndirimler!$A$2:$A$110,B253,İndirimler!$B$2:$B$110,C253)),2),"")</x:f>
        <x:v>#NAME?</x:v>
      </x:c>
      <x:c r="I253" s="24" t="e">
        <x:f>IF(SUMIFS(İndirimler!$D$2:$D$110,İndirimler!$A$2:$A$110,B253,İndirimler!$B$2:$B$110,C253)&gt;0,ROUND(G253*(1-SUMIFS(İndirimler!$D$2:$D$110,İndirimler!$A$2:$A$110,B253,İndirimler!$B$2:$B$110,C253)),2),"")</x:f>
        <x:v>#NAME?</x:v>
      </x:c>
      <x:c r="J253" s="12"/>
      <x:c r="K253" s="31"/>
    </x:row>
    <x:row r="254" ht="21.950000762939453" customHeight="1">
      <x:c r="A254" s="15" t="s">
        <x:v>424</x:v>
      </x:c>
      <x:c r="B254" s="12" t="s">
        <x:v>129</x:v>
      </x:c>
      <x:c r="C254" s="12" t="s">
        <x:v>13</x:v>
      </x:c>
      <x:c r="D254" s="12" t="s">
        <x:v>308</x:v>
      </x:c>
      <x:c r="E254" s="12"/>
      <x:c r="F254" s="12" t="s">
        <x:v>16</x:v>
      </x:c>
      <x:c r="G254" s="18"/>
      <x:c r="H254" s="21" t="e">
        <x:f>IF(SUMIFS(İndirimler!$C$2:$C$110,İndirimler!$A$2:$A$110,B254,İndirimler!$B$2:$B$110,C254)&gt;0,ROUND(G254*(1-SUMIFS(İndirimler!$C$2:$C$110,İndirimler!$A$2:$A$110,B254,İndirimler!$B$2:$B$110,C254)),2),"")</x:f>
        <x:v>#NAME?</x:v>
      </x:c>
      <x:c r="I254" s="24" t="e">
        <x:f>IF(SUMIFS(İndirimler!$D$2:$D$110,İndirimler!$A$2:$A$110,B254,İndirimler!$B$2:$B$110,C254)&gt;0,ROUND(G254*(1-SUMIFS(İndirimler!$D$2:$D$110,İndirimler!$A$2:$A$110,B254,İndirimler!$B$2:$B$110,C254)),2),"")</x:f>
        <x:v>#NAME?</x:v>
      </x:c>
      <x:c r="J254" s="12"/>
      <x:c r="K254" s="31"/>
    </x:row>
    <x:row r="255" ht="21.950000762939453" customHeight="1">
      <x:c r="A255" s="15" t="s">
        <x:v>425</x:v>
      </x:c>
      <x:c r="B255" s="12" t="s">
        <x:v>38</x:v>
      </x:c>
      <x:c r="C255" s="12" t="s">
        <x:v>13</x:v>
      </x:c>
      <x:c r="D255" s="12" t="s">
        <x:v>308</x:v>
      </x:c>
      <x:c r="E255" s="12" t="s">
        <x:v>69</x:v>
      </x:c>
      <x:c r="F255" s="12" t="s">
        <x:v>16</x:v>
      </x:c>
      <x:c r="G255" s="18">
        <x:v>365</x:v>
      </x:c>
      <x:c r="H255" s="21" t="e">
        <x:f>IF(SUMIFS(İndirimler!$C$2:$C$110,İndirimler!$A$2:$A$110,B255,İndirimler!$B$2:$B$110,C255)&gt;0,ROUND(G255*(1-SUMIFS(İndirimler!$C$2:$C$110,İndirimler!$A$2:$A$110,B255,İndirimler!$B$2:$B$110,C255)),2),"")</x:f>
        <x:v>#NAME?</x:v>
      </x:c>
      <x:c r="I255" s="24" t="e">
        <x:f>IF(SUMIFS(İndirimler!$D$2:$D$110,İndirimler!$A$2:$A$110,B255,İndirimler!$B$2:$B$110,C255)&gt;0,ROUND(G255*(1-SUMIFS(İndirimler!$D$2:$D$110,İndirimler!$A$2:$A$110,B255,İndirimler!$B$2:$B$110,C255)),2),"")</x:f>
        <x:v>#NAME?</x:v>
      </x:c>
      <x:c r="J255" s="12"/>
      <x:c r="K255" s="31"/>
    </x:row>
    <x:row r="256" ht="21.950000762939453" customHeight="1">
      <x:c r="A256" s="15" t="s">
        <x:v>426</x:v>
      </x:c>
      <x:c r="B256" s="12" t="s">
        <x:v>427</x:v>
      </x:c>
      <x:c r="C256" s="12" t="s">
        <x:v>33</x:v>
      </x:c>
      <x:c r="D256" s="12" t="s">
        <x:v>428</x:v>
      </x:c>
      <x:c r="E256" s="12" t="s">
        <x:v>429</x:v>
      </x:c>
      <x:c r="F256" s="12" t="s">
        <x:v>35</x:v>
      </x:c>
      <x:c r="G256" s="18">
        <x:v>649</x:v>
      </x:c>
      <x:c r="H256" s="21" t="e">
        <x:f>IF(SUMIFS(İndirimler!$C$2:$C$110,İndirimler!$A$2:$A$110,B256,İndirimler!$B$2:$B$110,C256)&gt;0,ROUND(G256*(1-SUMIFS(İndirimler!$C$2:$C$110,İndirimler!$A$2:$A$110,B256,İndirimler!$B$2:$B$110,C256)),2),"")</x:f>
        <x:v>#NAME?</x:v>
      </x:c>
      <x:c r="I256" s="24" t="e">
        <x:f>IF(SUMIFS(İndirimler!$D$2:$D$110,İndirimler!$A$2:$A$110,B256,İndirimler!$B$2:$B$110,C256)&gt;0,ROUND(G256*(1-SUMIFS(İndirimler!$D$2:$D$110,İndirimler!$A$2:$A$110,B256,İndirimler!$B$2:$B$110,C256)),2),"")</x:f>
        <x:v>#NAME?</x:v>
      </x:c>
      <x:c r="J256" s="12" t="s">
        <x:v>430</x:v>
      </x:c>
      <x:c r="K256" s="31"/>
    </x:row>
    <x:row r="257" ht="21.950000762939453" customHeight="1">
      <x:c r="A257" s="15" t="s">
        <x:v>431</x:v>
      </x:c>
      <x:c r="B257" s="12" t="s">
        <x:v>32</x:v>
      </x:c>
      <x:c r="C257" s="12" t="s">
        <x:v>33</x:v>
      </x:c>
      <x:c r="D257" s="12" t="s">
        <x:v>428</x:v>
      </x:c>
      <x:c r="E257" s="12"/>
      <x:c r="F257" s="12" t="s">
        <x:v>35</x:v>
      </x:c>
      <x:c r="G257" s="18">
        <x:v>499</x:v>
      </x:c>
      <x:c r="H257" s="21" t="e">
        <x:f>IF(SUMIFS(İndirimler!$C$2:$C$110,İndirimler!$A$2:$A$110,B257,İndirimler!$B$2:$B$110,C257)&gt;0,ROUND(G257*(1-SUMIFS(İndirimler!$C$2:$C$110,İndirimler!$A$2:$A$110,B257,İndirimler!$B$2:$B$110,C257)),2),"")</x:f>
        <x:v>#NAME?</x:v>
      </x:c>
      <x:c r="I257" s="24" t="e">
        <x:f>IF(SUMIFS(İndirimler!$D$2:$D$110,İndirimler!$A$2:$A$110,B257,İndirimler!$B$2:$B$110,C257)&gt;0,ROUND(G257*(1-SUMIFS(İndirimler!$D$2:$D$110,İndirimler!$A$2:$A$110,B257,İndirimler!$B$2:$B$110,C257)),2),"")</x:f>
        <x:v>#NAME?</x:v>
      </x:c>
      <x:c r="J257" s="30" t="s">
        <x:v>432</x:v>
      </x:c>
      <x:c r="K257" s="31"/>
    </x:row>
    <x:row r="258" ht="21.950000762939453" customHeight="1">
      <x:c r="A258" s="15" t="s">
        <x:v>433</x:v>
      </x:c>
      <x:c r="B258" s="12" t="s">
        <x:v>38</x:v>
      </x:c>
      <x:c r="C258" s="12" t="s">
        <x:v>33</x:v>
      </x:c>
      <x:c r="D258" s="12" t="s">
        <x:v>428</x:v>
      </x:c>
      <x:c r="E258" s="12"/>
      <x:c r="F258" s="12" t="s">
        <x:v>35</x:v>
      </x:c>
      <x:c r="G258" s="18">
        <x:v>615</x:v>
      </x:c>
      <x:c r="H258" s="21" t="e">
        <x:f>IF(SUMIFS(İndirimler!$C$2:$C$110,İndirimler!$A$2:$A$110,B258,İndirimler!$B$2:$B$110,C258)&gt;0,ROUND(G258*(1-SUMIFS(İndirimler!$C$2:$C$110,İndirimler!$A$2:$A$110,B258,İndirimler!$B$2:$B$110,C258)),2),"")</x:f>
        <x:v>#NAME?</x:v>
      </x:c>
      <x:c r="I258" s="24" t="e">
        <x:f>IF(SUMIFS(İndirimler!$D$2:$D$110,İndirimler!$A$2:$A$110,B258,İndirimler!$B$2:$B$110,C258)&gt;0,ROUND(G258*(1-SUMIFS(İndirimler!$D$2:$D$110,İndirimler!$A$2:$A$110,B258,İndirimler!$B$2:$B$110,C258)),2),"")</x:f>
        <x:v>#NAME?</x:v>
      </x:c>
      <x:c r="J258" s="30" t="s">
        <x:v>434</x:v>
      </x:c>
      <x:c r="K258" s="31"/>
    </x:row>
    <x:row r="259" ht="21.950000762939453" customHeight="1">
      <x:c r="A259" s="15" t="s">
        <x:v>435</x:v>
      </x:c>
      <x:c r="B259" s="12" t="s">
        <x:v>139</x:v>
      </x:c>
      <x:c r="C259" s="12" t="s">
        <x:v>33</x:v>
      </x:c>
      <x:c r="D259" s="12" t="s">
        <x:v>428</x:v>
      </x:c>
      <x:c r="E259" s="12" t="s">
        <x:v>317</x:v>
      </x:c>
      <x:c r="F259" s="12" t="s">
        <x:v>42</x:v>
      </x:c>
      <x:c r="G259" s="18">
        <x:v>515</x:v>
      </x:c>
      <x:c r="H259" s="21" t="e">
        <x:f>IF(SUMIFS(İndirimler!$C$2:$C$110,İndirimler!$A$2:$A$110,B259,İndirimler!$B$2:$B$110,C259)&gt;0,ROUND(G259*(1-SUMIFS(İndirimler!$C$2:$C$110,İndirimler!$A$2:$A$110,B259,İndirimler!$B$2:$B$110,C259)),2),"")</x:f>
        <x:v>#NAME?</x:v>
      </x:c>
      <x:c r="I259" s="24" t="e">
        <x:f>IF(SUMIFS(İndirimler!$D$2:$D$110,İndirimler!$A$2:$A$110,B259,İndirimler!$B$2:$B$110,C259)&gt;0,ROUND(G259*(1-SUMIFS(İndirimler!$D$2:$D$110,İndirimler!$A$2:$A$110,B259,İndirimler!$B$2:$B$110,C259)),2),"")</x:f>
        <x:v>#NAME?</x:v>
      </x:c>
      <x:c r="J259" s="30" t="s">
        <x:v>436</x:v>
      </x:c>
      <x:c r="K259" s="31"/>
    </x:row>
    <x:row r="260" ht="21.950000762939453" customHeight="1">
      <x:c r="A260" s="15" t="s">
        <x:v>437</x:v>
      </x:c>
      <x:c r="B260" s="12" t="s">
        <x:v>18</x:v>
      </x:c>
      <x:c r="C260" s="12" t="s">
        <x:v>33</x:v>
      </x:c>
      <x:c r="D260" s="12" t="s">
        <x:v>428</x:v>
      </x:c>
      <x:c r="E260" s="12" t="s">
        <x:v>41</x:v>
      </x:c>
      <x:c r="F260" s="12" t="s">
        <x:v>42</x:v>
      </x:c>
      <x:c r="G260" s="18"/>
      <x:c r="H260" s="21" t="e">
        <x:f>IF(SUMIFS(İndirimler!$C$2:$C$110,İndirimler!$A$2:$A$110,B260,İndirimler!$B$2:$B$110,C260)&gt;0,ROUND(G260*(1-SUMIFS(İndirimler!$C$2:$C$110,İndirimler!$A$2:$A$110,B260,İndirimler!$B$2:$B$110,C260)),2),"")</x:f>
        <x:v>#NAME?</x:v>
      </x:c>
      <x:c r="I260" s="24" t="e">
        <x:f>IF(SUMIFS(İndirimler!$D$2:$D$110,İndirimler!$A$2:$A$110,B260,İndirimler!$B$2:$B$110,C260)&gt;0,ROUND(G260*(1-SUMIFS(İndirimler!$D$2:$D$110,İndirimler!$A$2:$A$110,B260,İndirimler!$B$2:$B$110,C260)),2),"")</x:f>
        <x:v>#NAME?</x:v>
      </x:c>
      <x:c r="J260" s="12"/>
      <x:c r="K260" s="31"/>
    </x:row>
    <x:row r="261" ht="21.950000762939453" customHeight="1">
      <x:c r="A261" s="15" t="s">
        <x:v>438</x:v>
      </x:c>
      <x:c r="B261" s="12" t="s">
        <x:v>44</x:v>
      </x:c>
      <x:c r="C261" s="12" t="s">
        <x:v>33</x:v>
      </x:c>
      <x:c r="D261" s="12" t="s">
        <x:v>428</x:v>
      </x:c>
      <x:c r="E261" s="12" t="s">
        <x:v>45</x:v>
      </x:c>
      <x:c r="F261" s="12" t="s">
        <x:v>42</x:v>
      </x:c>
      <x:c r="G261" s="18">
        <x:v>376</x:v>
      </x:c>
      <x:c r="H261" s="21" t="e">
        <x:f>IF(SUMIFS(İndirimler!$C$2:$C$110,İndirimler!$A$2:$A$110,B261,İndirimler!$B$2:$B$110,C261)&gt;0,ROUND(G261*(1-SUMIFS(İndirimler!$C$2:$C$110,İndirimler!$A$2:$A$110,B261,İndirimler!$B$2:$B$110,C261)),2),"")</x:f>
        <x:v>#NAME?</x:v>
      </x:c>
      <x:c r="I261" s="24" t="e">
        <x:f>IF(SUMIFS(İndirimler!$D$2:$D$110,İndirimler!$A$2:$A$110,B261,İndirimler!$B$2:$B$110,C261)&gt;0,ROUND(G261*(1-SUMIFS(İndirimler!$D$2:$D$110,İndirimler!$A$2:$A$110,B261,İndirimler!$B$2:$B$110,C261)),2),"")</x:f>
        <x:v>#NAME?</x:v>
      </x:c>
      <x:c r="J261" s="12" t="s">
        <x:v>439</x:v>
      </x:c>
      <x:c r="K261" s="31"/>
    </x:row>
    <x:row r="262" ht="21.950000762939453" customHeight="1">
      <x:c r="A262" s="15" t="s">
        <x:v>440</x:v>
      </x:c>
      <x:c r="B262" s="12" t="s">
        <x:v>23</x:v>
      </x:c>
      <x:c r="C262" s="12" t="s">
        <x:v>33</x:v>
      </x:c>
      <x:c r="D262" s="12" t="s">
        <x:v>428</x:v>
      </x:c>
      <x:c r="E262" s="12"/>
      <x:c r="F262" s="12" t="s">
        <x:v>42</x:v>
      </x:c>
      <x:c r="G262" s="18">
        <x:v>548</x:v>
      </x:c>
      <x:c r="H262" s="21" t="e">
        <x:f>IF(SUMIFS(İndirimler!$C$2:$C$110,İndirimler!$A$2:$A$110,B262,İndirimler!$B$2:$B$110,C262)&gt;0,ROUND(G262*(1-SUMIFS(İndirimler!$C$2:$C$110,İndirimler!$A$2:$A$110,B262,İndirimler!$B$2:$B$110,C262)),2),"")</x:f>
        <x:v>#NAME?</x:v>
      </x:c>
      <x:c r="I262" s="24" t="e">
        <x:f>IF(SUMIFS(İndirimler!$D$2:$D$110,İndirimler!$A$2:$A$110,B262,İndirimler!$B$2:$B$110,C262)&gt;0,ROUND(G262*(1-SUMIFS(İndirimler!$D$2:$D$110,İndirimler!$A$2:$A$110,B262,İndirimler!$B$2:$B$110,C262)),2),"")</x:f>
        <x:v>#NAME?</x:v>
      </x:c>
      <x:c r="J262" s="30" t="s">
        <x:v>441</x:v>
      </x:c>
      <x:c r="K262" s="31"/>
    </x:row>
    <x:row r="263" ht="21.950000762939453" customHeight="1">
      <x:c r="A263" s="15" t="s">
        <x:v>442</x:v>
      </x:c>
      <x:c r="B263" s="12" t="s">
        <x:v>50</x:v>
      </x:c>
      <x:c r="C263" s="12" t="s">
        <x:v>33</x:v>
      </x:c>
      <x:c r="D263" s="12" t="s">
        <x:v>428</x:v>
      </x:c>
      <x:c r="E263" s="12" t="s">
        <x:v>51</x:v>
      </x:c>
      <x:c r="F263" s="12" t="s">
        <x:v>42</x:v>
      </x:c>
      <x:c r="G263" s="18">
        <x:v>720</x:v>
      </x:c>
      <x:c r="H263" s="21" t="e">
        <x:f>IF(SUMIFS(İndirimler!$C$2:$C$110,İndirimler!$A$2:$A$110,B263,İndirimler!$B$2:$B$110,C263)&gt;0,ROUND(G263*(1-SUMIFS(İndirimler!$C$2:$C$110,İndirimler!$A$2:$A$110,B263,İndirimler!$B$2:$B$110,C263)),2),"")</x:f>
        <x:v>#NAME?</x:v>
      </x:c>
      <x:c r="I263" s="24" t="e">
        <x:f>IF(SUMIFS(İndirimler!$D$2:$D$110,İndirimler!$A$2:$A$110,B263,İndirimler!$B$2:$B$110,C263)&gt;0,ROUND(G263*(1-SUMIFS(İndirimler!$D$2:$D$110,İndirimler!$A$2:$A$110,B263,İndirimler!$B$2:$B$110,C263)),2),"")</x:f>
        <x:v>#NAME?</x:v>
      </x:c>
      <x:c r="J263" s="12"/>
      <x:c r="K263" s="31"/>
    </x:row>
    <x:row r="264" ht="21.950000762939453" customHeight="1">
      <x:c r="A264" s="15" t="s">
        <x:v>443</x:v>
      </x:c>
      <x:c r="B264" s="12" t="s">
        <x:v>444</x:v>
      </x:c>
      <x:c r="C264" s="12" t="s">
        <x:v>33</x:v>
      </x:c>
      <x:c r="D264" s="12" t="s">
        <x:v>428</x:v>
      </x:c>
      <x:c r="E264" s="12"/>
      <x:c r="F264" s="12" t="s">
        <x:v>42</x:v>
      </x:c>
      <x:c r="G264" s="18"/>
      <x:c r="H264" s="21" t="e">
        <x:f>IF(SUMIFS(İndirimler!$C$2:$C$110,İndirimler!$A$2:$A$110,B264,İndirimler!$B$2:$B$110,C264)&gt;0,ROUND(G264*(1-SUMIFS(İndirimler!$C$2:$C$110,İndirimler!$A$2:$A$110,B264,İndirimler!$B$2:$B$110,C264)),2),"")</x:f>
        <x:v>#NAME?</x:v>
      </x:c>
      <x:c r="I264" s="24" t="e">
        <x:f>IF(SUMIFS(İndirimler!$D$2:$D$110,İndirimler!$A$2:$A$110,B264,İndirimler!$B$2:$B$110,C264)&gt;0,ROUND(G264*(1-SUMIFS(İndirimler!$D$2:$D$110,İndirimler!$A$2:$A$110,B264,İndirimler!$B$2:$B$110,C264)),2),"")</x:f>
        <x:v>#NAME?</x:v>
      </x:c>
      <x:c r="J264" s="12"/>
      <x:c r="K264" s="31"/>
    </x:row>
    <x:row r="265" ht="21.950000762939453" customHeight="1">
      <x:c r="A265" s="15" t="s">
        <x:v>445</x:v>
      </x:c>
      <x:c r="B265" s="12" t="s">
        <x:v>55</x:v>
      </x:c>
      <x:c r="C265" s="12" t="s">
        <x:v>33</x:v>
      </x:c>
      <x:c r="D265" s="12" t="s">
        <x:v>428</x:v>
      </x:c>
      <x:c r="E265" s="12"/>
      <x:c r="F265" s="12" t="s">
        <x:v>16</x:v>
      </x:c>
      <x:c r="G265" s="18">
        <x:v>366</x:v>
      </x:c>
      <x:c r="H265" s="21" t="e">
        <x:f>IF(SUMIFS(İndirimler!$C$2:$C$110,İndirimler!$A$2:$A$110,B265,İndirimler!$B$2:$B$110,C265)&gt;0,ROUND(G265*(1-SUMIFS(İndirimler!$C$2:$C$110,İndirimler!$A$2:$A$110,B265,İndirimler!$B$2:$B$110,C265)),2),"")</x:f>
        <x:v>#NAME?</x:v>
      </x:c>
      <x:c r="I265" s="24" t="e">
        <x:f>IF(SUMIFS(İndirimler!$D$2:$D$110,İndirimler!$A$2:$A$110,B265,İndirimler!$B$2:$B$110,C265)&gt;0,ROUND(G265*(1-SUMIFS(İndirimler!$D$2:$D$110,İndirimler!$A$2:$A$110,B265,İndirimler!$B$2:$B$110,C265)),2),"")</x:f>
        <x:v>#NAME?</x:v>
      </x:c>
      <x:c r="J265" s="12" t="s">
        <x:v>446</x:v>
      </x:c>
      <x:c r="K265" s="31"/>
    </x:row>
    <x:row r="266" ht="21.950000762939453" customHeight="1">
      <x:c r="A266" s="15" t="s">
        <x:v>447</x:v>
      </x:c>
      <x:c r="B266" s="12" t="s">
        <x:v>139</x:v>
      </x:c>
      <x:c r="C266" s="12" t="s">
        <x:v>33</x:v>
      </x:c>
      <x:c r="D266" s="12" t="s">
        <x:v>428</x:v>
      </x:c>
      <x:c r="E266" s="12"/>
      <x:c r="F266" s="12" t="s">
        <x:v>16</x:v>
      </x:c>
      <x:c r="G266" s="18">
        <x:v>592</x:v>
      </x:c>
      <x:c r="H266" s="21" t="e">
        <x:f>IF(SUMIFS(İndirimler!$C$2:$C$110,İndirimler!$A$2:$A$110,B266,İndirimler!$B$2:$B$110,C266)&gt;0,ROUND(G266*(1-SUMIFS(İndirimler!$C$2:$C$110,İndirimler!$A$2:$A$110,B266,İndirimler!$B$2:$B$110,C266)),2),"")</x:f>
        <x:v>#NAME?</x:v>
      </x:c>
      <x:c r="I266" s="24" t="e">
        <x:f>IF(SUMIFS(İndirimler!$D$2:$D$110,İndirimler!$A$2:$A$110,B266,İndirimler!$B$2:$B$110,C266)&gt;0,ROUND(G266*(1-SUMIFS(İndirimler!$D$2:$D$110,İndirimler!$A$2:$A$110,B266,İndirimler!$B$2:$B$110,C266)),2),"")</x:f>
        <x:v>#NAME?</x:v>
      </x:c>
      <x:c r="J266" s="30" t="s">
        <x:v>448</x:v>
      </x:c>
      <x:c r="K266" s="31"/>
    </x:row>
    <x:row r="267" ht="21.950000762939453" customHeight="1">
      <x:c r="A267" s="15" t="s">
        <x:v>449</x:v>
      </x:c>
      <x:c r="B267" s="12" t="s">
        <x:v>18</x:v>
      </x:c>
      <x:c r="C267" s="12" t="s">
        <x:v>33</x:v>
      </x:c>
      <x:c r="D267" s="12" t="s">
        <x:v>428</x:v>
      </x:c>
      <x:c r="E267" s="12"/>
      <x:c r="F267" s="12" t="s">
        <x:v>16</x:v>
      </x:c>
      <x:c r="G267" s="18">
        <x:v>479</x:v>
      </x:c>
      <x:c r="H267" s="21" t="e">
        <x:f>IF(SUMIFS(İndirimler!$C$2:$C$110,İndirimler!$A$2:$A$110,B267,İndirimler!$B$2:$B$110,C267)&gt;0,ROUND(G267*(1-SUMIFS(İndirimler!$C$2:$C$110,İndirimler!$A$2:$A$110,B267,İndirimler!$B$2:$B$110,C267)),2),"")</x:f>
        <x:v>#NAME?</x:v>
      </x:c>
      <x:c r="I267" s="24" t="e">
        <x:f>IF(SUMIFS(İndirimler!$D$2:$D$110,İndirimler!$A$2:$A$110,B267,İndirimler!$B$2:$B$110,C267)&gt;0,ROUND(G267*(1-SUMIFS(İndirimler!$D$2:$D$110,İndirimler!$A$2:$A$110,B267,İndirimler!$B$2:$B$110,C267)),2),"")</x:f>
        <x:v>#NAME?</x:v>
      </x:c>
      <x:c r="J267" s="30" t="s">
        <x:v>450</x:v>
      </x:c>
      <x:c r="K267" s="31"/>
    </x:row>
    <x:row r="268" ht="21.950000762939453" customHeight="1">
      <x:c r="A268" s="15" t="s">
        <x:v>451</x:v>
      </x:c>
      <x:c r="B268" s="12" t="s">
        <x:v>44</x:v>
      </x:c>
      <x:c r="C268" s="12" t="s">
        <x:v>33</x:v>
      </x:c>
      <x:c r="D268" s="12" t="s">
        <x:v>428</x:v>
      </x:c>
      <x:c r="E268" s="12" t="s">
        <x:v>60</x:v>
      </x:c>
      <x:c r="F268" s="12" t="s">
        <x:v>16</x:v>
      </x:c>
      <x:c r="G268" s="18">
        <x:v>274</x:v>
      </x:c>
      <x:c r="H268" s="21" t="e">
        <x:f>IF(SUMIFS(İndirimler!$C$2:$C$110,İndirimler!$A$2:$A$110,B268,İndirimler!$B$2:$B$110,C268)&gt;0,ROUND(G268*(1-SUMIFS(İndirimler!$C$2:$C$110,İndirimler!$A$2:$A$110,B268,İndirimler!$B$2:$B$110,C268)),2),"")</x:f>
        <x:v>#NAME?</x:v>
      </x:c>
      <x:c r="I268" s="24" t="e">
        <x:f>IF(SUMIFS(İndirimler!$D$2:$D$110,İndirimler!$A$2:$A$110,B268,İndirimler!$B$2:$B$110,C268)&gt;0,ROUND(G268*(1-SUMIFS(İndirimler!$D$2:$D$110,İndirimler!$A$2:$A$110,B268,İndirimler!$B$2:$B$110,C268)),2),"")</x:f>
        <x:v>#NAME?</x:v>
      </x:c>
      <x:c r="J268" s="12" t="s">
        <x:v>452</x:v>
      </x:c>
      <x:c r="K268" s="31"/>
    </x:row>
    <x:row r="269" ht="21.950000762939453" customHeight="1">
      <x:c r="A269" s="15" t="s">
        <x:v>453</x:v>
      </x:c>
      <x:c r="B269" s="12" t="s">
        <x:v>63</x:v>
      </x:c>
      <x:c r="C269" s="12" t="s">
        <x:v>33</x:v>
      </x:c>
      <x:c r="D269" s="12" t="s">
        <x:v>428</x:v>
      </x:c>
      <x:c r="E269" s="12" t="s">
        <x:v>64</x:v>
      </x:c>
      <x:c r="F269" s="12" t="s">
        <x:v>16</x:v>
      </x:c>
      <x:c r="G269" s="18">
        <x:v>475</x:v>
      </x:c>
      <x:c r="H269" s="21" t="e">
        <x:f>IF(SUMIFS(İndirimler!$C$2:$C$110,İndirimler!$A$2:$A$110,B269,İndirimler!$B$2:$B$110,C269)&gt;0,ROUND(G269*(1-SUMIFS(İndirimler!$C$2:$C$110,İndirimler!$A$2:$A$110,B269,İndirimler!$B$2:$B$110,C269)),2),"")</x:f>
        <x:v>#NAME?</x:v>
      </x:c>
      <x:c r="I269" s="24" t="e">
        <x:f>IF(SUMIFS(İndirimler!$D$2:$D$110,İndirimler!$A$2:$A$110,B269,İndirimler!$B$2:$B$110,C269)&gt;0,ROUND(G269*(1-SUMIFS(İndirimler!$D$2:$D$110,İndirimler!$A$2:$A$110,B269,İndirimler!$B$2:$B$110,C269)),2),"")</x:f>
        <x:v>#NAME?</x:v>
      </x:c>
      <x:c r="J269" s="12" t="s">
        <x:v>454</x:v>
      </x:c>
      <x:c r="K269" s="31"/>
    </x:row>
    <x:row r="270" ht="21.950000762939453" customHeight="1">
      <x:c r="A270" s="15" t="s">
        <x:v>455</x:v>
      </x:c>
      <x:c r="B270" s="12" t="s">
        <x:v>23</x:v>
      </x:c>
      <x:c r="C270" s="12" t="s">
        <x:v>33</x:v>
      </x:c>
      <x:c r="D270" s="12" t="s">
        <x:v>428</x:v>
      </x:c>
      <x:c r="E270" s="12"/>
      <x:c r="F270" s="12" t="s">
        <x:v>16</x:v>
      </x:c>
      <x:c r="G270" s="18">
        <x:v>548</x:v>
      </x:c>
      <x:c r="H270" s="21" t="e">
        <x:f>IF(SUMIFS(İndirimler!$C$2:$C$110,İndirimler!$A$2:$A$110,B270,İndirimler!$B$2:$B$110,C270)&gt;0,ROUND(G270*(1-SUMIFS(İndirimler!$C$2:$C$110,İndirimler!$A$2:$A$110,B270,İndirimler!$B$2:$B$110,C270)),2),"")</x:f>
        <x:v>#NAME?</x:v>
      </x:c>
      <x:c r="I270" s="24" t="e">
        <x:f>IF(SUMIFS(İndirimler!$D$2:$D$110,İndirimler!$A$2:$A$110,B270,İndirimler!$B$2:$B$110,C270)&gt;0,ROUND(G270*(1-SUMIFS(İndirimler!$D$2:$D$110,İndirimler!$A$2:$A$110,B270,İndirimler!$B$2:$B$110,C270)),2),"")</x:f>
        <x:v>#NAME?</x:v>
      </x:c>
      <x:c r="J270" s="30" t="s">
        <x:v>456</x:v>
      </x:c>
      <x:c r="K270" s="31"/>
    </x:row>
    <x:row r="271" ht="21.950000762939453" customHeight="1">
      <x:c r="A271" s="15" t="s">
        <x:v>457</x:v>
      </x:c>
      <x:c r="B271" s="12" t="s">
        <x:v>50</x:v>
      </x:c>
      <x:c r="C271" s="12" t="s">
        <x:v>33</x:v>
      </x:c>
      <x:c r="D271" s="12" t="s">
        <x:v>428</x:v>
      </x:c>
      <x:c r="E271" s="12" t="s">
        <x:v>69</x:v>
      </x:c>
      <x:c r="F271" s="12" t="s">
        <x:v>16</x:v>
      </x:c>
      <x:c r="G271" s="18">
        <x:v>510</x:v>
      </x:c>
      <x:c r="H271" s="21" t="e">
        <x:f>IF(SUMIFS(İndirimler!$C$2:$C$110,İndirimler!$A$2:$A$110,B271,İndirimler!$B$2:$B$110,C271)&gt;0,ROUND(G271*(1-SUMIFS(İndirimler!$C$2:$C$110,İndirimler!$A$2:$A$110,B271,İndirimler!$B$2:$B$110,C271)),2),"")</x:f>
        <x:v>#NAME?</x:v>
      </x:c>
      <x:c r="I271" s="24" t="e">
        <x:f>IF(SUMIFS(İndirimler!$D$2:$D$110,İndirimler!$A$2:$A$110,B271,İndirimler!$B$2:$B$110,C271)&gt;0,ROUND(G271*(1-SUMIFS(İndirimler!$D$2:$D$110,İndirimler!$A$2:$A$110,B271,İndirimler!$B$2:$B$110,C271)),2),"")</x:f>
        <x:v>#NAME?</x:v>
      </x:c>
      <x:c r="J271" s="12"/>
      <x:c r="K271" s="31"/>
    </x:row>
    <x:row r="272" ht="21.950000762939453" customHeight="1">
      <x:c r="A272" s="15" t="s">
        <x:v>458</x:v>
      </x:c>
      <x:c r="B272" s="12" t="s">
        <x:v>427</x:v>
      </x:c>
      <x:c r="C272" s="12" t="s">
        <x:v>33</x:v>
      </x:c>
      <x:c r="D272" s="12" t="s">
        <x:v>428</x:v>
      </x:c>
      <x:c r="E272" s="12"/>
      <x:c r="F272" s="12" t="s">
        <x:v>16</x:v>
      </x:c>
      <x:c r="G272" s="18">
        <x:v>449</x:v>
      </x:c>
      <x:c r="H272" s="21" t="e">
        <x:f>IF(SUMIFS(İndirimler!$C$2:$C$110,İndirimler!$A$2:$A$110,B272,İndirimler!$B$2:$B$110,C272)&gt;0,ROUND(G272*(1-SUMIFS(İndirimler!$C$2:$C$110,İndirimler!$A$2:$A$110,B272,İndirimler!$B$2:$B$110,C272)),2),"")</x:f>
        <x:v>#NAME?</x:v>
      </x:c>
      <x:c r="I272" s="24" t="e">
        <x:f>IF(SUMIFS(İndirimler!$D$2:$D$110,İndirimler!$A$2:$A$110,B272,İndirimler!$B$2:$B$110,C272)&gt;0,ROUND(G272*(1-SUMIFS(İndirimler!$D$2:$D$110,İndirimler!$A$2:$A$110,B272,İndirimler!$B$2:$B$110,C272)),2),"")</x:f>
        <x:v>#NAME?</x:v>
      </x:c>
      <x:c r="J272" s="12" t="s">
        <x:v>459</x:v>
      </x:c>
      <x:c r="K272" s="31"/>
    </x:row>
    <x:row r="273" ht="21.950000762939453" customHeight="1">
      <x:c r="A273" s="15" t="s">
        <x:v>460</x:v>
      </x:c>
      <x:c r="B273" s="12" t="s">
        <x:v>38</x:v>
      </x:c>
      <x:c r="C273" s="12" t="s">
        <x:v>33</x:v>
      </x:c>
      <x:c r="D273" s="12" t="s">
        <x:v>428</x:v>
      </x:c>
      <x:c r="E273" s="12" t="s">
        <x:v>69</x:v>
      </x:c>
      <x:c r="F273" s="12" t="s">
        <x:v>16</x:v>
      </x:c>
      <x:c r="G273" s="18">
        <x:v>345</x:v>
      </x:c>
      <x:c r="H273" s="21" t="e">
        <x:f>IF(SUMIFS(İndirimler!$C$2:$C$110,İndirimler!$A$2:$A$110,B273,İndirimler!$B$2:$B$110,C273)&gt;0,ROUND(G273*(1-SUMIFS(İndirimler!$C$2:$C$110,İndirimler!$A$2:$A$110,B273,İndirimler!$B$2:$B$110,C273)),2),"")</x:f>
        <x:v>#NAME?</x:v>
      </x:c>
      <x:c r="I273" s="24" t="e">
        <x:f>IF(SUMIFS(İndirimler!$D$2:$D$110,İndirimler!$A$2:$A$110,B273,İndirimler!$B$2:$B$110,C273)&gt;0,ROUND(G273*(1-SUMIFS(İndirimler!$D$2:$D$110,İndirimler!$A$2:$A$110,B273,İndirimler!$B$2:$B$110,C273)),2),"")</x:f>
        <x:v>#NAME?</x:v>
      </x:c>
      <x:c r="J273" s="12" t="s">
        <x:v>461</x:v>
      </x:c>
      <x:c r="K273" s="31"/>
    </x:row>
    <x:row r="274" ht="21.950000762939453" customHeight="1">
      <x:c r="A274" s="15" t="s">
        <x:v>462</x:v>
      </x:c>
      <x:c r="B274" s="12" t="s">
        <x:v>72</x:v>
      </x:c>
      <x:c r="C274" s="12" t="s">
        <x:v>33</x:v>
      </x:c>
      <x:c r="D274" s="12" t="s">
        <x:v>428</x:v>
      </x:c>
      <x:c r="E274" s="12"/>
      <x:c r="F274" s="12" t="s">
        <x:v>73</x:v>
      </x:c>
      <x:c r="G274" s="18">
        <x:v>409</x:v>
      </x:c>
      <x:c r="H274" s="21" t="e">
        <x:f>IF(SUMIFS(İndirimler!$C$2:$C$110,İndirimler!$A$2:$A$110,B274,İndirimler!$B$2:$B$110,C274)&gt;0,ROUND(G274*(1-SUMIFS(İndirimler!$C$2:$C$110,İndirimler!$A$2:$A$110,B274,İndirimler!$B$2:$B$110,C274)),2),"")</x:f>
        <x:v>#NAME?</x:v>
      </x:c>
      <x:c r="I274" s="24" t="e">
        <x:f>IF(SUMIFS(İndirimler!$D$2:$D$110,İndirimler!$A$2:$A$110,B274,İndirimler!$B$2:$B$110,C274)&gt;0,ROUND(G274*(1-SUMIFS(İndirimler!$D$2:$D$110,İndirimler!$A$2:$A$110,B274,İndirimler!$B$2:$B$110,C274)),2),"")</x:f>
        <x:v>#NAME?</x:v>
      </x:c>
      <x:c r="J274" s="12"/>
      <x:c r="K274" s="31"/>
    </x:row>
    <x:row r="275" ht="21.950000762939453" customHeight="1">
      <x:c r="A275" s="15" t="s">
        <x:v>463</x:v>
      </x:c>
      <x:c r="B275" s="12" t="s">
        <x:v>427</x:v>
      </x:c>
      <x:c r="C275" s="12" t="s">
        <x:v>76</x:v>
      </x:c>
      <x:c r="D275" s="12" t="s">
        <x:v>428</x:v>
      </x:c>
      <x:c r="E275" s="12" t="s">
        <x:v>429</x:v>
      </x:c>
      <x:c r="F275" s="12" t="s">
        <x:v>35</x:v>
      </x:c>
      <x:c r="G275" s="18">
        <x:v>625</x:v>
      </x:c>
      <x:c r="H275" s="21" t="e">
        <x:f>IF(SUMIFS(İndirimler!$C$2:$C$110,İndirimler!$A$2:$A$110,B275,İndirimler!$B$2:$B$110,C275)&gt;0,ROUND(G275*(1-SUMIFS(İndirimler!$C$2:$C$110,İndirimler!$A$2:$A$110,B275,İndirimler!$B$2:$B$110,C275)),2),"")</x:f>
        <x:v>#NAME?</x:v>
      </x:c>
      <x:c r="I275" s="24" t="e">
        <x:f>IF(SUMIFS(İndirimler!$D$2:$D$110,İndirimler!$A$2:$A$110,B275,İndirimler!$B$2:$B$110,C275)&gt;0,ROUND(G275*(1-SUMIFS(İndirimler!$D$2:$D$110,İndirimler!$A$2:$A$110,B275,İndirimler!$B$2:$B$110,C275)),2),"")</x:f>
        <x:v>#NAME?</x:v>
      </x:c>
      <x:c r="J275" s="12" t="s">
        <x:v>464</x:v>
      </x:c>
      <x:c r="K275" s="31"/>
    </x:row>
    <x:row r="276" ht="21.950000762939453" customHeight="1">
      <x:c r="A276" s="15" t="s">
        <x:v>465</x:v>
      </x:c>
      <x:c r="B276" s="12" t="s">
        <x:v>32</x:v>
      </x:c>
      <x:c r="C276" s="12" t="s">
        <x:v>76</x:v>
      </x:c>
      <x:c r="D276" s="12" t="s">
        <x:v>428</x:v>
      </x:c>
      <x:c r="E276" s="12"/>
      <x:c r="F276" s="12" t="s">
        <x:v>35</x:v>
      </x:c>
      <x:c r="G276" s="18">
        <x:v>499</x:v>
      </x:c>
      <x:c r="H276" s="21" t="e">
        <x:f>IF(SUMIFS(İndirimler!$C$2:$C$110,İndirimler!$A$2:$A$110,B276,İndirimler!$B$2:$B$110,C276)&gt;0,ROUND(G276*(1-SUMIFS(İndirimler!$C$2:$C$110,İndirimler!$A$2:$A$110,B276,İndirimler!$B$2:$B$110,C276)),2),"")</x:f>
        <x:v>#NAME?</x:v>
      </x:c>
      <x:c r="I276" s="24" t="e">
        <x:f>IF(SUMIFS(İndirimler!$D$2:$D$110,İndirimler!$A$2:$A$110,B276,İndirimler!$B$2:$B$110,C276)&gt;0,ROUND(G276*(1-SUMIFS(İndirimler!$D$2:$D$110,İndirimler!$A$2:$A$110,B276,İndirimler!$B$2:$B$110,C276)),2),"")</x:f>
        <x:v>#NAME?</x:v>
      </x:c>
      <x:c r="J276" s="30" t="s">
        <x:v>466</x:v>
      </x:c>
      <x:c r="K276" s="31"/>
    </x:row>
    <x:row r="277" ht="21.950000762939453" customHeight="1">
      <x:c r="A277" s="15" t="s">
        <x:v>467</x:v>
      </x:c>
      <x:c r="B277" s="12" t="s">
        <x:v>38</x:v>
      </x:c>
      <x:c r="C277" s="12" t="s">
        <x:v>76</x:v>
      </x:c>
      <x:c r="D277" s="12" t="s">
        <x:v>428</x:v>
      </x:c>
      <x:c r="E277" s="12"/>
      <x:c r="F277" s="12" t="s">
        <x:v>35</x:v>
      </x:c>
      <x:c r="G277" s="18">
        <x:v>635</x:v>
      </x:c>
      <x:c r="H277" s="21" t="e">
        <x:f>IF(SUMIFS(İndirimler!$C$2:$C$110,İndirimler!$A$2:$A$110,B277,İndirimler!$B$2:$B$110,C277)&gt;0,ROUND(G277*(1-SUMIFS(İndirimler!$C$2:$C$110,İndirimler!$A$2:$A$110,B277,İndirimler!$B$2:$B$110,C277)),2),"")</x:f>
        <x:v>#NAME?</x:v>
      </x:c>
      <x:c r="I277" s="24" t="e">
        <x:f>IF(SUMIFS(İndirimler!$D$2:$D$110,İndirimler!$A$2:$A$110,B277,İndirimler!$B$2:$B$110,C277)&gt;0,ROUND(G277*(1-SUMIFS(İndirimler!$D$2:$D$110,İndirimler!$A$2:$A$110,B277,İndirimler!$B$2:$B$110,C277)),2),"")</x:f>
        <x:v>#NAME?</x:v>
      </x:c>
      <x:c r="J277" s="12" t="s">
        <x:v>468</x:v>
      </x:c>
      <x:c r="K277" s="31"/>
    </x:row>
    <x:row r="278" ht="21.950000762939453" customHeight="1">
      <x:c r="A278" s="15" t="s">
        <x:v>469</x:v>
      </x:c>
      <x:c r="B278" s="12" t="s">
        <x:v>139</x:v>
      </x:c>
      <x:c r="C278" s="12" t="s">
        <x:v>76</x:v>
      </x:c>
      <x:c r="D278" s="12" t="s">
        <x:v>428</x:v>
      </x:c>
      <x:c r="E278" s="12" t="s">
        <x:v>317</x:v>
      </x:c>
      <x:c r="F278" s="12" t="s">
        <x:v>42</x:v>
      </x:c>
      <x:c r="G278" s="18">
        <x:v>552</x:v>
      </x:c>
      <x:c r="H278" s="21" t="e">
        <x:f>IF(SUMIFS(İndirimler!$C$2:$C$110,İndirimler!$A$2:$A$110,B278,İndirimler!$B$2:$B$110,C278)&gt;0,ROUND(G278*(1-SUMIFS(İndirimler!$C$2:$C$110,İndirimler!$A$2:$A$110,B278,İndirimler!$B$2:$B$110,C278)),2),"")</x:f>
        <x:v>#NAME?</x:v>
      </x:c>
      <x:c r="I278" s="24" t="e">
        <x:f>IF(SUMIFS(İndirimler!$D$2:$D$110,İndirimler!$A$2:$A$110,B278,İndirimler!$B$2:$B$110,C278)&gt;0,ROUND(G278*(1-SUMIFS(İndirimler!$D$2:$D$110,İndirimler!$A$2:$A$110,B278,İndirimler!$B$2:$B$110,C278)),2),"")</x:f>
        <x:v>#NAME?</x:v>
      </x:c>
      <x:c r="J278" s="12" t="s">
        <x:v>470</x:v>
      </x:c>
      <x:c r="K278" s="31"/>
    </x:row>
    <x:row r="279" ht="21.950000762939453" customHeight="1">
      <x:c r="A279" s="15" t="s">
        <x:v>471</x:v>
      </x:c>
      <x:c r="B279" s="12" t="s">
        <x:v>18</x:v>
      </x:c>
      <x:c r="C279" s="12" t="s">
        <x:v>76</x:v>
      </x:c>
      <x:c r="D279" s="12" t="s">
        <x:v>428</x:v>
      </x:c>
      <x:c r="E279" s="12" t="s">
        <x:v>41</x:v>
      </x:c>
      <x:c r="F279" s="12" t="s">
        <x:v>42</x:v>
      </x:c>
      <x:c r="G279" s="18"/>
      <x:c r="H279" s="21" t="e">
        <x:f>IF(SUMIFS(İndirimler!$C$2:$C$110,İndirimler!$A$2:$A$110,B279,İndirimler!$B$2:$B$110,C279)&gt;0,ROUND(G279*(1-SUMIFS(İndirimler!$C$2:$C$110,İndirimler!$A$2:$A$110,B279,İndirimler!$B$2:$B$110,C279)),2),"")</x:f>
        <x:v>#NAME?</x:v>
      </x:c>
      <x:c r="I279" s="24" t="e">
        <x:f>IF(SUMIFS(İndirimler!$D$2:$D$110,İndirimler!$A$2:$A$110,B279,İndirimler!$B$2:$B$110,C279)&gt;0,ROUND(G279*(1-SUMIFS(İndirimler!$D$2:$D$110,İndirimler!$A$2:$A$110,B279,İndirimler!$B$2:$B$110,C279)),2),"")</x:f>
        <x:v>#NAME?</x:v>
      </x:c>
      <x:c r="J279" s="12"/>
      <x:c r="K279" s="31"/>
    </x:row>
    <x:row r="280" ht="21.950000762939453" customHeight="1">
      <x:c r="A280" s="15" t="s">
        <x:v>472</x:v>
      </x:c>
      <x:c r="B280" s="12" t="s">
        <x:v>44</x:v>
      </x:c>
      <x:c r="C280" s="12" t="s">
        <x:v>76</x:v>
      </x:c>
      <x:c r="D280" s="12" t="s">
        <x:v>428</x:v>
      </x:c>
      <x:c r="E280" s="12" t="s">
        <x:v>45</x:v>
      </x:c>
      <x:c r="F280" s="12" t="s">
        <x:v>42</x:v>
      </x:c>
      <x:c r="G280" s="18">
        <x:v>376</x:v>
      </x:c>
      <x:c r="H280" s="21" t="e">
        <x:f>IF(SUMIFS(İndirimler!$C$2:$C$110,İndirimler!$A$2:$A$110,B280,İndirimler!$B$2:$B$110,C280)&gt;0,ROUND(G280*(1-SUMIFS(İndirimler!$C$2:$C$110,İndirimler!$A$2:$A$110,B280,İndirimler!$B$2:$B$110,C280)),2),"")</x:f>
        <x:v>#NAME?</x:v>
      </x:c>
      <x:c r="I280" s="24" t="e">
        <x:f>IF(SUMIFS(İndirimler!$D$2:$D$110,İndirimler!$A$2:$A$110,B280,İndirimler!$B$2:$B$110,C280)&gt;0,ROUND(G280*(1-SUMIFS(İndirimler!$D$2:$D$110,İndirimler!$A$2:$A$110,B280,İndirimler!$B$2:$B$110,C280)),2),"")</x:f>
        <x:v>#NAME?</x:v>
      </x:c>
      <x:c r="J280" s="12" t="s">
        <x:v>473</x:v>
      </x:c>
      <x:c r="K280" s="31"/>
    </x:row>
    <x:row r="281" ht="21.950000762939453" customHeight="1">
      <x:c r="A281" s="15" t="s">
        <x:v>474</x:v>
      </x:c>
      <x:c r="B281" s="12" t="s">
        <x:v>23</x:v>
      </x:c>
      <x:c r="C281" s="12" t="s">
        <x:v>76</x:v>
      </x:c>
      <x:c r="D281" s="12" t="s">
        <x:v>428</x:v>
      </x:c>
      <x:c r="E281" s="12"/>
      <x:c r="F281" s="12" t="s">
        <x:v>42</x:v>
      </x:c>
      <x:c r="G281" s="18">
        <x:v>620</x:v>
      </x:c>
      <x:c r="H281" s="21" t="e">
        <x:f>IF(SUMIFS(İndirimler!$C$2:$C$110,İndirimler!$A$2:$A$110,B281,İndirimler!$B$2:$B$110,C281)&gt;0,ROUND(G281*(1-SUMIFS(İndirimler!$C$2:$C$110,İndirimler!$A$2:$A$110,B281,İndirimler!$B$2:$B$110,C281)),2),"")</x:f>
        <x:v>#NAME?</x:v>
      </x:c>
      <x:c r="I281" s="24" t="e">
        <x:f>IF(SUMIFS(İndirimler!$D$2:$D$110,İndirimler!$A$2:$A$110,B281,İndirimler!$B$2:$B$110,C281)&gt;0,ROUND(G281*(1-SUMIFS(İndirimler!$D$2:$D$110,İndirimler!$A$2:$A$110,B281,İndirimler!$B$2:$B$110,C281)),2),"")</x:f>
        <x:v>#NAME?</x:v>
      </x:c>
      <x:c r="J281" s="12" t="s">
        <x:v>475</x:v>
      </x:c>
      <x:c r="K281" s="31"/>
    </x:row>
    <x:row r="282" ht="21.950000762939453" customHeight="1">
      <x:c r="A282" s="15" t="s">
        <x:v>476</x:v>
      </x:c>
      <x:c r="B282" s="12" t="s">
        <x:v>50</x:v>
      </x:c>
      <x:c r="C282" s="12" t="s">
        <x:v>76</x:v>
      </x:c>
      <x:c r="D282" s="12" t="s">
        <x:v>428</x:v>
      </x:c>
      <x:c r="E282" s="12" t="s">
        <x:v>51</x:v>
      </x:c>
      <x:c r="F282" s="12" t="s">
        <x:v>42</x:v>
      </x:c>
      <x:c r="G282" s="18">
        <x:v>580</x:v>
      </x:c>
      <x:c r="H282" s="21" t="e">
        <x:f>IF(SUMIFS(İndirimler!$C$2:$C$110,İndirimler!$A$2:$A$110,B282,İndirimler!$B$2:$B$110,C282)&gt;0,ROUND(G282*(1-SUMIFS(İndirimler!$C$2:$C$110,İndirimler!$A$2:$A$110,B282,İndirimler!$B$2:$B$110,C282)),2),"")</x:f>
        <x:v>#NAME?</x:v>
      </x:c>
      <x:c r="I282" s="24" t="e">
        <x:f>IF(SUMIFS(İndirimler!$D$2:$D$110,İndirimler!$A$2:$A$110,B282,İndirimler!$B$2:$B$110,C282)&gt;0,ROUND(G282*(1-SUMIFS(İndirimler!$D$2:$D$110,İndirimler!$A$2:$A$110,B282,İndirimler!$B$2:$B$110,C282)),2),"")</x:f>
        <x:v>#NAME?</x:v>
      </x:c>
      <x:c r="J282" s="12"/>
      <x:c r="K282" s="31"/>
    </x:row>
    <x:row r="283" ht="21.950000762939453" customHeight="1">
      <x:c r="A283" s="15" t="s">
        <x:v>477</x:v>
      </x:c>
      <x:c r="B283" s="12" t="s">
        <x:v>444</x:v>
      </x:c>
      <x:c r="C283" s="12" t="s">
        <x:v>76</x:v>
      </x:c>
      <x:c r="D283" s="12" t="s">
        <x:v>428</x:v>
      </x:c>
      <x:c r="E283" s="12"/>
      <x:c r="F283" s="12" t="s">
        <x:v>42</x:v>
      </x:c>
      <x:c r="G283" s="18"/>
      <x:c r="H283" s="21" t="e">
        <x:f>IF(SUMIFS(İndirimler!$C$2:$C$110,İndirimler!$A$2:$A$110,B283,İndirimler!$B$2:$B$110,C283)&gt;0,ROUND(G283*(1-SUMIFS(İndirimler!$C$2:$C$110,İndirimler!$A$2:$A$110,B283,İndirimler!$B$2:$B$110,C283)),2),"")</x:f>
        <x:v>#NAME?</x:v>
      </x:c>
      <x:c r="I283" s="24" t="e">
        <x:f>IF(SUMIFS(İndirimler!$D$2:$D$110,İndirimler!$A$2:$A$110,B283,İndirimler!$B$2:$B$110,C283)&gt;0,ROUND(G283*(1-SUMIFS(İndirimler!$D$2:$D$110,İndirimler!$A$2:$A$110,B283,İndirimler!$B$2:$B$110,C283)),2),"")</x:f>
        <x:v>#NAME?</x:v>
      </x:c>
      <x:c r="J283" s="12"/>
      <x:c r="K283" s="31"/>
    </x:row>
    <x:row r="284" ht="21.950000762939453" customHeight="1">
      <x:c r="A284" s="15" t="s">
        <x:v>478</x:v>
      </x:c>
      <x:c r="B284" s="12" t="s">
        <x:v>55</x:v>
      </x:c>
      <x:c r="C284" s="12" t="s">
        <x:v>76</x:v>
      </x:c>
      <x:c r="D284" s="12" t="s">
        <x:v>428</x:v>
      </x:c>
      <x:c r="E284" s="12"/>
      <x:c r="F284" s="12" t="s">
        <x:v>16</x:v>
      </x:c>
      <x:c r="G284" s="18">
        <x:v>328</x:v>
      </x:c>
      <x:c r="H284" s="21" t="e">
        <x:f>IF(SUMIFS(İndirimler!$C$2:$C$110,İndirimler!$A$2:$A$110,B284,İndirimler!$B$2:$B$110,C284)&gt;0,ROUND(G284*(1-SUMIFS(İndirimler!$C$2:$C$110,İndirimler!$A$2:$A$110,B284,İndirimler!$B$2:$B$110,C284)),2),"")</x:f>
        <x:v>#NAME?</x:v>
      </x:c>
      <x:c r="I284" s="24" t="e">
        <x:f>IF(SUMIFS(İndirimler!$D$2:$D$110,İndirimler!$A$2:$A$110,B284,İndirimler!$B$2:$B$110,C284)&gt;0,ROUND(G284*(1-SUMIFS(İndirimler!$D$2:$D$110,İndirimler!$A$2:$A$110,B284,İndirimler!$B$2:$B$110,C284)),2),"")</x:f>
        <x:v>#NAME?</x:v>
      </x:c>
      <x:c r="J284" s="12" t="s">
        <x:v>479</x:v>
      </x:c>
      <x:c r="K284" s="31"/>
    </x:row>
    <x:row r="285" ht="21.950000762939453" customHeight="1">
      <x:c r="A285" s="15" t="s">
        <x:v>480</x:v>
      </x:c>
      <x:c r="B285" s="12" t="s">
        <x:v>139</x:v>
      </x:c>
      <x:c r="C285" s="12" t="s">
        <x:v>76</x:v>
      </x:c>
      <x:c r="D285" s="12" t="s">
        <x:v>428</x:v>
      </x:c>
      <x:c r="E285" s="12"/>
      <x:c r="F285" s="12" t="s">
        <x:v>16</x:v>
      </x:c>
      <x:c r="G285" s="18">
        <x:v>560</x:v>
      </x:c>
      <x:c r="H285" s="21" t="e">
        <x:f>IF(SUMIFS(İndirimler!$C$2:$C$110,İndirimler!$A$2:$A$110,B285,İndirimler!$B$2:$B$110,C285)&gt;0,ROUND(G285*(1-SUMIFS(İndirimler!$C$2:$C$110,İndirimler!$A$2:$A$110,B285,İndirimler!$B$2:$B$110,C285)),2),"")</x:f>
        <x:v>#NAME?</x:v>
      </x:c>
      <x:c r="I285" s="24" t="e">
        <x:f>IF(SUMIFS(İndirimler!$D$2:$D$110,İndirimler!$A$2:$A$110,B285,İndirimler!$B$2:$B$110,C285)&gt;0,ROUND(G285*(1-SUMIFS(İndirimler!$D$2:$D$110,İndirimler!$A$2:$A$110,B285,İndirimler!$B$2:$B$110,C285)),2),"")</x:f>
        <x:v>#NAME?</x:v>
      </x:c>
      <x:c r="J285" s="12" t="s">
        <x:v>481</x:v>
      </x:c>
      <x:c r="K285" s="31"/>
    </x:row>
    <x:row r="286" ht="21.950000762939453" customHeight="1">
      <x:c r="A286" s="15" t="s">
        <x:v>482</x:v>
      </x:c>
      <x:c r="B286" s="12" t="s">
        <x:v>18</x:v>
      </x:c>
      <x:c r="C286" s="12" t="s">
        <x:v>76</x:v>
      </x:c>
      <x:c r="D286" s="12" t="s">
        <x:v>428</x:v>
      </x:c>
      <x:c r="E286" s="12"/>
      <x:c r="F286" s="12" t="s">
        <x:v>16</x:v>
      </x:c>
      <x:c r="G286" s="18">
        <x:v>519</x:v>
      </x:c>
      <x:c r="H286" s="21" t="e">
        <x:f>IF(SUMIFS(İndirimler!$C$2:$C$110,İndirimler!$A$2:$A$110,B286,İndirimler!$B$2:$B$110,C286)&gt;0,ROUND(G286*(1-SUMIFS(İndirimler!$C$2:$C$110,İndirimler!$A$2:$A$110,B286,İndirimler!$B$2:$B$110,C286)),2),"")</x:f>
        <x:v>#NAME?</x:v>
      </x:c>
      <x:c r="I286" s="24" t="e">
        <x:f>IF(SUMIFS(İndirimler!$D$2:$D$110,İndirimler!$A$2:$A$110,B286,İndirimler!$B$2:$B$110,C286)&gt;0,ROUND(G286*(1-SUMIFS(İndirimler!$D$2:$D$110,İndirimler!$A$2:$A$110,B286,İndirimler!$B$2:$B$110,C286)),2),"")</x:f>
        <x:v>#NAME?</x:v>
      </x:c>
      <x:c r="J286" s="30" t="s">
        <x:v>483</x:v>
      </x:c>
      <x:c r="K286" s="31"/>
    </x:row>
    <x:row r="287" ht="21.950000762939453" customHeight="1">
      <x:c r="A287" s="15" t="s">
        <x:v>484</x:v>
      </x:c>
      <x:c r="B287" s="12" t="s">
        <x:v>44</x:v>
      </x:c>
      <x:c r="C287" s="12" t="s">
        <x:v>76</x:v>
      </x:c>
      <x:c r="D287" s="12" t="s">
        <x:v>428</x:v>
      </x:c>
      <x:c r="E287" s="12" t="s">
        <x:v>60</x:v>
      </x:c>
      <x:c r="F287" s="12" t="s">
        <x:v>16</x:v>
      </x:c>
      <x:c r="G287" s="18">
        <x:v>274</x:v>
      </x:c>
      <x:c r="H287" s="21" t="e">
        <x:f>IF(SUMIFS(İndirimler!$C$2:$C$110,İndirimler!$A$2:$A$110,B287,İndirimler!$B$2:$B$110,C287)&gt;0,ROUND(G287*(1-SUMIFS(İndirimler!$C$2:$C$110,İndirimler!$A$2:$A$110,B287,İndirimler!$B$2:$B$110,C287)),2),"")</x:f>
        <x:v>#NAME?</x:v>
      </x:c>
      <x:c r="I287" s="24" t="e">
        <x:f>IF(SUMIFS(İndirimler!$D$2:$D$110,İndirimler!$A$2:$A$110,B287,İndirimler!$B$2:$B$110,C287)&gt;0,ROUND(G287*(1-SUMIFS(İndirimler!$D$2:$D$110,İndirimler!$A$2:$A$110,B287,İndirimler!$B$2:$B$110,C287)),2),"")</x:f>
        <x:v>#NAME?</x:v>
      </x:c>
      <x:c r="J287" s="12" t="s">
        <x:v>485</x:v>
      </x:c>
      <x:c r="K287" s="31"/>
    </x:row>
    <x:row r="288" ht="21.950000762939453" customHeight="1">
      <x:c r="A288" s="15" t="s">
        <x:v>486</x:v>
      </x:c>
      <x:c r="B288" s="12" t="s">
        <x:v>63</x:v>
      </x:c>
      <x:c r="C288" s="12" t="s">
        <x:v>76</x:v>
      </x:c>
      <x:c r="D288" s="12" t="s">
        <x:v>428</x:v>
      </x:c>
      <x:c r="E288" s="12" t="s">
        <x:v>64</x:v>
      </x:c>
      <x:c r="F288" s="12" t="s">
        <x:v>16</x:v>
      </x:c>
      <x:c r="G288" s="18">
        <x:v>475</x:v>
      </x:c>
      <x:c r="H288" s="21" t="e">
        <x:f>IF(SUMIFS(İndirimler!$C$2:$C$110,İndirimler!$A$2:$A$110,B288,İndirimler!$B$2:$B$110,C288)&gt;0,ROUND(G288*(1-SUMIFS(İndirimler!$C$2:$C$110,İndirimler!$A$2:$A$110,B288,İndirimler!$B$2:$B$110,C288)),2),"")</x:f>
        <x:v>#NAME?</x:v>
      </x:c>
      <x:c r="I288" s="24" t="e">
        <x:f>IF(SUMIFS(İndirimler!$D$2:$D$110,İndirimler!$A$2:$A$110,B288,İndirimler!$B$2:$B$110,C288)&gt;0,ROUND(G288*(1-SUMIFS(İndirimler!$D$2:$D$110,İndirimler!$A$2:$A$110,B288,İndirimler!$B$2:$B$110,C288)),2),"")</x:f>
        <x:v>#NAME?</x:v>
      </x:c>
      <x:c r="J288" s="12" t="s">
        <x:v>487</x:v>
      </x:c>
      <x:c r="K288" s="31"/>
    </x:row>
    <x:row r="289" ht="21.950000762939453" customHeight="1">
      <x:c r="A289" s="15" t="s">
        <x:v>488</x:v>
      </x:c>
      <x:c r="B289" s="12" t="s">
        <x:v>23</x:v>
      </x:c>
      <x:c r="C289" s="12" t="s">
        <x:v>76</x:v>
      </x:c>
      <x:c r="D289" s="12" t="s">
        <x:v>428</x:v>
      </x:c>
      <x:c r="E289" s="12"/>
      <x:c r="F289" s="12" t="s">
        <x:v>16</x:v>
      </x:c>
      <x:c r="G289" s="18">
        <x:v>578</x:v>
      </x:c>
      <x:c r="H289" s="21" t="e">
        <x:f>IF(SUMIFS(İndirimler!$C$2:$C$110,İndirimler!$A$2:$A$110,B289,İndirimler!$B$2:$B$110,C289)&gt;0,ROUND(G289*(1-SUMIFS(İndirimler!$C$2:$C$110,İndirimler!$A$2:$A$110,B289,İndirimler!$B$2:$B$110,C289)),2),"")</x:f>
        <x:v>#NAME?</x:v>
      </x:c>
      <x:c r="I289" s="24" t="e">
        <x:f>IF(SUMIFS(İndirimler!$D$2:$D$110,İndirimler!$A$2:$A$110,B289,İndirimler!$B$2:$B$110,C289)&gt;0,ROUND(G289*(1-SUMIFS(İndirimler!$D$2:$D$110,İndirimler!$A$2:$A$110,B289,İndirimler!$B$2:$B$110,C289)),2),"")</x:f>
        <x:v>#NAME?</x:v>
      </x:c>
      <x:c r="J289" s="12" t="s">
        <x:v>489</x:v>
      </x:c>
      <x:c r="K289" s="31"/>
    </x:row>
    <x:row r="290" ht="21.950000762939453" customHeight="1">
      <x:c r="A290" s="15" t="s">
        <x:v>490</x:v>
      </x:c>
      <x:c r="B290" s="12" t="s">
        <x:v>50</x:v>
      </x:c>
      <x:c r="C290" s="12" t="s">
        <x:v>76</x:v>
      </x:c>
      <x:c r="D290" s="12" t="s">
        <x:v>428</x:v>
      </x:c>
      <x:c r="E290" s="12" t="s">
        <x:v>69</x:v>
      </x:c>
      <x:c r="F290" s="12" t="s">
        <x:v>16</x:v>
      </x:c>
      <x:c r="G290" s="18">
        <x:v>422</x:v>
      </x:c>
      <x:c r="H290" s="21" t="e">
        <x:f>IF(SUMIFS(İndirimler!$C$2:$C$110,İndirimler!$A$2:$A$110,B290,İndirimler!$B$2:$B$110,C290)&gt;0,ROUND(G290*(1-SUMIFS(İndirimler!$C$2:$C$110,İndirimler!$A$2:$A$110,B290,İndirimler!$B$2:$B$110,C290)),2),"")</x:f>
        <x:v>#NAME?</x:v>
      </x:c>
      <x:c r="I290" s="24" t="e">
        <x:f>IF(SUMIFS(İndirimler!$D$2:$D$110,İndirimler!$A$2:$A$110,B290,İndirimler!$B$2:$B$110,C290)&gt;0,ROUND(G290*(1-SUMIFS(İndirimler!$D$2:$D$110,İndirimler!$A$2:$A$110,B290,İndirimler!$B$2:$B$110,C290)),2),"")</x:f>
        <x:v>#NAME?</x:v>
      </x:c>
      <x:c r="J290" s="12"/>
      <x:c r="K290" s="31"/>
    </x:row>
    <x:row r="291" ht="21.950000762939453" customHeight="1">
      <x:c r="A291" s="15" t="s">
        <x:v>491</x:v>
      </x:c>
      <x:c r="B291" s="12" t="s">
        <x:v>427</x:v>
      </x:c>
      <x:c r="C291" s="12" t="s">
        <x:v>76</x:v>
      </x:c>
      <x:c r="D291" s="12" t="s">
        <x:v>428</x:v>
      </x:c>
      <x:c r="E291" s="12"/>
      <x:c r="F291" s="12" t="s">
        <x:v>16</x:v>
      </x:c>
      <x:c r="G291" s="18">
        <x:v>439</x:v>
      </x:c>
      <x:c r="H291" s="21" t="e">
        <x:f>IF(SUMIFS(İndirimler!$C$2:$C$110,İndirimler!$A$2:$A$110,B291,İndirimler!$B$2:$B$110,C291)&gt;0,ROUND(G291*(1-SUMIFS(İndirimler!$C$2:$C$110,İndirimler!$A$2:$A$110,B291,İndirimler!$B$2:$B$110,C291)),2),"")</x:f>
        <x:v>#NAME?</x:v>
      </x:c>
      <x:c r="I291" s="24" t="e">
        <x:f>IF(SUMIFS(İndirimler!$D$2:$D$110,İndirimler!$A$2:$A$110,B291,İndirimler!$B$2:$B$110,C291)&gt;0,ROUND(G291*(1-SUMIFS(İndirimler!$D$2:$D$110,İndirimler!$A$2:$A$110,B291,İndirimler!$B$2:$B$110,C291)),2),"")</x:f>
        <x:v>#NAME?</x:v>
      </x:c>
      <x:c r="J291" s="12" t="s">
        <x:v>492</x:v>
      </x:c>
      <x:c r="K291" s="31"/>
    </x:row>
    <x:row r="292" ht="21.950000762939453" customHeight="1">
      <x:c r="A292" s="15" t="s">
        <x:v>493</x:v>
      </x:c>
      <x:c r="B292" s="12" t="s">
        <x:v>38</x:v>
      </x:c>
      <x:c r="C292" s="12" t="s">
        <x:v>76</x:v>
      </x:c>
      <x:c r="D292" s="12" t="s">
        <x:v>428</x:v>
      </x:c>
      <x:c r="E292" s="12" t="s">
        <x:v>69</x:v>
      </x:c>
      <x:c r="F292" s="12" t="s">
        <x:v>16</x:v>
      </x:c>
      <x:c r="G292" s="18">
        <x:v>345</x:v>
      </x:c>
      <x:c r="H292" s="21" t="e">
        <x:f>IF(SUMIFS(İndirimler!$C$2:$C$110,İndirimler!$A$2:$A$110,B292,İndirimler!$B$2:$B$110,C292)&gt;0,ROUND(G292*(1-SUMIFS(İndirimler!$C$2:$C$110,İndirimler!$A$2:$A$110,B292,İndirimler!$B$2:$B$110,C292)),2),"")</x:f>
        <x:v>#NAME?</x:v>
      </x:c>
      <x:c r="I292" s="24" t="e">
        <x:f>IF(SUMIFS(İndirimler!$D$2:$D$110,İndirimler!$A$2:$A$110,B292,İndirimler!$B$2:$B$110,C292)&gt;0,ROUND(G292*(1-SUMIFS(İndirimler!$D$2:$D$110,İndirimler!$A$2:$A$110,B292,İndirimler!$B$2:$B$110,C292)),2),"")</x:f>
        <x:v>#NAME?</x:v>
      </x:c>
      <x:c r="J292" s="12" t="s">
        <x:v>494</x:v>
      </x:c>
      <x:c r="K292" s="31"/>
    </x:row>
    <x:row r="293" ht="21.950000762939453" customHeight="1">
      <x:c r="A293" s="15" t="s">
        <x:v>495</x:v>
      </x:c>
      <x:c r="B293" s="12" t="s">
        <x:v>72</x:v>
      </x:c>
      <x:c r="C293" s="12" t="s">
        <x:v>76</x:v>
      </x:c>
      <x:c r="D293" s="12" t="s">
        <x:v>428</x:v>
      </x:c>
      <x:c r="E293" s="12"/>
      <x:c r="F293" s="12" t="s">
        <x:v>73</x:v>
      </x:c>
      <x:c r="G293" s="18">
        <x:v>409</x:v>
      </x:c>
      <x:c r="H293" s="21" t="e">
        <x:f>IF(SUMIFS(İndirimler!$C$2:$C$110,İndirimler!$A$2:$A$110,B293,İndirimler!$B$2:$B$110,C293)&gt;0,ROUND(G293*(1-SUMIFS(İndirimler!$C$2:$C$110,İndirimler!$A$2:$A$110,B293,İndirimler!$B$2:$B$110,C293)),2),"")</x:f>
        <x:v>#NAME?</x:v>
      </x:c>
      <x:c r="I293" s="24" t="e">
        <x:f>IF(SUMIFS(İndirimler!$D$2:$D$110,İndirimler!$A$2:$A$110,B293,İndirimler!$B$2:$B$110,C293)&gt;0,ROUND(G293*(1-SUMIFS(İndirimler!$D$2:$D$110,İndirimler!$A$2:$A$110,B293,İndirimler!$B$2:$B$110,C293)),2),"")</x:f>
        <x:v>#NAME?</x:v>
      </x:c>
      <x:c r="J293" s="12"/>
      <x:c r="K293" s="31"/>
    </x:row>
    <x:row r="294" ht="21.950000762939453" customHeight="1">
      <x:c r="A294" s="15" t="s">
        <x:v>496</x:v>
      </x:c>
      <x:c r="B294" s="12" t="s">
        <x:v>427</x:v>
      </x:c>
      <x:c r="C294" s="12" t="s">
        <x:v>101</x:v>
      </x:c>
      <x:c r="D294" s="12" t="s">
        <x:v>428</x:v>
      </x:c>
      <x:c r="E294" s="12" t="s">
        <x:v>429</x:v>
      </x:c>
      <x:c r="F294" s="12" t="s">
        <x:v>35</x:v>
      </x:c>
      <x:c r="G294" s="18"/>
      <x:c r="H294" s="21" t="e">
        <x:f>IF(SUMIFS(İndirimler!$C$2:$C$110,İndirimler!$A$2:$A$110,B294,İndirimler!$B$2:$B$110,C294)&gt;0,ROUND(G294*(1-SUMIFS(İndirimler!$C$2:$C$110,İndirimler!$A$2:$A$110,B294,İndirimler!$B$2:$B$110,C294)),2),"")</x:f>
        <x:v>#NAME?</x:v>
      </x:c>
      <x:c r="I294" s="24" t="e">
        <x:f>IF(SUMIFS(İndirimler!$D$2:$D$110,İndirimler!$A$2:$A$110,B294,İndirimler!$B$2:$B$110,C294)&gt;0,ROUND(G294*(1-SUMIFS(İndirimler!$D$2:$D$110,İndirimler!$A$2:$A$110,B294,İndirimler!$B$2:$B$110,C294)),2),"")</x:f>
        <x:v>#NAME?</x:v>
      </x:c>
      <x:c r="J294" s="12"/>
      <x:c r="K294" s="31"/>
    </x:row>
    <x:row r="295" ht="21.950000762939453" customHeight="1">
      <x:c r="A295" s="15" t="s">
        <x:v>497</x:v>
      </x:c>
      <x:c r="B295" s="12" t="s">
        <x:v>38</x:v>
      </x:c>
      <x:c r="C295" s="12" t="s">
        <x:v>101</x:v>
      </x:c>
      <x:c r="D295" s="12" t="s">
        <x:v>428</x:v>
      </x:c>
      <x:c r="E295" s="12"/>
      <x:c r="F295" s="12" t="s">
        <x:v>35</x:v>
      </x:c>
      <x:c r="G295" s="18"/>
      <x:c r="H295" s="21" t="e">
        <x:f>IF(SUMIFS(İndirimler!$C$2:$C$110,İndirimler!$A$2:$A$110,B295,İndirimler!$B$2:$B$110,C295)&gt;0,ROUND(G295*(1-SUMIFS(İndirimler!$C$2:$C$110,İndirimler!$A$2:$A$110,B295,İndirimler!$B$2:$B$110,C295)),2),"")</x:f>
        <x:v>#NAME?</x:v>
      </x:c>
      <x:c r="I295" s="24" t="e">
        <x:f>IF(SUMIFS(İndirimler!$D$2:$D$110,İndirimler!$A$2:$A$110,B295,İndirimler!$B$2:$B$110,C295)&gt;0,ROUND(G295*(1-SUMIFS(İndirimler!$D$2:$D$110,İndirimler!$A$2:$A$110,B295,İndirimler!$B$2:$B$110,C295)),2),"")</x:f>
        <x:v>#NAME?</x:v>
      </x:c>
      <x:c r="J295" s="12"/>
      <x:c r="K295" s="31"/>
    </x:row>
    <x:row r="296" ht="21.950000762939453" customHeight="1">
      <x:c r="A296" s="15" t="s">
        <x:v>498</x:v>
      </x:c>
      <x:c r="B296" s="12" t="s">
        <x:v>139</x:v>
      </x:c>
      <x:c r="C296" s="12" t="s">
        <x:v>101</x:v>
      </x:c>
      <x:c r="D296" s="12" t="s">
        <x:v>428</x:v>
      </x:c>
      <x:c r="E296" s="12" t="s">
        <x:v>317</x:v>
      </x:c>
      <x:c r="F296" s="12" t="s">
        <x:v>42</x:v>
      </x:c>
      <x:c r="G296" s="18">
        <x:v>589</x:v>
      </x:c>
      <x:c r="H296" s="21" t="e">
        <x:f>IF(SUMIFS(İndirimler!$C$2:$C$110,İndirimler!$A$2:$A$110,B296,İndirimler!$B$2:$B$110,C296)&gt;0,ROUND(G296*(1-SUMIFS(İndirimler!$C$2:$C$110,İndirimler!$A$2:$A$110,B296,İndirimler!$B$2:$B$110,C296)),2),"")</x:f>
        <x:v>#NAME?</x:v>
      </x:c>
      <x:c r="I296" s="24" t="e">
        <x:f>IF(SUMIFS(İndirimler!$D$2:$D$110,İndirimler!$A$2:$A$110,B296,İndirimler!$B$2:$B$110,C296)&gt;0,ROUND(G296*(1-SUMIFS(İndirimler!$D$2:$D$110,İndirimler!$A$2:$A$110,B296,İndirimler!$B$2:$B$110,C296)),2),"")</x:f>
        <x:v>#NAME?</x:v>
      </x:c>
      <x:c r="J296" s="12"/>
      <x:c r="K296" s="31"/>
    </x:row>
    <x:row r="297" ht="21.950000762939453" customHeight="1">
      <x:c r="A297" s="15" t="s">
        <x:v>499</x:v>
      </x:c>
      <x:c r="B297" s="12" t="s">
        <x:v>18</x:v>
      </x:c>
      <x:c r="C297" s="12" t="s">
        <x:v>101</x:v>
      </x:c>
      <x:c r="D297" s="12" t="s">
        <x:v>428</x:v>
      </x:c>
      <x:c r="E297" s="12" t="s">
        <x:v>41</x:v>
      </x:c>
      <x:c r="F297" s="12" t="s">
        <x:v>42</x:v>
      </x:c>
      <x:c r="G297" s="18"/>
      <x:c r="H297" s="21" t="e">
        <x:f>IF(SUMIFS(İndirimler!$C$2:$C$110,İndirimler!$A$2:$A$110,B297,İndirimler!$B$2:$B$110,C297)&gt;0,ROUND(G297*(1-SUMIFS(İndirimler!$C$2:$C$110,İndirimler!$A$2:$A$110,B297,İndirimler!$B$2:$B$110,C297)),2),"")</x:f>
        <x:v>#NAME?</x:v>
      </x:c>
      <x:c r="I297" s="24" t="e">
        <x:f>IF(SUMIFS(İndirimler!$D$2:$D$110,İndirimler!$A$2:$A$110,B297,İndirimler!$B$2:$B$110,C297)&gt;0,ROUND(G297*(1-SUMIFS(İndirimler!$D$2:$D$110,İndirimler!$A$2:$A$110,B297,İndirimler!$B$2:$B$110,C297)),2),"")</x:f>
        <x:v>#NAME?</x:v>
      </x:c>
      <x:c r="J297" s="12"/>
      <x:c r="K297" s="31"/>
    </x:row>
    <x:row r="298" ht="21.950000762939453" customHeight="1">
      <x:c r="A298" s="15" t="s">
        <x:v>500</x:v>
      </x:c>
      <x:c r="B298" s="12" t="s">
        <x:v>72</x:v>
      </x:c>
      <x:c r="C298" s="12" t="s">
        <x:v>101</x:v>
      </x:c>
      <x:c r="D298" s="12" t="s">
        <x:v>428</x:v>
      </x:c>
      <x:c r="E298" s="12" t="s">
        <x:v>104</x:v>
      </x:c>
      <x:c r="F298" s="12" t="s">
        <x:v>42</x:v>
      </x:c>
      <x:c r="G298" s="18"/>
      <x:c r="H298" s="21" t="e">
        <x:f>IF(SUMIFS(İndirimler!$C$2:$C$110,İndirimler!$A$2:$A$110,B298,İndirimler!$B$2:$B$110,C298)&gt;0,ROUND(G298*(1-SUMIFS(İndirimler!$C$2:$C$110,İndirimler!$A$2:$A$110,B298,İndirimler!$B$2:$B$110,C298)),2),"")</x:f>
        <x:v>#NAME?</x:v>
      </x:c>
      <x:c r="I298" s="24" t="e">
        <x:f>IF(SUMIFS(İndirimler!$D$2:$D$110,İndirimler!$A$2:$A$110,B298,İndirimler!$B$2:$B$110,C298)&gt;0,ROUND(G298*(1-SUMIFS(İndirimler!$D$2:$D$110,İndirimler!$A$2:$A$110,B298,İndirimler!$B$2:$B$110,C298)),2),"")</x:f>
        <x:v>#NAME?</x:v>
      </x:c>
      <x:c r="J298" s="12"/>
      <x:c r="K298" s="31"/>
    </x:row>
    <x:row r="299" ht="21.950000762939453" customHeight="1">
      <x:c r="A299" s="15" t="s">
        <x:v>501</x:v>
      </x:c>
      <x:c r="B299" s="12" t="s">
        <x:v>23</x:v>
      </x:c>
      <x:c r="C299" s="12" t="s">
        <x:v>101</x:v>
      </x:c>
      <x:c r="D299" s="12" t="s">
        <x:v>428</x:v>
      </x:c>
      <x:c r="E299" s="12"/>
      <x:c r="F299" s="12" t="s">
        <x:v>42</x:v>
      </x:c>
      <x:c r="G299" s="18">
        <x:v>490</x:v>
      </x:c>
      <x:c r="H299" s="21" t="e">
        <x:f>IF(SUMIFS(İndirimler!$C$2:$C$110,İndirimler!$A$2:$A$110,B299,İndirimler!$B$2:$B$110,C299)&gt;0,ROUND(G299*(1-SUMIFS(İndirimler!$C$2:$C$110,İndirimler!$A$2:$A$110,B299,İndirimler!$B$2:$B$110,C299)),2),"")</x:f>
        <x:v>#NAME?</x:v>
      </x:c>
      <x:c r="I299" s="24" t="e">
        <x:f>IF(SUMIFS(İndirimler!$D$2:$D$110,İndirimler!$A$2:$A$110,B299,İndirimler!$B$2:$B$110,C299)&gt;0,ROUND(G299*(1-SUMIFS(İndirimler!$D$2:$D$110,İndirimler!$A$2:$A$110,B299,İndirimler!$B$2:$B$110,C299)),2),"")</x:f>
        <x:v>#NAME?</x:v>
      </x:c>
      <x:c r="J299" s="12" t="s">
        <x:v>502</x:v>
      </x:c>
      <x:c r="K299" s="31"/>
    </x:row>
    <x:row r="300" ht="21.950000762939453" customHeight="1">
      <x:c r="A300" s="15" t="s">
        <x:v>503</x:v>
      </x:c>
      <x:c r="B300" s="12" t="s">
        <x:v>50</x:v>
      </x:c>
      <x:c r="C300" s="12" t="s">
        <x:v>101</x:v>
      </x:c>
      <x:c r="D300" s="12" t="s">
        <x:v>428</x:v>
      </x:c>
      <x:c r="E300" s="12" t="s">
        <x:v>51</x:v>
      </x:c>
      <x:c r="F300" s="12" t="s">
        <x:v>42</x:v>
      </x:c>
      <x:c r="G300" s="18">
        <x:v>580</x:v>
      </x:c>
      <x:c r="H300" s="21" t="e">
        <x:f>IF(SUMIFS(İndirimler!$C$2:$C$110,İndirimler!$A$2:$A$110,B300,İndirimler!$B$2:$B$110,C300)&gt;0,ROUND(G300*(1-SUMIFS(İndirimler!$C$2:$C$110,İndirimler!$A$2:$A$110,B300,İndirimler!$B$2:$B$110,C300)),2),"")</x:f>
        <x:v>#NAME?</x:v>
      </x:c>
      <x:c r="I300" s="24" t="e">
        <x:f>IF(SUMIFS(İndirimler!$D$2:$D$110,İndirimler!$A$2:$A$110,B300,İndirimler!$B$2:$B$110,C300)&gt;0,ROUND(G300*(1-SUMIFS(İndirimler!$D$2:$D$110,İndirimler!$A$2:$A$110,B300,İndirimler!$B$2:$B$110,C300)),2),"")</x:f>
        <x:v>#NAME?</x:v>
      </x:c>
      <x:c r="J300" s="12"/>
      <x:c r="K300" s="31"/>
    </x:row>
    <x:row r="301" ht="21.950000762939453" customHeight="1">
      <x:c r="A301" s="15" t="s">
        <x:v>504</x:v>
      </x:c>
      <x:c r="B301" s="12" t="s">
        <x:v>444</x:v>
      </x:c>
      <x:c r="C301" s="12" t="s">
        <x:v>101</x:v>
      </x:c>
      <x:c r="D301" s="12" t="s">
        <x:v>428</x:v>
      </x:c>
      <x:c r="E301" s="12"/>
      <x:c r="F301" s="12" t="s">
        <x:v>42</x:v>
      </x:c>
      <x:c r="G301" s="18"/>
      <x:c r="H301" s="21" t="e">
        <x:f>IF(SUMIFS(İndirimler!$C$2:$C$110,İndirimler!$A$2:$A$110,B301,İndirimler!$B$2:$B$110,C301)&gt;0,ROUND(G301*(1-SUMIFS(İndirimler!$C$2:$C$110,İndirimler!$A$2:$A$110,B301,İndirimler!$B$2:$B$110,C301)),2),"")</x:f>
        <x:v>#NAME?</x:v>
      </x:c>
      <x:c r="I301" s="24" t="e">
        <x:f>IF(SUMIFS(İndirimler!$D$2:$D$110,İndirimler!$A$2:$A$110,B301,İndirimler!$B$2:$B$110,C301)&gt;0,ROUND(G301*(1-SUMIFS(İndirimler!$D$2:$D$110,İndirimler!$A$2:$A$110,B301,İndirimler!$B$2:$B$110,C301)),2),"")</x:f>
        <x:v>#NAME?</x:v>
      </x:c>
      <x:c r="J301" s="12"/>
      <x:c r="K301" s="31"/>
    </x:row>
    <x:row r="302" ht="21.950000762939453" customHeight="1">
      <x:c r="A302" s="15" t="s">
        <x:v>505</x:v>
      </x:c>
      <x:c r="B302" s="12" t="s">
        <x:v>55</x:v>
      </x:c>
      <x:c r="C302" s="12" t="s">
        <x:v>101</x:v>
      </x:c>
      <x:c r="D302" s="12" t="s">
        <x:v>428</x:v>
      </x:c>
      <x:c r="E302" s="12"/>
      <x:c r="F302" s="12" t="s">
        <x:v>16</x:v>
      </x:c>
      <x:c r="G302" s="18">
        <x:v>328</x:v>
      </x:c>
      <x:c r="H302" s="21" t="e">
        <x:f>IF(SUMIFS(İndirimler!$C$2:$C$110,İndirimler!$A$2:$A$110,B302,İndirimler!$B$2:$B$110,C302)&gt;0,ROUND(G302*(1-SUMIFS(İndirimler!$C$2:$C$110,İndirimler!$A$2:$A$110,B302,İndirimler!$B$2:$B$110,C302)),2),"")</x:f>
        <x:v>#NAME?</x:v>
      </x:c>
      <x:c r="I302" s="24" t="e">
        <x:f>IF(SUMIFS(İndirimler!$D$2:$D$110,İndirimler!$A$2:$A$110,B302,İndirimler!$B$2:$B$110,C302)&gt;0,ROUND(G302*(1-SUMIFS(İndirimler!$D$2:$D$110,İndirimler!$A$2:$A$110,B302,İndirimler!$B$2:$B$110,C302)),2),"")</x:f>
        <x:v>#NAME?</x:v>
      </x:c>
      <x:c r="J302" s="12"/>
      <x:c r="K302" s="31"/>
    </x:row>
    <x:row r="303" ht="21.950000762939453" customHeight="1">
      <x:c r="A303" s="15" t="s">
        <x:v>506</x:v>
      </x:c>
      <x:c r="B303" s="12" t="s">
        <x:v>139</x:v>
      </x:c>
      <x:c r="C303" s="12" t="s">
        <x:v>101</x:v>
      </x:c>
      <x:c r="D303" s="12" t="s">
        <x:v>428</x:v>
      </x:c>
      <x:c r="E303" s="12"/>
      <x:c r="F303" s="12" t="s">
        <x:v>16</x:v>
      </x:c>
      <x:c r="G303" s="18">
        <x:v>464</x:v>
      </x:c>
      <x:c r="H303" s="21" t="e">
        <x:f>IF(SUMIFS(İndirimler!$C$2:$C$110,İndirimler!$A$2:$A$110,B303,İndirimler!$B$2:$B$110,C303)&gt;0,ROUND(G303*(1-SUMIFS(İndirimler!$C$2:$C$110,İndirimler!$A$2:$A$110,B303,İndirimler!$B$2:$B$110,C303)),2),"")</x:f>
        <x:v>#NAME?</x:v>
      </x:c>
      <x:c r="I303" s="24" t="e">
        <x:f>IF(SUMIFS(İndirimler!$D$2:$D$110,İndirimler!$A$2:$A$110,B303,İndirimler!$B$2:$B$110,C303)&gt;0,ROUND(G303*(1-SUMIFS(İndirimler!$D$2:$D$110,İndirimler!$A$2:$A$110,B303,İndirimler!$B$2:$B$110,C303)),2),"")</x:f>
        <x:v>#NAME?</x:v>
      </x:c>
      <x:c r="J303" s="12"/>
      <x:c r="K303" s="31"/>
    </x:row>
    <x:row r="304" ht="21.950000762939453" customHeight="1">
      <x:c r="A304" s="15" t="s">
        <x:v>507</x:v>
      </x:c>
      <x:c r="B304" s="12" t="s">
        <x:v>18</x:v>
      </x:c>
      <x:c r="C304" s="12" t="s">
        <x:v>101</x:v>
      </x:c>
      <x:c r="D304" s="12" t="s">
        <x:v>428</x:v>
      </x:c>
      <x:c r="E304" s="12"/>
      <x:c r="F304" s="12" t="s">
        <x:v>16</x:v>
      </x:c>
      <x:c r="G304" s="18"/>
      <x:c r="H304" s="21" t="e">
        <x:f>IF(SUMIFS(İndirimler!$C$2:$C$110,İndirimler!$A$2:$A$110,B304,İndirimler!$B$2:$B$110,C304)&gt;0,ROUND(G304*(1-SUMIFS(İndirimler!$C$2:$C$110,İndirimler!$A$2:$A$110,B304,İndirimler!$B$2:$B$110,C304)),2),"")</x:f>
        <x:v>#NAME?</x:v>
      </x:c>
      <x:c r="I304" s="24" t="e">
        <x:f>IF(SUMIFS(İndirimler!$D$2:$D$110,İndirimler!$A$2:$A$110,B304,İndirimler!$B$2:$B$110,C304)&gt;0,ROUND(G304*(1-SUMIFS(İndirimler!$D$2:$D$110,İndirimler!$A$2:$A$110,B304,İndirimler!$B$2:$B$110,C304)),2),"")</x:f>
        <x:v>#NAME?</x:v>
      </x:c>
      <x:c r="J304" s="30" t="s">
        <x:v>508</x:v>
      </x:c>
      <x:c r="K304" s="31"/>
    </x:row>
    <x:row r="305" ht="21.950000762939453" customHeight="1">
      <x:c r="A305" s="15" t="s">
        <x:v>509</x:v>
      </x:c>
      <x:c r="B305" s="12" t="s">
        <x:v>63</x:v>
      </x:c>
      <x:c r="C305" s="12" t="s">
        <x:v>101</x:v>
      </x:c>
      <x:c r="D305" s="12" t="s">
        <x:v>428</x:v>
      </x:c>
      <x:c r="E305" s="12" t="s">
        <x:v>64</x:v>
      </x:c>
      <x:c r="F305" s="12" t="s">
        <x:v>16</x:v>
      </x:c>
      <x:c r="G305" s="18"/>
      <x:c r="H305" s="21" t="e">
        <x:f>IF(SUMIFS(İndirimler!$C$2:$C$110,İndirimler!$A$2:$A$110,B305,İndirimler!$B$2:$B$110,C305)&gt;0,ROUND(G305*(1-SUMIFS(İndirimler!$C$2:$C$110,İndirimler!$A$2:$A$110,B305,İndirimler!$B$2:$B$110,C305)),2),"")</x:f>
        <x:v>#NAME?</x:v>
      </x:c>
      <x:c r="I305" s="24" t="e">
        <x:f>IF(SUMIFS(İndirimler!$D$2:$D$110,İndirimler!$A$2:$A$110,B305,İndirimler!$B$2:$B$110,C305)&gt;0,ROUND(G305*(1-SUMIFS(İndirimler!$D$2:$D$110,İndirimler!$A$2:$A$110,B305,İndirimler!$B$2:$B$110,C305)),2),"")</x:f>
        <x:v>#NAME?</x:v>
      </x:c>
      <x:c r="J305" s="12" t="s">
        <x:v>510</x:v>
      </x:c>
      <x:c r="K305" s="31"/>
    </x:row>
    <x:row r="306" ht="21.950000762939453" customHeight="1">
      <x:c r="A306" s="15" t="s">
        <x:v>511</x:v>
      </x:c>
      <x:c r="B306" s="12" t="s">
        <x:v>23</x:v>
      </x:c>
      <x:c r="C306" s="12" t="s">
        <x:v>101</x:v>
      </x:c>
      <x:c r="D306" s="12" t="s">
        <x:v>428</x:v>
      </x:c>
      <x:c r="E306" s="12"/>
      <x:c r="F306" s="12" t="s">
        <x:v>16</x:v>
      </x:c>
      <x:c r="G306" s="18">
        <x:v>448</x:v>
      </x:c>
      <x:c r="H306" s="21" t="e">
        <x:f>IF(SUMIFS(İndirimler!$C$2:$C$110,İndirimler!$A$2:$A$110,B306,İndirimler!$B$2:$B$110,C306)&gt;0,ROUND(G306*(1-SUMIFS(İndirimler!$C$2:$C$110,İndirimler!$A$2:$A$110,B306,İndirimler!$B$2:$B$110,C306)),2),"")</x:f>
        <x:v>#NAME?</x:v>
      </x:c>
      <x:c r="I306" s="24" t="e">
        <x:f>IF(SUMIFS(İndirimler!$D$2:$D$110,İndirimler!$A$2:$A$110,B306,İndirimler!$B$2:$B$110,C306)&gt;0,ROUND(G306*(1-SUMIFS(İndirimler!$D$2:$D$110,İndirimler!$A$2:$A$110,B306,İndirimler!$B$2:$B$110,C306)),2),"")</x:f>
        <x:v>#NAME?</x:v>
      </x:c>
      <x:c r="J306" s="12" t="s">
        <x:v>512</x:v>
      </x:c>
      <x:c r="K306" s="31"/>
    </x:row>
    <x:row r="307" ht="21.950000762939453" customHeight="1">
      <x:c r="A307" s="15" t="s">
        <x:v>513</x:v>
      </x:c>
      <x:c r="B307" s="12" t="s">
        <x:v>50</x:v>
      </x:c>
      <x:c r="C307" s="12" t="s">
        <x:v>101</x:v>
      </x:c>
      <x:c r="D307" s="12" t="s">
        <x:v>428</x:v>
      </x:c>
      <x:c r="E307" s="12" t="s">
        <x:v>69</x:v>
      </x:c>
      <x:c r="F307" s="12" t="s">
        <x:v>16</x:v>
      </x:c>
      <x:c r="G307" s="18">
        <x:v>458</x:v>
      </x:c>
      <x:c r="H307" s="21" t="e">
        <x:f>IF(SUMIFS(İndirimler!$C$2:$C$110,İndirimler!$A$2:$A$110,B307,İndirimler!$B$2:$B$110,C307)&gt;0,ROUND(G307*(1-SUMIFS(İndirimler!$C$2:$C$110,İndirimler!$A$2:$A$110,B307,İndirimler!$B$2:$B$110,C307)),2),"")</x:f>
        <x:v>#NAME?</x:v>
      </x:c>
      <x:c r="I307" s="24" t="e">
        <x:f>IF(SUMIFS(İndirimler!$D$2:$D$110,İndirimler!$A$2:$A$110,B307,İndirimler!$B$2:$B$110,C307)&gt;0,ROUND(G307*(1-SUMIFS(İndirimler!$D$2:$D$110,İndirimler!$A$2:$A$110,B307,İndirimler!$B$2:$B$110,C307)),2),"")</x:f>
        <x:v>#NAME?</x:v>
      </x:c>
      <x:c r="J307" s="12"/>
      <x:c r="K307" s="31"/>
    </x:row>
    <x:row r="308" ht="21.950000762939453" customHeight="1">
      <x:c r="A308" s="15" t="s">
        <x:v>514</x:v>
      </x:c>
      <x:c r="B308" s="12" t="s">
        <x:v>38</x:v>
      </x:c>
      <x:c r="C308" s="12" t="s">
        <x:v>101</x:v>
      </x:c>
      <x:c r="D308" s="12" t="s">
        <x:v>428</x:v>
      </x:c>
      <x:c r="E308" s="12"/>
      <x:c r="F308" s="12" t="s">
        <x:v>16</x:v>
      </x:c>
      <x:c r="G308" s="18"/>
      <x:c r="H308" s="21" t="e">
        <x:f>IF(SUMIFS(İndirimler!$C$2:$C$110,İndirimler!$A$2:$A$110,B308,İndirimler!$B$2:$B$110,C308)&gt;0,ROUND(G308*(1-SUMIFS(İndirimler!$C$2:$C$110,İndirimler!$A$2:$A$110,B308,İndirimler!$B$2:$B$110,C308)),2),"")</x:f>
        <x:v>#NAME?</x:v>
      </x:c>
      <x:c r="I308" s="24" t="e">
        <x:f>IF(SUMIFS(İndirimler!$D$2:$D$110,İndirimler!$A$2:$A$110,B308,İndirimler!$B$2:$B$110,C308)&gt;0,ROUND(G308*(1-SUMIFS(İndirimler!$D$2:$D$110,İndirimler!$A$2:$A$110,B308,İndirimler!$B$2:$B$110,C308)),2),"")</x:f>
        <x:v>#NAME?</x:v>
      </x:c>
      <x:c r="J308" s="12"/>
      <x:c r="K308" s="31"/>
    </x:row>
    <x:row r="309" ht="21.950000762939453" customHeight="1">
      <x:c r="A309" s="15" t="s">
        <x:v>515</x:v>
      </x:c>
      <x:c r="B309" s="12" t="s">
        <x:v>72</x:v>
      </x:c>
      <x:c r="C309" s="12" t="s">
        <x:v>101</x:v>
      </x:c>
      <x:c r="D309" s="12" t="s">
        <x:v>428</x:v>
      </x:c>
      <x:c r="E309" s="12"/>
      <x:c r="F309" s="12" t="s">
        <x:v>73</x:v>
      </x:c>
      <x:c r="G309" s="18"/>
      <x:c r="H309" s="21" t="e">
        <x:f>IF(SUMIFS(İndirimler!$C$2:$C$110,İndirimler!$A$2:$A$110,B309,İndirimler!$B$2:$B$110,C309)&gt;0,ROUND(G309*(1-SUMIFS(İndirimler!$C$2:$C$110,İndirimler!$A$2:$A$110,B309,İndirimler!$B$2:$B$110,C309)),2),"")</x:f>
        <x:v>#NAME?</x:v>
      </x:c>
      <x:c r="I309" s="24" t="e">
        <x:f>IF(SUMIFS(İndirimler!$D$2:$D$110,İndirimler!$A$2:$A$110,B309,İndirimler!$B$2:$B$110,C309)&gt;0,ROUND(G309*(1-SUMIFS(İndirimler!$D$2:$D$110,İndirimler!$A$2:$A$110,B309,İndirimler!$B$2:$B$110,C309)),2),"")</x:f>
        <x:v>#NAME?</x:v>
      </x:c>
      <x:c r="J309" s="12"/>
      <x:c r="K309" s="31"/>
    </x:row>
    <x:row r="310" ht="21.950000762939453" customHeight="1">
      <x:c r="A310" s="15" t="s">
        <x:v>516</x:v>
      </x:c>
      <x:c r="B310" s="12" t="s">
        <x:v>38</x:v>
      </x:c>
      <x:c r="C310" s="12" t="s">
        <x:v>249</x:v>
      </x:c>
      <x:c r="D310" s="12" t="s">
        <x:v>428</x:v>
      </x:c>
      <x:c r="E310" s="12" t="s">
        <x:v>254</x:v>
      </x:c>
      <x:c r="F310" s="12" t="s">
        <x:v>35</x:v>
      </x:c>
      <x:c r="G310" s="18">
        <x:v>615</x:v>
      </x:c>
      <x:c r="H310" s="21" t="e">
        <x:f>IF(SUMIFS(İndirimler!$C$2:$C$110,İndirimler!$A$2:$A$110,B310,İndirimler!$B$2:$B$110,C310)&gt;0,ROUND(G310*(1-SUMIFS(İndirimler!$C$2:$C$110,İndirimler!$A$2:$A$110,B310,İndirimler!$B$2:$B$110,C310)),2),"")</x:f>
        <x:v>#NAME?</x:v>
      </x:c>
      <x:c r="I310" s="24" t="e">
        <x:f>IF(SUMIFS(İndirimler!$D$2:$D$110,İndirimler!$A$2:$A$110,B310,İndirimler!$B$2:$B$110,C310)&gt;0,ROUND(G310*(1-SUMIFS(İndirimler!$D$2:$D$110,İndirimler!$A$2:$A$110,B310,İndirimler!$B$2:$B$110,C310)),2),"")</x:f>
        <x:v>#NAME?</x:v>
      </x:c>
      <x:c r="J310" s="12" t="s">
        <x:v>517</x:v>
      </x:c>
      <x:c r="K310" s="31"/>
    </x:row>
    <x:row r="311" ht="21.950000762939453" customHeight="1">
      <x:c r="A311" s="15" t="s">
        <x:v>518</x:v>
      </x:c>
      <x:c r="B311" s="12" t="s">
        <x:v>38</x:v>
      </x:c>
      <x:c r="C311" s="12" t="s">
        <x:v>249</x:v>
      </x:c>
      <x:c r="D311" s="12" t="s">
        <x:v>428</x:v>
      </x:c>
      <x:c r="E311" s="12" t="s">
        <x:v>257</x:v>
      </x:c>
      <x:c r="F311" s="12" t="s">
        <x:v>35</x:v>
      </x:c>
      <x:c r="G311" s="18">
        <x:v>615</x:v>
      </x:c>
      <x:c r="H311" s="21" t="e">
        <x:f>IF(SUMIFS(İndirimler!$C$2:$C$110,İndirimler!$A$2:$A$110,B311,İndirimler!$B$2:$B$110,C311)&gt;0,ROUND(G311*(1-SUMIFS(İndirimler!$C$2:$C$110,İndirimler!$A$2:$A$110,B311,İndirimler!$B$2:$B$110,C311)),2),"")</x:f>
        <x:v>#NAME?</x:v>
      </x:c>
      <x:c r="I311" s="24" t="e">
        <x:f>IF(SUMIFS(İndirimler!$D$2:$D$110,İndirimler!$A$2:$A$110,B311,İndirimler!$B$2:$B$110,C311)&gt;0,ROUND(G311*(1-SUMIFS(İndirimler!$D$2:$D$110,İndirimler!$A$2:$A$110,B311,İndirimler!$B$2:$B$110,C311)),2),"")</x:f>
        <x:v>#NAME?</x:v>
      </x:c>
      <x:c r="J311" s="12" t="s">
        <x:v>519</x:v>
      </x:c>
      <x:c r="K311" s="31"/>
    </x:row>
    <x:row r="312" ht="21.950000762939453" customHeight="1">
      <x:c r="A312" s="15" t="s">
        <x:v>520</x:v>
      </x:c>
      <x:c r="B312" s="12" t="s">
        <x:v>139</x:v>
      </x:c>
      <x:c r="C312" s="12" t="s">
        <x:v>249</x:v>
      </x:c>
      <x:c r="D312" s="12" t="s">
        <x:v>428</x:v>
      </x:c>
      <x:c r="E312" s="12" t="s">
        <x:v>317</x:v>
      </x:c>
      <x:c r="F312" s="12" t="s">
        <x:v>42</x:v>
      </x:c>
      <x:c r="G312" s="18">
        <x:v>358</x:v>
      </x:c>
      <x:c r="H312" s="21" t="e">
        <x:f>IF(SUMIFS(İndirimler!$C$2:$C$110,İndirimler!$A$2:$A$110,B312,İndirimler!$B$2:$B$110,C312)&gt;0,ROUND(G312*(1-SUMIFS(İndirimler!$C$2:$C$110,İndirimler!$A$2:$A$110,B312,İndirimler!$B$2:$B$110,C312)),2),"")</x:f>
        <x:v>#NAME?</x:v>
      </x:c>
      <x:c r="I312" s="24" t="e">
        <x:f>IF(SUMIFS(İndirimler!$D$2:$D$110,İndirimler!$A$2:$A$110,B312,İndirimler!$B$2:$B$110,C312)&gt;0,ROUND(G312*(1-SUMIFS(İndirimler!$D$2:$D$110,İndirimler!$A$2:$A$110,B312,İndirimler!$B$2:$B$110,C312)),2),"")</x:f>
        <x:v>#NAME?</x:v>
      </x:c>
      <x:c r="J312" s="12" t="s">
        <x:v>521</x:v>
      </x:c>
      <x:c r="K312" s="31"/>
    </x:row>
    <x:row r="313" ht="21.950000762939453" customHeight="1">
      <x:c r="A313" s="15" t="s">
        <x:v>522</x:v>
      </x:c>
      <x:c r="B313" s="12" t="s">
        <x:v>50</x:v>
      </x:c>
      <x:c r="C313" s="12" t="s">
        <x:v>249</x:v>
      </x:c>
      <x:c r="D313" s="12" t="s">
        <x:v>428</x:v>
      </x:c>
      <x:c r="E313" s="12" t="s">
        <x:v>51</x:v>
      </x:c>
      <x:c r="F313" s="12" t="s">
        <x:v>42</x:v>
      </x:c>
      <x:c r="G313" s="18">
        <x:v>634</x:v>
      </x:c>
      <x:c r="H313" s="21" t="e">
        <x:f>IF(SUMIFS(İndirimler!$C$2:$C$110,İndirimler!$A$2:$A$110,B313,İndirimler!$B$2:$B$110,C313)&gt;0,ROUND(G313*(1-SUMIFS(İndirimler!$C$2:$C$110,İndirimler!$A$2:$A$110,B313,İndirimler!$B$2:$B$110,C313)),2),"")</x:f>
        <x:v>#NAME?</x:v>
      </x:c>
      <x:c r="I313" s="24" t="e">
        <x:f>IF(SUMIFS(İndirimler!$D$2:$D$110,İndirimler!$A$2:$A$110,B313,İndirimler!$B$2:$B$110,C313)&gt;0,ROUND(G313*(1-SUMIFS(İndirimler!$D$2:$D$110,İndirimler!$A$2:$A$110,B313,İndirimler!$B$2:$B$110,C313)),2),"")</x:f>
        <x:v>#NAME?</x:v>
      </x:c>
      <x:c r="J313" s="12"/>
      <x:c r="K313" s="31"/>
    </x:row>
    <x:row r="314" ht="21.950000762939453" customHeight="1">
      <x:c r="A314" s="15" t="s">
        <x:v>523</x:v>
      </x:c>
      <x:c r="B314" s="12" t="s">
        <x:v>427</x:v>
      </x:c>
      <x:c r="C314" s="12" t="s">
        <x:v>249</x:v>
      </x:c>
      <x:c r="D314" s="12" t="s">
        <x:v>428</x:v>
      </x:c>
      <x:c r="E314" s="12" t="s">
        <x:v>429</x:v>
      </x:c>
      <x:c r="F314" s="12" t="s">
        <x:v>42</x:v>
      </x:c>
      <x:c r="G314" s="18">
        <x:v>275</x:v>
      </x:c>
      <x:c r="H314" s="21" t="e">
        <x:f>IF(SUMIFS(İndirimler!$C$2:$C$110,İndirimler!$A$2:$A$110,B314,İndirimler!$B$2:$B$110,C314)&gt;0,ROUND(G314*(1-SUMIFS(İndirimler!$C$2:$C$110,İndirimler!$A$2:$A$110,B314,İndirimler!$B$2:$B$110,C314)),2),"")</x:f>
        <x:v>#NAME?</x:v>
      </x:c>
      <x:c r="I314" s="24" t="e">
        <x:f>IF(SUMIFS(İndirimler!$D$2:$D$110,İndirimler!$A$2:$A$110,B314,İndirimler!$B$2:$B$110,C314)&gt;0,ROUND(G314*(1-SUMIFS(İndirimler!$D$2:$D$110,İndirimler!$A$2:$A$110,B314,İndirimler!$B$2:$B$110,C314)),2),"")</x:f>
        <x:v>#NAME?</x:v>
      </x:c>
      <x:c r="J314" s="12"/>
      <x:c r="K314" s="31"/>
    </x:row>
    <x:row r="315" ht="21.950000762939453" customHeight="1">
      <x:c r="A315" s="15" t="s">
        <x:v>524</x:v>
      </x:c>
      <x:c r="B315" s="12" t="s">
        <x:v>427</x:v>
      </x:c>
      <x:c r="C315" s="12" t="s">
        <x:v>249</x:v>
      </x:c>
      <x:c r="D315" s="12" t="s">
        <x:v>428</x:v>
      </x:c>
      <x:c r="E315" s="12" t="s">
        <x:v>429</x:v>
      </x:c>
      <x:c r="F315" s="12" t="s">
        <x:v>42</x:v>
      </x:c>
      <x:c r="G315" s="18">
        <x:v>305</x:v>
      </x:c>
      <x:c r="H315" s="21" t="e">
        <x:f>IF(SUMIFS(İndirimler!$C$2:$C$110,İndirimler!$A$2:$A$110,B315,İndirimler!$B$2:$B$110,C315)&gt;0,ROUND(G315*(1-SUMIFS(İndirimler!$C$2:$C$110,İndirimler!$A$2:$A$110,B315,İndirimler!$B$2:$B$110,C315)),2),"")</x:f>
        <x:v>#NAME?</x:v>
      </x:c>
      <x:c r="I315" s="24" t="e">
        <x:f>IF(SUMIFS(İndirimler!$D$2:$D$110,İndirimler!$A$2:$A$110,B315,İndirimler!$B$2:$B$110,C315)&gt;0,ROUND(G315*(1-SUMIFS(İndirimler!$D$2:$D$110,İndirimler!$A$2:$A$110,B315,İndirimler!$B$2:$B$110,C315)),2),"")</x:f>
        <x:v>#NAME?</x:v>
      </x:c>
      <x:c r="J315" s="12"/>
      <x:c r="K315" s="31"/>
    </x:row>
    <x:row r="316" ht="21.950000762939453" customHeight="1">
      <x:c r="A316" s="15" t="s">
        <x:v>525</x:v>
      </x:c>
      <x:c r="B316" s="12" t="s">
        <x:v>50</x:v>
      </x:c>
      <x:c r="C316" s="12" t="s">
        <x:v>249</x:v>
      </x:c>
      <x:c r="D316" s="12" t="s">
        <x:v>428</x:v>
      </x:c>
      <x:c r="E316" s="12"/>
      <x:c r="F316" s="12" t="s">
        <x:v>16</x:v>
      </x:c>
      <x:c r="G316" s="18">
        <x:v>275</x:v>
      </x:c>
      <x:c r="H316" s="21" t="e">
        <x:f>IF(SUMIFS(İndirimler!$C$2:$C$110,İndirimler!$A$2:$A$110,B316,İndirimler!$B$2:$B$110,C316)&gt;0,ROUND(G316*(1-SUMIFS(İndirimler!$C$2:$C$110,İndirimler!$A$2:$A$110,B316,İndirimler!$B$2:$B$110,C316)),2),"")</x:f>
        <x:v>#NAME?</x:v>
      </x:c>
      <x:c r="I316" s="24" t="e">
        <x:f>IF(SUMIFS(İndirimler!$D$2:$D$110,İndirimler!$A$2:$A$110,B316,İndirimler!$B$2:$B$110,C316)&gt;0,ROUND(G316*(1-SUMIFS(İndirimler!$D$2:$D$110,İndirimler!$A$2:$A$110,B316,İndirimler!$B$2:$B$110,C316)),2),"")</x:f>
        <x:v>#NAME?</x:v>
      </x:c>
      <x:c r="J316" s="12"/>
      <x:c r="K316" s="31"/>
    </x:row>
    <x:row r="317" ht="21.950000762939453" customHeight="1">
      <x:c r="A317" s="15" t="s">
        <x:v>526</x:v>
      </x:c>
      <x:c r="B317" s="12" t="s">
        <x:v>139</x:v>
      </x:c>
      <x:c r="C317" s="12" t="s">
        <x:v>13</x:v>
      </x:c>
      <x:c r="D317" s="12" t="s">
        <x:v>428</x:v>
      </x:c>
      <x:c r="E317" s="12"/>
      <x:c r="F317" s="12" t="s">
        <x:v>16</x:v>
      </x:c>
      <x:c r="G317" s="18">
        <x:v>655</x:v>
      </x:c>
      <x:c r="H317" s="21" t="e">
        <x:f>IF(SUMIFS(İndirimler!$C$2:$C$110,İndirimler!$A$2:$A$110,B317,İndirimler!$B$2:$B$110,C317)&gt;0,ROUND(G317*(1-SUMIFS(İndirimler!$C$2:$C$110,İndirimler!$A$2:$A$110,B317,İndirimler!$B$2:$B$110,C317)),2),"")</x:f>
        <x:v>#NAME?</x:v>
      </x:c>
      <x:c r="I317" s="24" t="e">
        <x:f>IF(SUMIFS(İndirimler!$D$2:$D$110,İndirimler!$A$2:$A$110,B317,İndirimler!$B$2:$B$110,C317)&gt;0,ROUND(G317*(1-SUMIFS(İndirimler!$D$2:$D$110,İndirimler!$A$2:$A$110,B317,İndirimler!$B$2:$B$110,C317)),2),"")</x:f>
        <x:v>#NAME?</x:v>
      </x:c>
      <x:c r="J317" s="12"/>
      <x:c r="K317" s="31"/>
    </x:row>
    <x:row r="318" ht="21.950000762939453" customHeight="1">
      <x:c r="A318" s="15" t="s">
        <x:v>527</x:v>
      </x:c>
      <x:c r="B318" s="12" t="s">
        <x:v>18</x:v>
      </x:c>
      <x:c r="C318" s="12" t="s">
        <x:v>13</x:v>
      </x:c>
      <x:c r="D318" s="12" t="s">
        <x:v>428</x:v>
      </x:c>
      <x:c r="E318" s="12"/>
      <x:c r="F318" s="12" t="s">
        <x:v>16</x:v>
      </x:c>
      <x:c r="G318" s="18">
        <x:v>479</x:v>
      </x:c>
      <x:c r="H318" s="21" t="e">
        <x:f>IF(SUMIFS(İndirimler!$C$2:$C$110,İndirimler!$A$2:$A$110,B318,İndirimler!$B$2:$B$110,C318)&gt;0,ROUND(G318*(1-SUMIFS(İndirimler!$C$2:$C$110,İndirimler!$A$2:$A$110,B318,İndirimler!$B$2:$B$110,C318)),2),"")</x:f>
        <x:v>#NAME?</x:v>
      </x:c>
      <x:c r="I318" s="24" t="e">
        <x:f>IF(SUMIFS(İndirimler!$D$2:$D$110,İndirimler!$A$2:$A$110,B318,İndirimler!$B$2:$B$110,C318)&gt;0,ROUND(G318*(1-SUMIFS(İndirimler!$D$2:$D$110,İndirimler!$A$2:$A$110,B318,İndirimler!$B$2:$B$110,C318)),2),"")</x:f>
        <x:v>#NAME?</x:v>
      </x:c>
      <x:c r="J318" s="12" t="s">
        <x:v>528</x:v>
      </x:c>
      <x:c r="K318" s="31"/>
    </x:row>
    <x:row r="319" ht="21.950000762939453" customHeight="1">
      <x:c r="A319" s="15" t="s">
        <x:v>529</x:v>
      </x:c>
      <x:c r="B319" s="12" t="s">
        <x:v>23</x:v>
      </x:c>
      <x:c r="C319" s="12" t="s">
        <x:v>13</x:v>
      </x:c>
      <x:c r="D319" s="12" t="s">
        <x:v>428</x:v>
      </x:c>
      <x:c r="E319" s="12"/>
      <x:c r="F319" s="12" t="s">
        <x:v>16</x:v>
      </x:c>
      <x:c r="G319" s="18">
        <x:v>465</x:v>
      </x:c>
      <x:c r="H319" s="21" t="e">
        <x:f>IF(SUMIFS(İndirimler!$C$2:$C$110,İndirimler!$A$2:$A$110,B319,İndirimler!$B$2:$B$110,C319)&gt;0,ROUND(G319*(1-SUMIFS(İndirimler!$C$2:$C$110,İndirimler!$A$2:$A$110,B319,İndirimler!$B$2:$B$110,C319)),2),"")</x:f>
        <x:v>#NAME?</x:v>
      </x:c>
      <x:c r="I319" s="24" t="e">
        <x:f>IF(SUMIFS(İndirimler!$D$2:$D$110,İndirimler!$A$2:$A$110,B319,İndirimler!$B$2:$B$110,C319)&gt;0,ROUND(G319*(1-SUMIFS(İndirimler!$D$2:$D$110,İndirimler!$A$2:$A$110,B319,İndirimler!$B$2:$B$110,C319)),2),"")</x:f>
        <x:v>#NAME?</x:v>
      </x:c>
      <x:c r="J319" s="12"/>
      <x:c r="K319" s="31"/>
    </x:row>
    <x:row r="320" ht="21.950000762939453" customHeight="1">
      <x:c r="A320" s="15" t="s">
        <x:v>530</x:v>
      </x:c>
      <x:c r="B320" s="12" t="s">
        <x:v>50</x:v>
      </x:c>
      <x:c r="C320" s="12" t="s">
        <x:v>13</x:v>
      </x:c>
      <x:c r="D320" s="12" t="s">
        <x:v>428</x:v>
      </x:c>
      <x:c r="E320" s="12"/>
      <x:c r="F320" s="12" t="s">
        <x:v>16</x:v>
      </x:c>
      <x:c r="G320" s="18">
        <x:v>538</x:v>
      </x:c>
      <x:c r="H320" s="21" t="e">
        <x:f>IF(SUMIFS(İndirimler!$C$2:$C$110,İndirimler!$A$2:$A$110,B320,İndirimler!$B$2:$B$110,C320)&gt;0,ROUND(G320*(1-SUMIFS(İndirimler!$C$2:$C$110,İndirimler!$A$2:$A$110,B320,İndirimler!$B$2:$B$110,C320)),2),"")</x:f>
        <x:v>#NAME?</x:v>
      </x:c>
      <x:c r="I320" s="24" t="e">
        <x:f>IF(SUMIFS(İndirimler!$D$2:$D$110,İndirimler!$A$2:$A$110,B320,İndirimler!$B$2:$B$110,C320)&gt;0,ROUND(G320*(1-SUMIFS(İndirimler!$D$2:$D$110,İndirimler!$A$2:$A$110,B320,İndirimler!$B$2:$B$110,C320)),2),"")</x:f>
        <x:v>#NAME?</x:v>
      </x:c>
      <x:c r="J320" s="12"/>
      <x:c r="K320" s="31"/>
    </x:row>
    <x:row r="321" ht="21.950000762939453" customHeight="1">
      <x:c r="A321" s="15" t="s">
        <x:v>531</x:v>
      </x:c>
      <x:c r="B321" s="12" t="s">
        <x:v>444</x:v>
      </x:c>
      <x:c r="C321" s="12" t="s">
        <x:v>13</x:v>
      </x:c>
      <x:c r="D321" s="12" t="s">
        <x:v>428</x:v>
      </x:c>
      <x:c r="E321" s="12"/>
      <x:c r="F321" s="12" t="s">
        <x:v>16</x:v>
      </x:c>
      <x:c r="G321" s="18"/>
      <x:c r="H321" s="21" t="e">
        <x:f>IF(SUMIFS(İndirimler!$C$2:$C$110,İndirimler!$A$2:$A$110,B321,İndirimler!$B$2:$B$110,C321)&gt;0,ROUND(G321*(1-SUMIFS(İndirimler!$C$2:$C$110,İndirimler!$A$2:$A$110,B321,İndirimler!$B$2:$B$110,C321)),2),"")</x:f>
        <x:v>#NAME?</x:v>
      </x:c>
      <x:c r="I321" s="24" t="e">
        <x:f>IF(SUMIFS(İndirimler!$D$2:$D$110,İndirimler!$A$2:$A$110,B321,İndirimler!$B$2:$B$110,C321)&gt;0,ROUND(G321*(1-SUMIFS(İndirimler!$D$2:$D$110,İndirimler!$A$2:$A$110,B321,İndirimler!$B$2:$B$110,C321)),2),"")</x:f>
        <x:v>#NAME?</x:v>
      </x:c>
      <x:c r="J321" s="12"/>
      <x:c r="K321" s="31"/>
    </x:row>
    <x:row r="322" ht="21.950000762939453" customHeight="1">
      <x:c r="A322" s="15" t="s">
        <x:v>532</x:v>
      </x:c>
      <x:c r="B322" s="12" t="s">
        <x:v>427</x:v>
      </x:c>
      <x:c r="C322" s="12" t="s">
        <x:v>13</x:v>
      </x:c>
      <x:c r="D322" s="12" t="s">
        <x:v>428</x:v>
      </x:c>
      <x:c r="E322" s="12"/>
      <x:c r="F322" s="12" t="s">
        <x:v>16</x:v>
      </x:c>
      <x:c r="G322" s="18">
        <x:v>599</x:v>
      </x:c>
      <x:c r="H322" s="21" t="e">
        <x:f>IF(SUMIFS(İndirimler!$C$2:$C$110,İndirimler!$A$2:$A$110,B322,İndirimler!$B$2:$B$110,C322)&gt;0,ROUND(G322*(1-SUMIFS(İndirimler!$C$2:$C$110,İndirimler!$A$2:$A$110,B322,İndirimler!$B$2:$B$110,C322)),2),"")</x:f>
        <x:v>#NAME?</x:v>
      </x:c>
      <x:c r="I322" s="24" t="e">
        <x:f>IF(SUMIFS(İndirimler!$D$2:$D$110,İndirimler!$A$2:$A$110,B322,İndirimler!$B$2:$B$110,C322)&gt;0,ROUND(G322*(1-SUMIFS(İndirimler!$D$2:$D$110,İndirimler!$A$2:$A$110,B322,İndirimler!$B$2:$B$110,C322)),2),"")</x:f>
        <x:v>#NAME?</x:v>
      </x:c>
      <x:c r="J322" s="12"/>
      <x:c r="K322" s="31"/>
    </x:row>
    <x:row r="323" ht="21.950000762939453" customHeight="1">
      <x:c r="A323" s="15" t="s">
        <x:v>533</x:v>
      </x:c>
      <x:c r="B323" s="12" t="s">
        <x:v>38</x:v>
      </x:c>
      <x:c r="C323" s="12" t="s">
        <x:v>13</x:v>
      </x:c>
      <x:c r="D323" s="12" t="s">
        <x:v>428</x:v>
      </x:c>
      <x:c r="E323" s="12" t="s">
        <x:v>69</x:v>
      </x:c>
      <x:c r="F323" s="12" t="s">
        <x:v>16</x:v>
      </x:c>
      <x:c r="G323" s="18">
        <x:v>395</x:v>
      </x:c>
      <x:c r="H323" s="21" t="e">
        <x:f>IF(SUMIFS(İndirimler!$C$2:$C$110,İndirimler!$A$2:$A$110,B323,İndirimler!$B$2:$B$110,C323)&gt;0,ROUND(G323*(1-SUMIFS(İndirimler!$C$2:$C$110,İndirimler!$A$2:$A$110,B323,İndirimler!$B$2:$B$110,C323)),2),"")</x:f>
        <x:v>#NAME?</x:v>
      </x:c>
      <x:c r="I323" s="24" t="e">
        <x:f>IF(SUMIFS(İndirimler!$D$2:$D$110,İndirimler!$A$2:$A$110,B323,İndirimler!$B$2:$B$110,C323)&gt;0,ROUND(G323*(1-SUMIFS(İndirimler!$D$2:$D$110,İndirimler!$A$2:$A$110,B323,İndirimler!$B$2:$B$110,C323)),2),"")</x:f>
        <x:v>#NAME?</x:v>
      </x:c>
      <x:c r="J323" s="12"/>
      <x:c r="K323" s="31"/>
    </x:row>
    <x:row r="324" ht="21.950000762939453" customHeight="1">
      <x:c r="A324" s="15" t="s">
        <x:v>534</x:v>
      </x:c>
      <x:c r="B324" s="12" t="s">
        <x:v>32</x:v>
      </x:c>
      <x:c r="C324" s="12" t="s">
        <x:v>33</x:v>
      </x:c>
      <x:c r="D324" s="12" t="s">
        <x:v>535</x:v>
      </x:c>
      <x:c r="E324" s="12"/>
      <x:c r="F324" s="12" t="s">
        <x:v>35</x:v>
      </x:c>
      <x:c r="G324" s="18">
        <x:v>549</x:v>
      </x:c>
      <x:c r="H324" s="21" t="e">
        <x:f>IF(SUMIFS(İndirimler!$C$2:$C$110,İndirimler!$A$2:$A$110,B324,İndirimler!$B$2:$B$110,C324)&gt;0,ROUND(G324*(1-SUMIFS(İndirimler!$C$2:$C$110,İndirimler!$A$2:$A$110,B324,İndirimler!$B$2:$B$110,C324)),2),"")</x:f>
        <x:v>#NAME?</x:v>
      </x:c>
      <x:c r="I324" s="24" t="e">
        <x:f>IF(SUMIFS(İndirimler!$D$2:$D$110,İndirimler!$A$2:$A$110,B324,İndirimler!$B$2:$B$110,C324)&gt;0,ROUND(G324*(1-SUMIFS(İndirimler!$D$2:$D$110,İndirimler!$A$2:$A$110,B324,İndirimler!$B$2:$B$110,C324)),2),"")</x:f>
        <x:v>#NAME?</x:v>
      </x:c>
      <x:c r="J324" s="30" t="s">
        <x:v>536</x:v>
      </x:c>
      <x:c r="K324" s="31"/>
    </x:row>
    <x:row r="325" ht="21.950000762939453" customHeight="1">
      <x:c r="A325" s="15" t="s">
        <x:v>537</x:v>
      </x:c>
      <x:c r="B325" s="12" t="s">
        <x:v>38</x:v>
      </x:c>
      <x:c r="C325" s="12" t="s">
        <x:v>33</x:v>
      </x:c>
      <x:c r="D325" s="12" t="s">
        <x:v>535</x:v>
      </x:c>
      <x:c r="E325" s="12"/>
      <x:c r="F325" s="12" t="s">
        <x:v>35</x:v>
      </x:c>
      <x:c r="G325" s="18">
        <x:v>755</x:v>
      </x:c>
      <x:c r="H325" s="21" t="e">
        <x:f>IF(SUMIFS(İndirimler!$C$2:$C$110,İndirimler!$A$2:$A$110,B325,İndirimler!$B$2:$B$110,C325)&gt;0,ROUND(G325*(1-SUMIFS(İndirimler!$C$2:$C$110,İndirimler!$A$2:$A$110,B325,İndirimler!$B$2:$B$110,C325)),2),"")</x:f>
        <x:v>#NAME?</x:v>
      </x:c>
      <x:c r="I325" s="24" t="e">
        <x:f>IF(SUMIFS(İndirimler!$D$2:$D$110,İndirimler!$A$2:$A$110,B325,İndirimler!$B$2:$B$110,C325)&gt;0,ROUND(G325*(1-SUMIFS(İndirimler!$D$2:$D$110,İndirimler!$A$2:$A$110,B325,İndirimler!$B$2:$B$110,C325)),2),"")</x:f>
        <x:v>#NAME?</x:v>
      </x:c>
      <x:c r="J325" s="12" t="s">
        <x:v>538</x:v>
      </x:c>
      <x:c r="K325" s="31"/>
    </x:row>
    <x:row r="326" ht="21.950000762939453" customHeight="1">
      <x:c r="A326" s="15" t="s">
        <x:v>539</x:v>
      </x:c>
      <x:c r="B326" s="12" t="s">
        <x:v>18</x:v>
      </x:c>
      <x:c r="C326" s="12" t="s">
        <x:v>33</x:v>
      </x:c>
      <x:c r="D326" s="12" t="s">
        <x:v>535</x:v>
      </x:c>
      <x:c r="E326" s="12" t="s">
        <x:v>41</x:v>
      </x:c>
      <x:c r="F326" s="12" t="s">
        <x:v>42</x:v>
      </x:c>
      <x:c r="G326" s="18"/>
      <x:c r="H326" s="21" t="e">
        <x:f>IF(SUMIFS(İndirimler!$C$2:$C$110,İndirimler!$A$2:$A$110,B326,İndirimler!$B$2:$B$110,C326)&gt;0,ROUND(G326*(1-SUMIFS(İndirimler!$C$2:$C$110,İndirimler!$A$2:$A$110,B326,İndirimler!$B$2:$B$110,C326)),2),"")</x:f>
        <x:v>#NAME?</x:v>
      </x:c>
      <x:c r="I326" s="24" t="e">
        <x:f>IF(SUMIFS(İndirimler!$D$2:$D$110,İndirimler!$A$2:$A$110,B326,İndirimler!$B$2:$B$110,C326)&gt;0,ROUND(G326*(1-SUMIFS(İndirimler!$D$2:$D$110,İndirimler!$A$2:$A$110,B326,İndirimler!$B$2:$B$110,C326)),2),"")</x:f>
        <x:v>#NAME?</x:v>
      </x:c>
      <x:c r="J326" s="12"/>
      <x:c r="K326" s="31"/>
    </x:row>
    <x:row r="327" ht="21.950000762939453" customHeight="1">
      <x:c r="A327" s="15" t="s">
        <x:v>540</x:v>
      </x:c>
      <x:c r="B327" s="12" t="s">
        <x:v>541</x:v>
      </x:c>
      <x:c r="C327" s="12" t="s">
        <x:v>33</x:v>
      </x:c>
      <x:c r="D327" s="12" t="s">
        <x:v>535</x:v>
      </x:c>
      <x:c r="E327" s="12" t="s">
        <x:v>542</x:v>
      </x:c>
      <x:c r="F327" s="12" t="s">
        <x:v>42</x:v>
      </x:c>
      <x:c r="G327" s="18">
        <x:v>499</x:v>
      </x:c>
      <x:c r="H327" s="21" t="e">
        <x:f>IF(SUMIFS(İndirimler!$C$2:$C$110,İndirimler!$A$2:$A$110,B327,İndirimler!$B$2:$B$110,C327)&gt;0,ROUND(G327*(1-SUMIFS(İndirimler!$C$2:$C$110,İndirimler!$A$2:$A$110,B327,İndirimler!$B$2:$B$110,C327)),2),"")</x:f>
        <x:v>#NAME?</x:v>
      </x:c>
      <x:c r="I327" s="24" t="e">
        <x:f>IF(SUMIFS(İndirimler!$D$2:$D$110,İndirimler!$A$2:$A$110,B327,İndirimler!$B$2:$B$110,C327)&gt;0,ROUND(G327*(1-SUMIFS(İndirimler!$D$2:$D$110,İndirimler!$A$2:$A$110,B327,İndirimler!$B$2:$B$110,C327)),2),"")</x:f>
        <x:v>#NAME?</x:v>
      </x:c>
      <x:c r="J327" s="12" t="s">
        <x:v>543</x:v>
      </x:c>
      <x:c r="K327" s="31" t="s">
        <x:v>544</x:v>
      </x:c>
    </x:row>
    <x:row r="328" ht="21.950000762939453" customHeight="1">
      <x:c r="A328" s="15" t="s">
        <x:v>545</x:v>
      </x:c>
      <x:c r="B328" s="12" t="s">
        <x:v>44</x:v>
      </x:c>
      <x:c r="C328" s="12" t="s">
        <x:v>33</x:v>
      </x:c>
      <x:c r="D328" s="12" t="s">
        <x:v>535</x:v>
      </x:c>
      <x:c r="E328" s="12" t="s">
        <x:v>45</x:v>
      </x:c>
      <x:c r="F328" s="12" t="s">
        <x:v>42</x:v>
      </x:c>
      <x:c r="G328" s="18">
        <x:v>376</x:v>
      </x:c>
      <x:c r="H328" s="21" t="e">
        <x:f>IF(SUMIFS(İndirimler!$C$2:$C$110,İndirimler!$A$2:$A$110,B328,İndirimler!$B$2:$B$110,C328)&gt;0,ROUND(G328*(1-SUMIFS(İndirimler!$C$2:$C$110,İndirimler!$A$2:$A$110,B328,İndirimler!$B$2:$B$110,C328)),2),"")</x:f>
        <x:v>#NAME?</x:v>
      </x:c>
      <x:c r="I328" s="24" t="e">
        <x:f>IF(SUMIFS(İndirimler!$D$2:$D$110,İndirimler!$A$2:$A$110,B328,İndirimler!$B$2:$B$110,C328)&gt;0,ROUND(G328*(1-SUMIFS(İndirimler!$D$2:$D$110,İndirimler!$A$2:$A$110,B328,İndirimler!$B$2:$B$110,C328)),2),"")</x:f>
        <x:v>#NAME?</x:v>
      </x:c>
      <x:c r="J328" s="12" t="s">
        <x:v>546</x:v>
      </x:c>
      <x:c r="K328" s="31"/>
    </x:row>
    <x:row r="329" ht="21.950000762939453" customHeight="1">
      <x:c r="A329" s="15" t="s">
        <x:v>547</x:v>
      </x:c>
      <x:c r="B329" s="12" t="s">
        <x:v>23</x:v>
      </x:c>
      <x:c r="C329" s="12" t="s">
        <x:v>33</x:v>
      </x:c>
      <x:c r="D329" s="12" t="s">
        <x:v>535</x:v>
      </x:c>
      <x:c r="E329" s="12"/>
      <x:c r="F329" s="12" t="s">
        <x:v>42</x:v>
      </x:c>
      <x:c r="G329" s="18">
        <x:v>520</x:v>
      </x:c>
      <x:c r="H329" s="21" t="e">
        <x:f>IF(SUMIFS(İndirimler!$C$2:$C$110,İndirimler!$A$2:$A$110,B329,İndirimler!$B$2:$B$110,C329)&gt;0,ROUND(G329*(1-SUMIFS(İndirimler!$C$2:$C$110,İndirimler!$A$2:$A$110,B329,İndirimler!$B$2:$B$110,C329)),2),"")</x:f>
        <x:v>#NAME?</x:v>
      </x:c>
      <x:c r="I329" s="24" t="e">
        <x:f>IF(SUMIFS(İndirimler!$D$2:$D$110,İndirimler!$A$2:$A$110,B329,İndirimler!$B$2:$B$110,C329)&gt;0,ROUND(G329*(1-SUMIFS(İndirimler!$D$2:$D$110,İndirimler!$A$2:$A$110,B329,İndirimler!$B$2:$B$110,C329)),2),"")</x:f>
        <x:v>#NAME?</x:v>
      </x:c>
      <x:c r="J329" s="30" t="s">
        <x:v>548</x:v>
      </x:c>
      <x:c r="K329" s="31"/>
    </x:row>
    <x:row r="330" ht="21.950000762939453" customHeight="1">
      <x:c r="A330" s="15" t="s">
        <x:v>549</x:v>
      </x:c>
      <x:c r="B330" s="12" t="s">
        <x:v>50</x:v>
      </x:c>
      <x:c r="C330" s="12" t="s">
        <x:v>33</x:v>
      </x:c>
      <x:c r="D330" s="12" t="s">
        <x:v>535</x:v>
      </x:c>
      <x:c r="E330" s="12" t="s">
        <x:v>51</x:v>
      </x:c>
      <x:c r="F330" s="12" t="s">
        <x:v>42</x:v>
      </x:c>
      <x:c r="G330" s="18">
        <x:v>500</x:v>
      </x:c>
      <x:c r="H330" s="21" t="e">
        <x:f>IF(SUMIFS(İndirimler!$C$2:$C$110,İndirimler!$A$2:$A$110,B330,İndirimler!$B$2:$B$110,C330)&gt;0,ROUND(G330*(1-SUMIFS(İndirimler!$C$2:$C$110,İndirimler!$A$2:$A$110,B330,İndirimler!$B$2:$B$110,C330)),2),"")</x:f>
        <x:v>#NAME?</x:v>
      </x:c>
      <x:c r="I330" s="24" t="e">
        <x:f>IF(SUMIFS(İndirimler!$D$2:$D$110,İndirimler!$A$2:$A$110,B330,İndirimler!$B$2:$B$110,C330)&gt;0,ROUND(G330*(1-SUMIFS(İndirimler!$D$2:$D$110,İndirimler!$A$2:$A$110,B330,İndirimler!$B$2:$B$110,C330)),2),"")</x:f>
        <x:v>#NAME?</x:v>
      </x:c>
      <x:c r="J330" s="12"/>
      <x:c r="K330" s="31"/>
    </x:row>
    <x:row r="331" ht="21.950000762939453" customHeight="1">
      <x:c r="A331" s="15" t="s">
        <x:v>550</x:v>
      </x:c>
      <x:c r="B331" s="12" t="s">
        <x:v>55</x:v>
      </x:c>
      <x:c r="C331" s="12" t="s">
        <x:v>33</x:v>
      </x:c>
      <x:c r="D331" s="12" t="s">
        <x:v>535</x:v>
      </x:c>
      <x:c r="E331" s="12"/>
      <x:c r="F331" s="12" t="s">
        <x:v>16</x:v>
      </x:c>
      <x:c r="G331" s="18">
        <x:v>366</x:v>
      </x:c>
      <x:c r="H331" s="21" t="e">
        <x:f>IF(SUMIFS(İndirimler!$C$2:$C$110,İndirimler!$A$2:$A$110,B331,İndirimler!$B$2:$B$110,C331)&gt;0,ROUND(G331*(1-SUMIFS(İndirimler!$C$2:$C$110,İndirimler!$A$2:$A$110,B331,İndirimler!$B$2:$B$110,C331)),2),"")</x:f>
        <x:v>#NAME?</x:v>
      </x:c>
      <x:c r="I331" s="24" t="e">
        <x:f>IF(SUMIFS(İndirimler!$D$2:$D$110,İndirimler!$A$2:$A$110,B331,İndirimler!$B$2:$B$110,C331)&gt;0,ROUND(G331*(1-SUMIFS(İndirimler!$D$2:$D$110,İndirimler!$A$2:$A$110,B331,İndirimler!$B$2:$B$110,C331)),2),"")</x:f>
        <x:v>#NAME?</x:v>
      </x:c>
      <x:c r="J331" s="12" t="s">
        <x:v>551</x:v>
      </x:c>
      <x:c r="K331" s="31"/>
    </x:row>
    <x:row r="332" ht="21.950000762939453" customHeight="1">
      <x:c r="A332" s="15" t="s">
        <x:v>552</x:v>
      </x:c>
      <x:c r="B332" s="12" t="s">
        <x:v>139</x:v>
      </x:c>
      <x:c r="C332" s="12" t="s">
        <x:v>33</x:v>
      </x:c>
      <x:c r="D332" s="12" t="s">
        <x:v>535</x:v>
      </x:c>
      <x:c r="E332" s="12"/>
      <x:c r="F332" s="12" t="s">
        <x:v>16</x:v>
      </x:c>
      <x:c r="G332" s="18">
        <x:v>480</x:v>
      </x:c>
      <x:c r="H332" s="21" t="e">
        <x:f>IF(SUMIFS(İndirimler!$C$2:$C$110,İndirimler!$A$2:$A$110,B332,İndirimler!$B$2:$B$110,C332)&gt;0,ROUND(G332*(1-SUMIFS(İndirimler!$C$2:$C$110,İndirimler!$A$2:$A$110,B332,İndirimler!$B$2:$B$110,C332)),2),"")</x:f>
        <x:v>#NAME?</x:v>
      </x:c>
      <x:c r="I332" s="24" t="e">
        <x:f>IF(SUMIFS(İndirimler!$D$2:$D$110,İndirimler!$A$2:$A$110,B332,İndirimler!$B$2:$B$110,C332)&gt;0,ROUND(G332*(1-SUMIFS(İndirimler!$D$2:$D$110,İndirimler!$A$2:$A$110,B332,İndirimler!$B$2:$B$110,C332)),2),"")</x:f>
        <x:v>#NAME?</x:v>
      </x:c>
      <x:c r="J332" s="30" t="s">
        <x:v>553</x:v>
      </x:c>
      <x:c r="K332" s="31"/>
    </x:row>
    <x:row r="333" ht="21.950000762939453" customHeight="1">
      <x:c r="A333" s="15" t="s">
        <x:v>554</x:v>
      </x:c>
      <x:c r="B333" s="12" t="s">
        <x:v>18</x:v>
      </x:c>
      <x:c r="C333" s="12" t="s">
        <x:v>33</x:v>
      </x:c>
      <x:c r="D333" s="12" t="s">
        <x:v>535</x:v>
      </x:c>
      <x:c r="E333" s="12"/>
      <x:c r="F333" s="12" t="s">
        <x:v>16</x:v>
      </x:c>
      <x:c r="G333" s="18">
        <x:v>359</x:v>
      </x:c>
      <x:c r="H333" s="21" t="e">
        <x:f>IF(SUMIFS(İndirimler!$C$2:$C$110,İndirimler!$A$2:$A$110,B333,İndirimler!$B$2:$B$110,C333)&gt;0,ROUND(G333*(1-SUMIFS(İndirimler!$C$2:$C$110,İndirimler!$A$2:$A$110,B333,İndirimler!$B$2:$B$110,C333)),2),"")</x:f>
        <x:v>#NAME?</x:v>
      </x:c>
      <x:c r="I333" s="24" t="e">
        <x:f>IF(SUMIFS(İndirimler!$D$2:$D$110,İndirimler!$A$2:$A$110,B333,İndirimler!$B$2:$B$110,C333)&gt;0,ROUND(G333*(1-SUMIFS(İndirimler!$D$2:$D$110,İndirimler!$A$2:$A$110,B333,İndirimler!$B$2:$B$110,C333)),2),"")</x:f>
        <x:v>#NAME?</x:v>
      </x:c>
      <x:c r="J333" s="30" t="s">
        <x:v>555</x:v>
      </x:c>
      <x:c r="K333" s="31"/>
    </x:row>
    <x:row r="334" ht="21.950000762939453" customHeight="1">
      <x:c r="A334" s="15" t="s">
        <x:v>556</x:v>
      </x:c>
      <x:c r="B334" s="12" t="s">
        <x:v>541</x:v>
      </x:c>
      <x:c r="C334" s="12" t="s">
        <x:v>33</x:v>
      </x:c>
      <x:c r="D334" s="12" t="s">
        <x:v>535</x:v>
      </x:c>
      <x:c r="E334" s="12"/>
      <x:c r="F334" s="12" t="s">
        <x:v>16</x:v>
      </x:c>
      <x:c r="G334" s="18">
        <x:v>449</x:v>
      </x:c>
      <x:c r="H334" s="21" t="e">
        <x:f>IF(SUMIFS(İndirimler!$C$2:$C$110,İndirimler!$A$2:$A$110,B334,İndirimler!$B$2:$B$110,C334)&gt;0,ROUND(G334*(1-SUMIFS(İndirimler!$C$2:$C$110,İndirimler!$A$2:$A$110,B334,İndirimler!$B$2:$B$110,C334)),2),"")</x:f>
        <x:v>#NAME?</x:v>
      </x:c>
      <x:c r="I334" s="24" t="e">
        <x:f>IF(SUMIFS(İndirimler!$D$2:$D$110,İndirimler!$A$2:$A$110,B334,İndirimler!$B$2:$B$110,C334)&gt;0,ROUND(G334*(1-SUMIFS(İndirimler!$D$2:$D$110,İndirimler!$A$2:$A$110,B334,İndirimler!$B$2:$B$110,C334)),2),"")</x:f>
        <x:v>#NAME?</x:v>
      </x:c>
      <x:c r="J334" s="12" t="s">
        <x:v>557</x:v>
      </x:c>
      <x:c r="K334" s="31" t="s">
        <x:v>558</x:v>
      </x:c>
    </x:row>
    <x:row r="335" ht="21.950000762939453" customHeight="1">
      <x:c r="A335" s="15" t="s">
        <x:v>559</x:v>
      </x:c>
      <x:c r="B335" s="12" t="s">
        <x:v>541</x:v>
      </x:c>
      <x:c r="C335" s="12" t="s">
        <x:v>33</x:v>
      </x:c>
      <x:c r="D335" s="12" t="s">
        <x:v>535</x:v>
      </x:c>
      <x:c r="E335" s="12" t="s">
        <x:v>560</x:v>
      </x:c>
      <x:c r="F335" s="12" t="s">
        <x:v>16</x:v>
      </x:c>
      <x:c r="G335" s="18">
        <x:v>449</x:v>
      </x:c>
      <x:c r="H335" s="21" t="e">
        <x:f>IF(SUMIFS(İndirimler!$C$2:$C$110,İndirimler!$A$2:$A$110,B335,İndirimler!$B$2:$B$110,C335)&gt;0,ROUND(G335*(1-SUMIFS(İndirimler!$C$2:$C$110,İndirimler!$A$2:$A$110,B335,İndirimler!$B$2:$B$110,C335)),2),"")</x:f>
        <x:v>#NAME?</x:v>
      </x:c>
      <x:c r="I335" s="24" t="e">
        <x:f>IF(SUMIFS(İndirimler!$D$2:$D$110,İndirimler!$A$2:$A$110,B335,İndirimler!$B$2:$B$110,C335)&gt;0,ROUND(G335*(1-SUMIFS(İndirimler!$D$2:$D$110,İndirimler!$A$2:$A$110,B335,İndirimler!$B$2:$B$110,C335)),2),"")</x:f>
        <x:v>#NAME?</x:v>
      </x:c>
      <x:c r="J335" s="12" t="s">
        <x:v>561</x:v>
      </x:c>
      <x:c r="K335" s="31" t="s">
        <x:v>562</x:v>
      </x:c>
    </x:row>
    <x:row r="336" ht="21.950000762939453" customHeight="1">
      <x:c r="A336" s="15" t="s">
        <x:v>563</x:v>
      </x:c>
      <x:c r="B336" s="12" t="s">
        <x:v>44</x:v>
      </x:c>
      <x:c r="C336" s="12" t="s">
        <x:v>33</x:v>
      </x:c>
      <x:c r="D336" s="12" t="s">
        <x:v>535</x:v>
      </x:c>
      <x:c r="E336" s="12" t="s">
        <x:v>60</x:v>
      </x:c>
      <x:c r="F336" s="12" t="s">
        <x:v>16</x:v>
      </x:c>
      <x:c r="G336" s="18">
        <x:v>274</x:v>
      </x:c>
      <x:c r="H336" s="21" t="e">
        <x:f>IF(SUMIFS(İndirimler!$C$2:$C$110,İndirimler!$A$2:$A$110,B336,İndirimler!$B$2:$B$110,C336)&gt;0,ROUND(G336*(1-SUMIFS(İndirimler!$C$2:$C$110,İndirimler!$A$2:$A$110,B336,İndirimler!$B$2:$B$110,C336)),2),"")</x:f>
        <x:v>#NAME?</x:v>
      </x:c>
      <x:c r="I336" s="24" t="e">
        <x:f>IF(SUMIFS(İndirimler!$D$2:$D$110,İndirimler!$A$2:$A$110,B336,İndirimler!$B$2:$B$110,C336)&gt;0,ROUND(G336*(1-SUMIFS(İndirimler!$D$2:$D$110,İndirimler!$A$2:$A$110,B336,İndirimler!$B$2:$B$110,C336)),2),"")</x:f>
        <x:v>#NAME?</x:v>
      </x:c>
      <x:c r="J336" s="12" t="s">
        <x:v>564</x:v>
      </x:c>
      <x:c r="K336" s="31"/>
    </x:row>
    <x:row r="337" ht="21.950000762939453" customHeight="1">
      <x:c r="A337" s="15" t="s">
        <x:v>565</x:v>
      </x:c>
      <x:c r="B337" s="12" t="s">
        <x:v>63</x:v>
      </x:c>
      <x:c r="C337" s="12" t="s">
        <x:v>33</x:v>
      </x:c>
      <x:c r="D337" s="12" t="s">
        <x:v>535</x:v>
      </x:c>
      <x:c r="E337" s="12" t="s">
        <x:v>64</x:v>
      </x:c>
      <x:c r="F337" s="12" t="s">
        <x:v>16</x:v>
      </x:c>
      <x:c r="G337" s="18">
        <x:v>449</x:v>
      </x:c>
      <x:c r="H337" s="21" t="e">
        <x:f>IF(SUMIFS(İndirimler!$C$2:$C$110,İndirimler!$A$2:$A$110,B337,İndirimler!$B$2:$B$110,C337)&gt;0,ROUND(G337*(1-SUMIFS(İndirimler!$C$2:$C$110,İndirimler!$A$2:$A$110,B337,İndirimler!$B$2:$B$110,C337)),2),"")</x:f>
        <x:v>#NAME?</x:v>
      </x:c>
      <x:c r="I337" s="24" t="e">
        <x:f>IF(SUMIFS(İndirimler!$D$2:$D$110,İndirimler!$A$2:$A$110,B337,İndirimler!$B$2:$B$110,C337)&gt;0,ROUND(G337*(1-SUMIFS(İndirimler!$D$2:$D$110,İndirimler!$A$2:$A$110,B337,İndirimler!$B$2:$B$110,C337)),2),"")</x:f>
        <x:v>#NAME?</x:v>
      </x:c>
      <x:c r="J337" s="12" t="s">
        <x:v>566</x:v>
      </x:c>
      <x:c r="K337" s="31"/>
    </x:row>
    <x:row r="338" ht="21.950000762939453" customHeight="1">
      <x:c r="A338" s="15" t="s">
        <x:v>567</x:v>
      </x:c>
      <x:c r="B338" s="12" t="s">
        <x:v>23</x:v>
      </x:c>
      <x:c r="C338" s="12" t="s">
        <x:v>33</x:v>
      </x:c>
      <x:c r="D338" s="12" t="s">
        <x:v>535</x:v>
      </x:c>
      <x:c r="E338" s="12"/>
      <x:c r="F338" s="12" t="s">
        <x:v>16</x:v>
      </x:c>
      <x:c r="G338" s="18">
        <x:v>580</x:v>
      </x:c>
      <x:c r="H338" s="21" t="e">
        <x:f>IF(SUMIFS(İndirimler!$C$2:$C$110,İndirimler!$A$2:$A$110,B338,İndirimler!$B$2:$B$110,C338)&gt;0,ROUND(G338*(1-SUMIFS(İndirimler!$C$2:$C$110,İndirimler!$A$2:$A$110,B338,İndirimler!$B$2:$B$110,C338)),2),"")</x:f>
        <x:v>#NAME?</x:v>
      </x:c>
      <x:c r="I338" s="24" t="e">
        <x:f>IF(SUMIFS(İndirimler!$D$2:$D$110,İndirimler!$A$2:$A$110,B338,İndirimler!$B$2:$B$110,C338)&gt;0,ROUND(G338*(1-SUMIFS(İndirimler!$D$2:$D$110,İndirimler!$A$2:$A$110,B338,İndirimler!$B$2:$B$110,C338)),2),"")</x:f>
        <x:v>#NAME?</x:v>
      </x:c>
      <x:c r="J338" s="30" t="s">
        <x:v>568</x:v>
      </x:c>
      <x:c r="K338" s="31"/>
    </x:row>
    <x:row r="339" ht="21.950000762939453" customHeight="1">
      <x:c r="A339" s="15" t="s">
        <x:v>569</x:v>
      </x:c>
      <x:c r="B339" s="12" t="s">
        <x:v>50</x:v>
      </x:c>
      <x:c r="C339" s="12" t="s">
        <x:v>33</x:v>
      </x:c>
      <x:c r="D339" s="12" t="s">
        <x:v>535</x:v>
      </x:c>
      <x:c r="E339" s="12" t="s">
        <x:v>69</x:v>
      </x:c>
      <x:c r="F339" s="12" t="s">
        <x:v>16</x:v>
      </x:c>
      <x:c r="G339" s="18">
        <x:v>475</x:v>
      </x:c>
      <x:c r="H339" s="21" t="e">
        <x:f>IF(SUMIFS(İndirimler!$C$2:$C$110,İndirimler!$A$2:$A$110,B339,İndirimler!$B$2:$B$110,C339)&gt;0,ROUND(G339*(1-SUMIFS(İndirimler!$C$2:$C$110,İndirimler!$A$2:$A$110,B339,İndirimler!$B$2:$B$110,C339)),2),"")</x:f>
        <x:v>#NAME?</x:v>
      </x:c>
      <x:c r="I339" s="24" t="e">
        <x:f>IF(SUMIFS(İndirimler!$D$2:$D$110,İndirimler!$A$2:$A$110,B339,İndirimler!$B$2:$B$110,C339)&gt;0,ROUND(G339*(1-SUMIFS(İndirimler!$D$2:$D$110,İndirimler!$A$2:$A$110,B339,İndirimler!$B$2:$B$110,C339)),2),"")</x:f>
        <x:v>#NAME?</x:v>
      </x:c>
      <x:c r="J339" s="12"/>
      <x:c r="K339" s="31"/>
    </x:row>
    <x:row r="340" ht="21.950000762939453" customHeight="1">
      <x:c r="A340" s="15" t="s">
        <x:v>570</x:v>
      </x:c>
      <x:c r="B340" s="12" t="s">
        <x:v>571</x:v>
      </x:c>
      <x:c r="C340" s="12" t="s">
        <x:v>33</x:v>
      </x:c>
      <x:c r="D340" s="12" t="s">
        <x:v>535</x:v>
      </x:c>
      <x:c r="E340" s="12"/>
      <x:c r="F340" s="12" t="s">
        <x:v>16</x:v>
      </x:c>
      <x:c r="G340" s="18">
        <x:v>329</x:v>
      </x:c>
      <x:c r="H340" s="21" t="e">
        <x:f>IF(SUMIFS(İndirimler!$C$2:$C$110,İndirimler!$A$2:$A$110,B340,İndirimler!$B$2:$B$110,C340)&gt;0,ROUND(G340*(1-SUMIFS(İndirimler!$C$2:$C$110,İndirimler!$A$2:$A$110,B340,İndirimler!$B$2:$B$110,C340)),2),"")</x:f>
        <x:v>#NAME?</x:v>
      </x:c>
      <x:c r="I340" s="24" t="e">
        <x:f>IF(SUMIFS(İndirimler!$D$2:$D$110,İndirimler!$A$2:$A$110,B340,İndirimler!$B$2:$B$110,C340)&gt;0,ROUND(G340*(1-SUMIFS(İndirimler!$D$2:$D$110,İndirimler!$A$2:$A$110,B340,İndirimler!$B$2:$B$110,C340)),2),"")</x:f>
        <x:v>#NAME?</x:v>
      </x:c>
      <x:c r="J340" s="12"/>
      <x:c r="K340" s="31"/>
    </x:row>
    <x:row r="341" ht="21.950000762939453" customHeight="1">
      <x:c r="A341" s="15" t="s">
        <x:v>572</x:v>
      </x:c>
      <x:c r="B341" s="12" t="s">
        <x:v>38</x:v>
      </x:c>
      <x:c r="C341" s="12" t="s">
        <x:v>33</x:v>
      </x:c>
      <x:c r="D341" s="12" t="s">
        <x:v>535</x:v>
      </x:c>
      <x:c r="E341" s="12" t="s">
        <x:v>69</x:v>
      </x:c>
      <x:c r="F341" s="12" t="s">
        <x:v>16</x:v>
      </x:c>
      <x:c r="G341" s="18">
        <x:v>359</x:v>
      </x:c>
      <x:c r="H341" s="21" t="e">
        <x:f>IF(SUMIFS(İndirimler!$C$2:$C$110,İndirimler!$A$2:$A$110,B341,İndirimler!$B$2:$B$110,C341)&gt;0,ROUND(G341*(1-SUMIFS(İndirimler!$C$2:$C$110,İndirimler!$A$2:$A$110,B341,İndirimler!$B$2:$B$110,C341)),2),"")</x:f>
        <x:v>#NAME?</x:v>
      </x:c>
      <x:c r="I341" s="24" t="e">
        <x:f>IF(SUMIFS(İndirimler!$D$2:$D$110,İndirimler!$A$2:$A$110,B341,İndirimler!$B$2:$B$110,C341)&gt;0,ROUND(G341*(1-SUMIFS(İndirimler!$D$2:$D$110,İndirimler!$A$2:$A$110,B341,İndirimler!$B$2:$B$110,C341)),2),"")</x:f>
        <x:v>#NAME?</x:v>
      </x:c>
      <x:c r="J341" s="12" t="s">
        <x:v>573</x:v>
      </x:c>
      <x:c r="K341" s="31"/>
    </x:row>
    <x:row r="342" ht="21.950000762939453" customHeight="1">
      <x:c r="A342" s="15" t="s">
        <x:v>574</x:v>
      </x:c>
      <x:c r="B342" s="12" t="s">
        <x:v>72</x:v>
      </x:c>
      <x:c r="C342" s="12" t="s">
        <x:v>33</x:v>
      </x:c>
      <x:c r="D342" s="12" t="s">
        <x:v>535</x:v>
      </x:c>
      <x:c r="E342" s="12"/>
      <x:c r="F342" s="12" t="s">
        <x:v>73</x:v>
      </x:c>
      <x:c r="G342" s="18">
        <x:v>359</x:v>
      </x:c>
      <x:c r="H342" s="21" t="e">
        <x:f>IF(SUMIFS(İndirimler!$C$2:$C$110,İndirimler!$A$2:$A$110,B342,İndirimler!$B$2:$B$110,C342)&gt;0,ROUND(G342*(1-SUMIFS(İndirimler!$C$2:$C$110,İndirimler!$A$2:$A$110,B342,İndirimler!$B$2:$B$110,C342)),2),"")</x:f>
        <x:v>#NAME?</x:v>
      </x:c>
      <x:c r="I342" s="24" t="e">
        <x:f>IF(SUMIFS(İndirimler!$D$2:$D$110,İndirimler!$A$2:$A$110,B342,İndirimler!$B$2:$B$110,C342)&gt;0,ROUND(G342*(1-SUMIFS(İndirimler!$D$2:$D$110,İndirimler!$A$2:$A$110,B342,İndirimler!$B$2:$B$110,C342)),2),"")</x:f>
        <x:v>#NAME?</x:v>
      </x:c>
      <x:c r="J342" s="12"/>
      <x:c r="K342" s="31"/>
    </x:row>
    <x:row r="343" ht="21.950000762939453" customHeight="1">
      <x:c r="A343" s="15" t="s">
        <x:v>575</x:v>
      </x:c>
      <x:c r="B343" s="12" t="s">
        <x:v>32</x:v>
      </x:c>
      <x:c r="C343" s="12" t="s">
        <x:v>76</x:v>
      </x:c>
      <x:c r="D343" s="12" t="s">
        <x:v>535</x:v>
      </x:c>
      <x:c r="E343" s="12"/>
      <x:c r="F343" s="12" t="s">
        <x:v>35</x:v>
      </x:c>
      <x:c r="G343" s="18">
        <x:v>629</x:v>
      </x:c>
      <x:c r="H343" s="21" t="e">
        <x:f>IF(SUMIFS(İndirimler!$C$2:$C$110,İndirimler!$A$2:$A$110,B343,İndirimler!$B$2:$B$110,C343)&gt;0,ROUND(G343*(1-SUMIFS(İndirimler!$C$2:$C$110,İndirimler!$A$2:$A$110,B343,İndirimler!$B$2:$B$110,C343)),2),"")</x:f>
        <x:v>#NAME?</x:v>
      </x:c>
      <x:c r="I343" s="24" t="e">
        <x:f>IF(SUMIFS(İndirimler!$D$2:$D$110,İndirimler!$A$2:$A$110,B343,İndirimler!$B$2:$B$110,C343)&gt;0,ROUND(G343*(1-SUMIFS(İndirimler!$D$2:$D$110,İndirimler!$A$2:$A$110,B343,İndirimler!$B$2:$B$110,C343)),2),"")</x:f>
        <x:v>#NAME?</x:v>
      </x:c>
      <x:c r="J343" s="30" t="s">
        <x:v>576</x:v>
      </x:c>
      <x:c r="K343" s="31"/>
    </x:row>
    <x:row r="344" ht="21.950000762939453" customHeight="1">
      <x:c r="A344" s="15" t="s">
        <x:v>577</x:v>
      </x:c>
      <x:c r="B344" s="12" t="s">
        <x:v>38</x:v>
      </x:c>
      <x:c r="C344" s="12" t="s">
        <x:v>76</x:v>
      </x:c>
      <x:c r="D344" s="12" t="s">
        <x:v>535</x:v>
      </x:c>
      <x:c r="E344" s="12"/>
      <x:c r="F344" s="12" t="s">
        <x:v>35</x:v>
      </x:c>
      <x:c r="G344" s="18">
        <x:v>729</x:v>
      </x:c>
      <x:c r="H344" s="21" t="e">
        <x:f>IF(SUMIFS(İndirimler!$C$2:$C$110,İndirimler!$A$2:$A$110,B344,İndirimler!$B$2:$B$110,C344)&gt;0,ROUND(G344*(1-SUMIFS(İndirimler!$C$2:$C$110,İndirimler!$A$2:$A$110,B344,İndirimler!$B$2:$B$110,C344)),2),"")</x:f>
        <x:v>#NAME?</x:v>
      </x:c>
      <x:c r="I344" s="24" t="e">
        <x:f>IF(SUMIFS(İndirimler!$D$2:$D$110,İndirimler!$A$2:$A$110,B344,İndirimler!$B$2:$B$110,C344)&gt;0,ROUND(G344*(1-SUMIFS(İndirimler!$D$2:$D$110,İndirimler!$A$2:$A$110,B344,İndirimler!$B$2:$B$110,C344)),2),"")</x:f>
        <x:v>#NAME?</x:v>
      </x:c>
      <x:c r="J344" s="12" t="s">
        <x:v>578</x:v>
      </x:c>
      <x:c r="K344" s="31"/>
    </x:row>
    <x:row r="345" ht="21.950000762939453" customHeight="1">
      <x:c r="A345" s="15" t="s">
        <x:v>579</x:v>
      </x:c>
      <x:c r="B345" s="12" t="s">
        <x:v>18</x:v>
      </x:c>
      <x:c r="C345" s="12" t="s">
        <x:v>76</x:v>
      </x:c>
      <x:c r="D345" s="12" t="s">
        <x:v>535</x:v>
      </x:c>
      <x:c r="E345" s="12" t="s">
        <x:v>41</x:v>
      </x:c>
      <x:c r="F345" s="12" t="s">
        <x:v>42</x:v>
      </x:c>
      <x:c r="G345" s="18"/>
      <x:c r="H345" s="21" t="e">
        <x:f>IF(SUMIFS(İndirimler!$C$2:$C$110,İndirimler!$A$2:$A$110,B345,İndirimler!$B$2:$B$110,C345)&gt;0,ROUND(G345*(1-SUMIFS(İndirimler!$C$2:$C$110,İndirimler!$A$2:$A$110,B345,İndirimler!$B$2:$B$110,C345)),2),"")</x:f>
        <x:v>#NAME?</x:v>
      </x:c>
      <x:c r="I345" s="24" t="e">
        <x:f>IF(SUMIFS(İndirimler!$D$2:$D$110,İndirimler!$A$2:$A$110,B345,İndirimler!$B$2:$B$110,C345)&gt;0,ROUND(G345*(1-SUMIFS(İndirimler!$D$2:$D$110,İndirimler!$A$2:$A$110,B345,İndirimler!$B$2:$B$110,C345)),2),"")</x:f>
        <x:v>#NAME?</x:v>
      </x:c>
      <x:c r="J345" s="12"/>
      <x:c r="K345" s="31"/>
    </x:row>
    <x:row r="346" ht="21.950000762939453" customHeight="1">
      <x:c r="A346" s="15" t="s">
        <x:v>580</x:v>
      </x:c>
      <x:c r="B346" s="12" t="s">
        <x:v>541</x:v>
      </x:c>
      <x:c r="C346" s="12" t="s">
        <x:v>76</x:v>
      </x:c>
      <x:c r="D346" s="12" t="s">
        <x:v>535</x:v>
      </x:c>
      <x:c r="E346" s="12" t="s">
        <x:v>542</x:v>
      </x:c>
      <x:c r="F346" s="12" t="s">
        <x:v>42</x:v>
      </x:c>
      <x:c r="G346" s="18">
        <x:v>499</x:v>
      </x:c>
      <x:c r="H346" s="21" t="e">
        <x:f>IF(SUMIFS(İndirimler!$C$2:$C$110,İndirimler!$A$2:$A$110,B346,İndirimler!$B$2:$B$110,C346)&gt;0,ROUND(G346*(1-SUMIFS(İndirimler!$C$2:$C$110,İndirimler!$A$2:$A$110,B346,İndirimler!$B$2:$B$110,C346)),2),"")</x:f>
        <x:v>#NAME?</x:v>
      </x:c>
      <x:c r="I346" s="24" t="e">
        <x:f>IF(SUMIFS(İndirimler!$D$2:$D$110,İndirimler!$A$2:$A$110,B346,İndirimler!$B$2:$B$110,C346)&gt;0,ROUND(G346*(1-SUMIFS(İndirimler!$D$2:$D$110,İndirimler!$A$2:$A$110,B346,İndirimler!$B$2:$B$110,C346)),2),"")</x:f>
        <x:v>#NAME?</x:v>
      </x:c>
      <x:c r="J346" s="12" t="s">
        <x:v>581</x:v>
      </x:c>
      <x:c r="K346" s="31" t="s">
        <x:v>582</x:v>
      </x:c>
    </x:row>
    <x:row r="347" ht="21.950000762939453" customHeight="1">
      <x:c r="A347" s="15" t="s">
        <x:v>583</x:v>
      </x:c>
      <x:c r="B347" s="12" t="s">
        <x:v>44</x:v>
      </x:c>
      <x:c r="C347" s="12" t="s">
        <x:v>76</x:v>
      </x:c>
      <x:c r="D347" s="12" t="s">
        <x:v>535</x:v>
      </x:c>
      <x:c r="E347" s="12" t="s">
        <x:v>45</x:v>
      </x:c>
      <x:c r="F347" s="12" t="s">
        <x:v>42</x:v>
      </x:c>
      <x:c r="G347" s="18">
        <x:v>346</x:v>
      </x:c>
      <x:c r="H347" s="21" t="e">
        <x:f>IF(SUMIFS(İndirimler!$C$2:$C$110,İndirimler!$A$2:$A$110,B347,İndirimler!$B$2:$B$110,C347)&gt;0,ROUND(G347*(1-SUMIFS(İndirimler!$C$2:$C$110,İndirimler!$A$2:$A$110,B347,İndirimler!$B$2:$B$110,C347)),2),"")</x:f>
        <x:v>#NAME?</x:v>
      </x:c>
      <x:c r="I347" s="24" t="e">
        <x:f>IF(SUMIFS(İndirimler!$D$2:$D$110,İndirimler!$A$2:$A$110,B347,İndirimler!$B$2:$B$110,C347)&gt;0,ROUND(G347*(1-SUMIFS(İndirimler!$D$2:$D$110,İndirimler!$A$2:$A$110,B347,İndirimler!$B$2:$B$110,C347)),2),"")</x:f>
        <x:v>#NAME?</x:v>
      </x:c>
      <x:c r="J347" s="12" t="s">
        <x:v>584</x:v>
      </x:c>
      <x:c r="K347" s="31"/>
    </x:row>
    <x:row r="348" ht="21.950000762939453" customHeight="1">
      <x:c r="A348" s="15" t="s">
        <x:v>585</x:v>
      </x:c>
      <x:c r="B348" s="12" t="s">
        <x:v>23</x:v>
      </x:c>
      <x:c r="C348" s="12" t="s">
        <x:v>76</x:v>
      </x:c>
      <x:c r="D348" s="12" t="s">
        <x:v>535</x:v>
      </x:c>
      <x:c r="E348" s="12"/>
      <x:c r="F348" s="12" t="s">
        <x:v>42</x:v>
      </x:c>
      <x:c r="G348" s="18">
        <x:v>608</x:v>
      </x:c>
      <x:c r="H348" s="21" t="e">
        <x:f>IF(SUMIFS(İndirimler!$C$2:$C$110,İndirimler!$A$2:$A$110,B348,İndirimler!$B$2:$B$110,C348)&gt;0,ROUND(G348*(1-SUMIFS(İndirimler!$C$2:$C$110,İndirimler!$A$2:$A$110,B348,İndirimler!$B$2:$B$110,C348)),2),"")</x:f>
        <x:v>#NAME?</x:v>
      </x:c>
      <x:c r="I348" s="24" t="e">
        <x:f>IF(SUMIFS(İndirimler!$D$2:$D$110,İndirimler!$A$2:$A$110,B348,İndirimler!$B$2:$B$110,C348)&gt;0,ROUND(G348*(1-SUMIFS(İndirimler!$D$2:$D$110,İndirimler!$A$2:$A$110,B348,İndirimler!$B$2:$B$110,C348)),2),"")</x:f>
        <x:v>#NAME?</x:v>
      </x:c>
      <x:c r="J348" s="12" t="s">
        <x:v>586</x:v>
      </x:c>
      <x:c r="K348" s="31"/>
    </x:row>
    <x:row r="349" ht="21.950000762939453" customHeight="1">
      <x:c r="A349" s="15" t="s">
        <x:v>587</x:v>
      </x:c>
      <x:c r="B349" s="12" t="s">
        <x:v>50</x:v>
      </x:c>
      <x:c r="C349" s="12" t="s">
        <x:v>76</x:v>
      </x:c>
      <x:c r="D349" s="12" t="s">
        <x:v>535</x:v>
      </x:c>
      <x:c r="E349" s="12" t="s">
        <x:v>51</x:v>
      </x:c>
      <x:c r="F349" s="12" t="s">
        <x:v>42</x:v>
      </x:c>
      <x:c r="G349" s="18">
        <x:v>540</x:v>
      </x:c>
      <x:c r="H349" s="21" t="e">
        <x:f>IF(SUMIFS(İndirimler!$C$2:$C$110,İndirimler!$A$2:$A$110,B349,İndirimler!$B$2:$B$110,C349)&gt;0,ROUND(G349*(1-SUMIFS(İndirimler!$C$2:$C$110,İndirimler!$A$2:$A$110,B349,İndirimler!$B$2:$B$110,C349)),2),"")</x:f>
        <x:v>#NAME?</x:v>
      </x:c>
      <x:c r="I349" s="24" t="e">
        <x:f>IF(SUMIFS(İndirimler!$D$2:$D$110,İndirimler!$A$2:$A$110,B349,İndirimler!$B$2:$B$110,C349)&gt;0,ROUND(G349*(1-SUMIFS(İndirimler!$D$2:$D$110,İndirimler!$A$2:$A$110,B349,İndirimler!$B$2:$B$110,C349)),2),"")</x:f>
        <x:v>#NAME?</x:v>
      </x:c>
      <x:c r="J349" s="12"/>
      <x:c r="K349" s="31"/>
    </x:row>
    <x:row r="350" ht="21.950000762939453" customHeight="1">
      <x:c r="A350" s="15" t="s">
        <x:v>588</x:v>
      </x:c>
      <x:c r="B350" s="12" t="s">
        <x:v>55</x:v>
      </x:c>
      <x:c r="C350" s="12" t="s">
        <x:v>76</x:v>
      </x:c>
      <x:c r="D350" s="12" t="s">
        <x:v>535</x:v>
      </x:c>
      <x:c r="E350" s="12"/>
      <x:c r="F350" s="12" t="s">
        <x:v>16</x:v>
      </x:c>
      <x:c r="G350" s="18">
        <x:v>366</x:v>
      </x:c>
      <x:c r="H350" s="21" t="e">
        <x:f>IF(SUMIFS(İndirimler!$C$2:$C$110,İndirimler!$A$2:$A$110,B350,İndirimler!$B$2:$B$110,C350)&gt;0,ROUND(G350*(1-SUMIFS(İndirimler!$C$2:$C$110,İndirimler!$A$2:$A$110,B350,İndirimler!$B$2:$B$110,C350)),2),"")</x:f>
        <x:v>#NAME?</x:v>
      </x:c>
      <x:c r="I350" s="24" t="e">
        <x:f>IF(SUMIFS(İndirimler!$D$2:$D$110,İndirimler!$A$2:$A$110,B350,İndirimler!$B$2:$B$110,C350)&gt;0,ROUND(G350*(1-SUMIFS(İndirimler!$D$2:$D$110,İndirimler!$A$2:$A$110,B350,İndirimler!$B$2:$B$110,C350)),2),"")</x:f>
        <x:v>#NAME?</x:v>
      </x:c>
      <x:c r="J350" s="12" t="s">
        <x:v>589</x:v>
      </x:c>
      <x:c r="K350" s="31"/>
    </x:row>
    <x:row r="351" ht="21.950000762939453" customHeight="1">
      <x:c r="A351" s="15" t="s">
        <x:v>590</x:v>
      </x:c>
      <x:c r="B351" s="12" t="s">
        <x:v>139</x:v>
      </x:c>
      <x:c r="C351" s="12" t="s">
        <x:v>76</x:v>
      </x:c>
      <x:c r="D351" s="12" t="s">
        <x:v>535</x:v>
      </x:c>
      <x:c r="E351" s="12"/>
      <x:c r="F351" s="12" t="s">
        <x:v>16</x:v>
      </x:c>
      <x:c r="G351" s="18">
        <x:v>496</x:v>
      </x:c>
      <x:c r="H351" s="21" t="e">
        <x:f>IF(SUMIFS(İndirimler!$C$2:$C$110,İndirimler!$A$2:$A$110,B351,İndirimler!$B$2:$B$110,C351)&gt;0,ROUND(G351*(1-SUMIFS(İndirimler!$C$2:$C$110,İndirimler!$A$2:$A$110,B351,İndirimler!$B$2:$B$110,C351)),2),"")</x:f>
        <x:v>#NAME?</x:v>
      </x:c>
      <x:c r="I351" s="24" t="e">
        <x:f>IF(SUMIFS(İndirimler!$D$2:$D$110,İndirimler!$A$2:$A$110,B351,İndirimler!$B$2:$B$110,C351)&gt;0,ROUND(G351*(1-SUMIFS(İndirimler!$D$2:$D$110,İndirimler!$A$2:$A$110,B351,İndirimler!$B$2:$B$110,C351)),2),"")</x:f>
        <x:v>#NAME?</x:v>
      </x:c>
      <x:c r="J351" s="12" t="s">
        <x:v>591</x:v>
      </x:c>
      <x:c r="K351" s="31"/>
    </x:row>
    <x:row r="352" ht="21.950000762939453" customHeight="1">
      <x:c r="A352" s="15" t="s">
        <x:v>592</x:v>
      </x:c>
      <x:c r="B352" s="12" t="s">
        <x:v>18</x:v>
      </x:c>
      <x:c r="C352" s="12" t="s">
        <x:v>76</x:v>
      </x:c>
      <x:c r="D352" s="12" t="s">
        <x:v>535</x:v>
      </x:c>
      <x:c r="E352" s="12"/>
      <x:c r="F352" s="12" t="s">
        <x:v>16</x:v>
      </x:c>
      <x:c r="G352" s="18">
        <x:v>359</x:v>
      </x:c>
      <x:c r="H352" s="21" t="e">
        <x:f>IF(SUMIFS(İndirimler!$C$2:$C$110,İndirimler!$A$2:$A$110,B352,İndirimler!$B$2:$B$110,C352)&gt;0,ROUND(G352*(1-SUMIFS(İndirimler!$C$2:$C$110,İndirimler!$A$2:$A$110,B352,İndirimler!$B$2:$B$110,C352)),2),"")</x:f>
        <x:v>#NAME?</x:v>
      </x:c>
      <x:c r="I352" s="24" t="e">
        <x:f>IF(SUMIFS(İndirimler!$D$2:$D$110,İndirimler!$A$2:$A$110,B352,İndirimler!$B$2:$B$110,C352)&gt;0,ROUND(G352*(1-SUMIFS(İndirimler!$D$2:$D$110,İndirimler!$A$2:$A$110,B352,İndirimler!$B$2:$B$110,C352)),2),"")</x:f>
        <x:v>#NAME?</x:v>
      </x:c>
      <x:c r="J352" s="30" t="s">
        <x:v>593</x:v>
      </x:c>
      <x:c r="K352" s="31"/>
    </x:row>
    <x:row r="353" ht="21.950000762939453" customHeight="1">
      <x:c r="A353" s="15" t="s">
        <x:v>594</x:v>
      </x:c>
      <x:c r="B353" s="12" t="s">
        <x:v>541</x:v>
      </x:c>
      <x:c r="C353" s="12" t="s">
        <x:v>76</x:v>
      </x:c>
      <x:c r="D353" s="12" t="s">
        <x:v>535</x:v>
      </x:c>
      <x:c r="E353" s="12"/>
      <x:c r="F353" s="12" t="s">
        <x:v>16</x:v>
      </x:c>
      <x:c r="G353" s="18">
        <x:v>449</x:v>
      </x:c>
      <x:c r="H353" s="21" t="e">
        <x:f>IF(SUMIFS(İndirimler!$C$2:$C$110,İndirimler!$A$2:$A$110,B353,İndirimler!$B$2:$B$110,C353)&gt;0,ROUND(G353*(1-SUMIFS(İndirimler!$C$2:$C$110,İndirimler!$A$2:$A$110,B353,İndirimler!$B$2:$B$110,C353)),2),"")</x:f>
        <x:v>#NAME?</x:v>
      </x:c>
      <x:c r="I353" s="24" t="e">
        <x:f>IF(SUMIFS(İndirimler!$D$2:$D$110,İndirimler!$A$2:$A$110,B353,İndirimler!$B$2:$B$110,C353)&gt;0,ROUND(G353*(1-SUMIFS(İndirimler!$D$2:$D$110,İndirimler!$A$2:$A$110,B353,İndirimler!$B$2:$B$110,C353)),2),"")</x:f>
        <x:v>#NAME?</x:v>
      </x:c>
      <x:c r="J353" s="12" t="s">
        <x:v>595</x:v>
      </x:c>
      <x:c r="K353" s="31" t="s">
        <x:v>596</x:v>
      </x:c>
    </x:row>
    <x:row r="354" ht="21.950000762939453" customHeight="1">
      <x:c r="A354" s="15" t="s">
        <x:v>597</x:v>
      </x:c>
      <x:c r="B354" s="12" t="s">
        <x:v>541</x:v>
      </x:c>
      <x:c r="C354" s="12" t="s">
        <x:v>76</x:v>
      </x:c>
      <x:c r="D354" s="12" t="s">
        <x:v>535</x:v>
      </x:c>
      <x:c r="E354" s="12" t="s">
        <x:v>560</x:v>
      </x:c>
      <x:c r="F354" s="12" t="s">
        <x:v>16</x:v>
      </x:c>
      <x:c r="G354" s="18">
        <x:v>449</x:v>
      </x:c>
      <x:c r="H354" s="21" t="e">
        <x:f>IF(SUMIFS(İndirimler!$C$2:$C$110,İndirimler!$A$2:$A$110,B354,İndirimler!$B$2:$B$110,C354)&gt;0,ROUND(G354*(1-SUMIFS(İndirimler!$C$2:$C$110,İndirimler!$A$2:$A$110,B354,İndirimler!$B$2:$B$110,C354)),2),"")</x:f>
        <x:v>#NAME?</x:v>
      </x:c>
      <x:c r="I354" s="24" t="e">
        <x:f>IF(SUMIFS(İndirimler!$D$2:$D$110,İndirimler!$A$2:$A$110,B354,İndirimler!$B$2:$B$110,C354)&gt;0,ROUND(G354*(1-SUMIFS(İndirimler!$D$2:$D$110,İndirimler!$A$2:$A$110,B354,İndirimler!$B$2:$B$110,C354)),2),"")</x:f>
        <x:v>#NAME?</x:v>
      </x:c>
      <x:c r="J354" s="12" t="s">
        <x:v>598</x:v>
      </x:c>
      <x:c r="K354" s="31" t="s">
        <x:v>599</x:v>
      </x:c>
    </x:row>
    <x:row r="355" ht="21.950000762939453" customHeight="1">
      <x:c r="A355" s="15" t="s">
        <x:v>600</x:v>
      </x:c>
      <x:c r="B355" s="12" t="s">
        <x:v>44</x:v>
      </x:c>
      <x:c r="C355" s="12" t="s">
        <x:v>76</x:v>
      </x:c>
      <x:c r="D355" s="12" t="s">
        <x:v>535</x:v>
      </x:c>
      <x:c r="E355" s="12" t="s">
        <x:v>60</x:v>
      </x:c>
      <x:c r="F355" s="12" t="s">
        <x:v>16</x:v>
      </x:c>
      <x:c r="G355" s="18">
        <x:v>274</x:v>
      </x:c>
      <x:c r="H355" s="21" t="e">
        <x:f>IF(SUMIFS(İndirimler!$C$2:$C$110,İndirimler!$A$2:$A$110,B355,İndirimler!$B$2:$B$110,C355)&gt;0,ROUND(G355*(1-SUMIFS(İndirimler!$C$2:$C$110,İndirimler!$A$2:$A$110,B355,İndirimler!$B$2:$B$110,C355)),2),"")</x:f>
        <x:v>#NAME?</x:v>
      </x:c>
      <x:c r="I355" s="24" t="e">
        <x:f>IF(SUMIFS(İndirimler!$D$2:$D$110,İndirimler!$A$2:$A$110,B355,İndirimler!$B$2:$B$110,C355)&gt;0,ROUND(G355*(1-SUMIFS(İndirimler!$D$2:$D$110,İndirimler!$A$2:$A$110,B355,İndirimler!$B$2:$B$110,C355)),2),"")</x:f>
        <x:v>#NAME?</x:v>
      </x:c>
      <x:c r="J355" s="12" t="s">
        <x:v>601</x:v>
      </x:c>
      <x:c r="K355" s="31"/>
    </x:row>
    <x:row r="356" ht="21.950000762939453" customHeight="1">
      <x:c r="A356" s="15" t="s">
        <x:v>602</x:v>
      </x:c>
      <x:c r="B356" s="12" t="s">
        <x:v>63</x:v>
      </x:c>
      <x:c r="C356" s="12" t="s">
        <x:v>76</x:v>
      </x:c>
      <x:c r="D356" s="12" t="s">
        <x:v>535</x:v>
      </x:c>
      <x:c r="E356" s="12" t="s">
        <x:v>64</x:v>
      </x:c>
      <x:c r="F356" s="12" t="s">
        <x:v>16</x:v>
      </x:c>
      <x:c r="G356" s="18">
        <x:v>449</x:v>
      </x:c>
      <x:c r="H356" s="21" t="e">
        <x:f>IF(SUMIFS(İndirimler!$C$2:$C$110,İndirimler!$A$2:$A$110,B356,İndirimler!$B$2:$B$110,C356)&gt;0,ROUND(G356*(1-SUMIFS(İndirimler!$C$2:$C$110,İndirimler!$A$2:$A$110,B356,İndirimler!$B$2:$B$110,C356)),2),"")</x:f>
        <x:v>#NAME?</x:v>
      </x:c>
      <x:c r="I356" s="24" t="e">
        <x:f>IF(SUMIFS(İndirimler!$D$2:$D$110,İndirimler!$A$2:$A$110,B356,İndirimler!$B$2:$B$110,C356)&gt;0,ROUND(G356*(1-SUMIFS(İndirimler!$D$2:$D$110,İndirimler!$A$2:$A$110,B356,İndirimler!$B$2:$B$110,C356)),2),"")</x:f>
        <x:v>#NAME?</x:v>
      </x:c>
      <x:c r="J356" s="12" t="s">
        <x:v>487</x:v>
      </x:c>
      <x:c r="K356" s="31"/>
    </x:row>
    <x:row r="357" ht="21.950000762939453" customHeight="1">
      <x:c r="A357" s="15" t="s">
        <x:v>603</x:v>
      </x:c>
      <x:c r="B357" s="12" t="s">
        <x:v>23</x:v>
      </x:c>
      <x:c r="C357" s="12" t="s">
        <x:v>76</x:v>
      </x:c>
      <x:c r="D357" s="12" t="s">
        <x:v>535</x:v>
      </x:c>
      <x:c r="E357" s="12"/>
      <x:c r="F357" s="12" t="s">
        <x:v>16</x:v>
      </x:c>
      <x:c r="G357" s="18">
        <x:v>490</x:v>
      </x:c>
      <x:c r="H357" s="21" t="e">
        <x:f>IF(SUMIFS(İndirimler!$C$2:$C$110,İndirimler!$A$2:$A$110,B357,İndirimler!$B$2:$B$110,C357)&gt;0,ROUND(G357*(1-SUMIFS(İndirimler!$C$2:$C$110,İndirimler!$A$2:$A$110,B357,İndirimler!$B$2:$B$110,C357)),2),"")</x:f>
        <x:v>#NAME?</x:v>
      </x:c>
      <x:c r="I357" s="24" t="e">
        <x:f>IF(SUMIFS(İndirimler!$D$2:$D$110,İndirimler!$A$2:$A$110,B357,İndirimler!$B$2:$B$110,C357)&gt;0,ROUND(G357*(1-SUMIFS(İndirimler!$D$2:$D$110,İndirimler!$A$2:$A$110,B357,İndirimler!$B$2:$B$110,C357)),2),"")</x:f>
        <x:v>#NAME?</x:v>
      </x:c>
      <x:c r="J357" s="12" t="s">
        <x:v>604</x:v>
      </x:c>
      <x:c r="K357" s="31"/>
    </x:row>
    <x:row r="358" ht="21.950000762939453" customHeight="1">
      <x:c r="A358" s="15" t="s">
        <x:v>605</x:v>
      </x:c>
      <x:c r="B358" s="12" t="s">
        <x:v>50</x:v>
      </x:c>
      <x:c r="C358" s="12" t="s">
        <x:v>76</x:v>
      </x:c>
      <x:c r="D358" s="12" t="s">
        <x:v>535</x:v>
      </x:c>
      <x:c r="E358" s="12" t="s">
        <x:v>69</x:v>
      </x:c>
      <x:c r="F358" s="12" t="s">
        <x:v>16</x:v>
      </x:c>
      <x:c r="G358" s="18">
        <x:v>422</x:v>
      </x:c>
      <x:c r="H358" s="21" t="e">
        <x:f>IF(SUMIFS(İndirimler!$C$2:$C$110,İndirimler!$A$2:$A$110,B358,İndirimler!$B$2:$B$110,C358)&gt;0,ROUND(G358*(1-SUMIFS(İndirimler!$C$2:$C$110,İndirimler!$A$2:$A$110,B358,İndirimler!$B$2:$B$110,C358)),2),"")</x:f>
        <x:v>#NAME?</x:v>
      </x:c>
      <x:c r="I358" s="24" t="e">
        <x:f>IF(SUMIFS(İndirimler!$D$2:$D$110,İndirimler!$A$2:$A$110,B358,İndirimler!$B$2:$B$110,C358)&gt;0,ROUND(G358*(1-SUMIFS(İndirimler!$D$2:$D$110,İndirimler!$A$2:$A$110,B358,İndirimler!$B$2:$B$110,C358)),2),"")</x:f>
        <x:v>#NAME?</x:v>
      </x:c>
      <x:c r="J358" s="12"/>
      <x:c r="K358" s="31"/>
    </x:row>
    <x:row r="359" ht="21.950000762939453" customHeight="1">
      <x:c r="A359" s="15" t="s">
        <x:v>606</x:v>
      </x:c>
      <x:c r="B359" s="12" t="s">
        <x:v>571</x:v>
      </x:c>
      <x:c r="C359" s="12" t="s">
        <x:v>76</x:v>
      </x:c>
      <x:c r="D359" s="12" t="s">
        <x:v>535</x:v>
      </x:c>
      <x:c r="E359" s="12"/>
      <x:c r="F359" s="12" t="s">
        <x:v>16</x:v>
      </x:c>
      <x:c r="G359" s="18">
        <x:v>355</x:v>
      </x:c>
      <x:c r="H359" s="21" t="e">
        <x:f>IF(SUMIFS(İndirimler!$C$2:$C$110,İndirimler!$A$2:$A$110,B359,İndirimler!$B$2:$B$110,C359)&gt;0,ROUND(G359*(1-SUMIFS(İndirimler!$C$2:$C$110,İndirimler!$A$2:$A$110,B359,İndirimler!$B$2:$B$110,C359)),2),"")</x:f>
        <x:v>#NAME?</x:v>
      </x:c>
      <x:c r="I359" s="24" t="e">
        <x:f>IF(SUMIFS(İndirimler!$D$2:$D$110,İndirimler!$A$2:$A$110,B359,İndirimler!$B$2:$B$110,C359)&gt;0,ROUND(G359*(1-SUMIFS(İndirimler!$D$2:$D$110,İndirimler!$A$2:$A$110,B359,İndirimler!$B$2:$B$110,C359)),2),"")</x:f>
        <x:v>#NAME?</x:v>
      </x:c>
      <x:c r="J359" s="12"/>
      <x:c r="K359" s="31"/>
    </x:row>
    <x:row r="360" ht="21.950000762939453" customHeight="1">
      <x:c r="A360" s="15" t="s">
        <x:v>607</x:v>
      </x:c>
      <x:c r="B360" s="12" t="s">
        <x:v>38</x:v>
      </x:c>
      <x:c r="C360" s="12" t="s">
        <x:v>76</x:v>
      </x:c>
      <x:c r="D360" s="12" t="s">
        <x:v>535</x:v>
      </x:c>
      <x:c r="E360" s="12" t="s">
        <x:v>69</x:v>
      </x:c>
      <x:c r="F360" s="12" t="s">
        <x:v>16</x:v>
      </x:c>
      <x:c r="G360" s="18">
        <x:v>269</x:v>
      </x:c>
      <x:c r="H360" s="21" t="e">
        <x:f>IF(SUMIFS(İndirimler!$C$2:$C$110,İndirimler!$A$2:$A$110,B360,İndirimler!$B$2:$B$110,C360)&gt;0,ROUND(G360*(1-SUMIFS(İndirimler!$C$2:$C$110,İndirimler!$A$2:$A$110,B360,İndirimler!$B$2:$B$110,C360)),2),"")</x:f>
        <x:v>#NAME?</x:v>
      </x:c>
      <x:c r="I360" s="24" t="e">
        <x:f>IF(SUMIFS(İndirimler!$D$2:$D$110,İndirimler!$A$2:$A$110,B360,İndirimler!$B$2:$B$110,C360)&gt;0,ROUND(G360*(1-SUMIFS(İndirimler!$D$2:$D$110,İndirimler!$A$2:$A$110,B360,İndirimler!$B$2:$B$110,C360)),2),"")</x:f>
        <x:v>#NAME?</x:v>
      </x:c>
      <x:c r="J360" s="12" t="s">
        <x:v>573</x:v>
      </x:c>
      <x:c r="K360" s="31"/>
    </x:row>
    <x:row r="361" ht="21.950000762939453" customHeight="1">
      <x:c r="A361" s="15" t="s">
        <x:v>608</x:v>
      </x:c>
      <x:c r="B361" s="12" t="s">
        <x:v>72</x:v>
      </x:c>
      <x:c r="C361" s="12" t="s">
        <x:v>76</x:v>
      </x:c>
      <x:c r="D361" s="12" t="s">
        <x:v>535</x:v>
      </x:c>
      <x:c r="E361" s="12"/>
      <x:c r="F361" s="12" t="s">
        <x:v>73</x:v>
      </x:c>
      <x:c r="G361" s="18">
        <x:v>429</x:v>
      </x:c>
      <x:c r="H361" s="21" t="e">
        <x:f>IF(SUMIFS(İndirimler!$C$2:$C$110,İndirimler!$A$2:$A$110,B361,İndirimler!$B$2:$B$110,C361)&gt;0,ROUND(G361*(1-SUMIFS(İndirimler!$C$2:$C$110,İndirimler!$A$2:$A$110,B361,İndirimler!$B$2:$B$110,C361)),2),"")</x:f>
        <x:v>#NAME?</x:v>
      </x:c>
      <x:c r="I361" s="24" t="e">
        <x:f>IF(SUMIFS(İndirimler!$D$2:$D$110,İndirimler!$A$2:$A$110,B361,İndirimler!$B$2:$B$110,C361)&gt;0,ROUND(G361*(1-SUMIFS(İndirimler!$D$2:$D$110,İndirimler!$A$2:$A$110,B361,İndirimler!$B$2:$B$110,C361)),2),"")</x:f>
        <x:v>#NAME?</x:v>
      </x:c>
      <x:c r="J361" s="12"/>
      <x:c r="K361" s="31"/>
    </x:row>
    <x:row r="362" ht="21.950000762939453" customHeight="1">
      <x:c r="A362" s="15" t="s">
        <x:v>609</x:v>
      </x:c>
      <x:c r="B362" s="12" t="s">
        <x:v>38</x:v>
      </x:c>
      <x:c r="C362" s="12" t="s">
        <x:v>101</x:v>
      </x:c>
      <x:c r="D362" s="12" t="s">
        <x:v>535</x:v>
      </x:c>
      <x:c r="E362" s="12"/>
      <x:c r="F362" s="12" t="s">
        <x:v>35</x:v>
      </x:c>
      <x:c r="G362" s="18"/>
      <x:c r="H362" s="21" t="e">
        <x:f>IF(SUMIFS(İndirimler!$C$2:$C$110,İndirimler!$A$2:$A$110,B362,İndirimler!$B$2:$B$110,C362)&gt;0,ROUND(G362*(1-SUMIFS(İndirimler!$C$2:$C$110,İndirimler!$A$2:$A$110,B362,İndirimler!$B$2:$B$110,C362)),2),"")</x:f>
        <x:v>#NAME?</x:v>
      </x:c>
      <x:c r="I362" s="24" t="e">
        <x:f>IF(SUMIFS(İndirimler!$D$2:$D$110,İndirimler!$A$2:$A$110,B362,İndirimler!$B$2:$B$110,C362)&gt;0,ROUND(G362*(1-SUMIFS(İndirimler!$D$2:$D$110,İndirimler!$A$2:$A$110,B362,İndirimler!$B$2:$B$110,C362)),2),"")</x:f>
        <x:v>#NAME?</x:v>
      </x:c>
      <x:c r="J362" s="12"/>
      <x:c r="K362" s="31"/>
    </x:row>
    <x:row r="363" ht="21.950000762939453" customHeight="1">
      <x:c r="A363" s="15" t="s">
        <x:v>610</x:v>
      </x:c>
      <x:c r="B363" s="12" t="s">
        <x:v>18</x:v>
      </x:c>
      <x:c r="C363" s="12" t="s">
        <x:v>101</x:v>
      </x:c>
      <x:c r="D363" s="12" t="s">
        <x:v>535</x:v>
      </x:c>
      <x:c r="E363" s="12" t="s">
        <x:v>41</x:v>
      </x:c>
      <x:c r="F363" s="12" t="s">
        <x:v>42</x:v>
      </x:c>
      <x:c r="G363" s="18"/>
      <x:c r="H363" s="21" t="e">
        <x:f>IF(SUMIFS(İndirimler!$C$2:$C$110,İndirimler!$A$2:$A$110,B363,İndirimler!$B$2:$B$110,C363)&gt;0,ROUND(G363*(1-SUMIFS(İndirimler!$C$2:$C$110,İndirimler!$A$2:$A$110,B363,İndirimler!$B$2:$B$110,C363)),2),"")</x:f>
        <x:v>#NAME?</x:v>
      </x:c>
      <x:c r="I363" s="24" t="e">
        <x:f>IF(SUMIFS(İndirimler!$D$2:$D$110,İndirimler!$A$2:$A$110,B363,İndirimler!$B$2:$B$110,C363)&gt;0,ROUND(G363*(1-SUMIFS(İndirimler!$D$2:$D$110,İndirimler!$A$2:$A$110,B363,İndirimler!$B$2:$B$110,C363)),2),"")</x:f>
        <x:v>#NAME?</x:v>
      </x:c>
      <x:c r="J363" s="12"/>
      <x:c r="K363" s="31"/>
    </x:row>
    <x:row r="364" ht="21.950000762939453" customHeight="1">
      <x:c r="A364" s="15" t="s">
        <x:v>611</x:v>
      </x:c>
      <x:c r="B364" s="12" t="s">
        <x:v>72</x:v>
      </x:c>
      <x:c r="C364" s="12" t="s">
        <x:v>101</x:v>
      </x:c>
      <x:c r="D364" s="12" t="s">
        <x:v>535</x:v>
      </x:c>
      <x:c r="E364" s="12" t="s">
        <x:v>104</x:v>
      </x:c>
      <x:c r="F364" s="12" t="s">
        <x:v>42</x:v>
      </x:c>
      <x:c r="G364" s="18"/>
      <x:c r="H364" s="21" t="e">
        <x:f>IF(SUMIFS(İndirimler!$C$2:$C$110,İndirimler!$A$2:$A$110,B364,İndirimler!$B$2:$B$110,C364)&gt;0,ROUND(G364*(1-SUMIFS(İndirimler!$C$2:$C$110,İndirimler!$A$2:$A$110,B364,İndirimler!$B$2:$B$110,C364)),2),"")</x:f>
        <x:v>#NAME?</x:v>
      </x:c>
      <x:c r="I364" s="24" t="e">
        <x:f>IF(SUMIFS(İndirimler!$D$2:$D$110,İndirimler!$A$2:$A$110,B364,İndirimler!$B$2:$B$110,C364)&gt;0,ROUND(G364*(1-SUMIFS(İndirimler!$D$2:$D$110,İndirimler!$A$2:$A$110,B364,İndirimler!$B$2:$B$110,C364)),2),"")</x:f>
        <x:v>#NAME?</x:v>
      </x:c>
      <x:c r="J364" s="12"/>
      <x:c r="K364" s="31"/>
    </x:row>
    <x:row r="365" ht="21.950000762939453" customHeight="1">
      <x:c r="A365" s="15" t="s">
        <x:v>612</x:v>
      </x:c>
      <x:c r="B365" s="12" t="s">
        <x:v>23</x:v>
      </x:c>
      <x:c r="C365" s="12" t="s">
        <x:v>101</x:v>
      </x:c>
      <x:c r="D365" s="12" t="s">
        <x:v>535</x:v>
      </x:c>
      <x:c r="E365" s="12"/>
      <x:c r="F365" s="12" t="s">
        <x:v>42</x:v>
      </x:c>
      <x:c r="G365" s="18">
        <x:v>486</x:v>
      </x:c>
      <x:c r="H365" s="21" t="e">
        <x:f>IF(SUMIFS(İndirimler!$C$2:$C$110,İndirimler!$A$2:$A$110,B365,İndirimler!$B$2:$B$110,C365)&gt;0,ROUND(G365*(1-SUMIFS(İndirimler!$C$2:$C$110,İndirimler!$A$2:$A$110,B365,İndirimler!$B$2:$B$110,C365)),2),"")</x:f>
        <x:v>#NAME?</x:v>
      </x:c>
      <x:c r="I365" s="24" t="e">
        <x:f>IF(SUMIFS(İndirimler!$D$2:$D$110,İndirimler!$A$2:$A$110,B365,İndirimler!$B$2:$B$110,C365)&gt;0,ROUND(G365*(1-SUMIFS(İndirimler!$D$2:$D$110,İndirimler!$A$2:$A$110,B365,İndirimler!$B$2:$B$110,C365)),2),"")</x:f>
        <x:v>#NAME?</x:v>
      </x:c>
      <x:c r="J365" s="12" t="s">
        <x:v>613</x:v>
      </x:c>
      <x:c r="K365" s="31"/>
    </x:row>
    <x:row r="366" ht="21.950000762939453" customHeight="1">
      <x:c r="A366" s="15" t="s">
        <x:v>614</x:v>
      </x:c>
      <x:c r="B366" s="12" t="s">
        <x:v>50</x:v>
      </x:c>
      <x:c r="C366" s="12" t="s">
        <x:v>101</x:v>
      </x:c>
      <x:c r="D366" s="12" t="s">
        <x:v>535</x:v>
      </x:c>
      <x:c r="E366" s="12" t="s">
        <x:v>51</x:v>
      </x:c>
      <x:c r="F366" s="12" t="s">
        <x:v>42</x:v>
      </x:c>
      <x:c r="G366" s="18">
        <x:v>520</x:v>
      </x:c>
      <x:c r="H366" s="21" t="e">
        <x:f>IF(SUMIFS(İndirimler!$C$2:$C$110,İndirimler!$A$2:$A$110,B366,İndirimler!$B$2:$B$110,C366)&gt;0,ROUND(G366*(1-SUMIFS(İndirimler!$C$2:$C$110,İndirimler!$A$2:$A$110,B366,İndirimler!$B$2:$B$110,C366)),2),"")</x:f>
        <x:v>#NAME?</x:v>
      </x:c>
      <x:c r="I366" s="24" t="e">
        <x:f>IF(SUMIFS(İndirimler!$D$2:$D$110,İndirimler!$A$2:$A$110,B366,İndirimler!$B$2:$B$110,C366)&gt;0,ROUND(G366*(1-SUMIFS(İndirimler!$D$2:$D$110,İndirimler!$A$2:$A$110,B366,İndirimler!$B$2:$B$110,C366)),2),"")</x:f>
        <x:v>#NAME?</x:v>
      </x:c>
      <x:c r="J366" s="12"/>
      <x:c r="K366" s="31"/>
    </x:row>
    <x:row r="367" ht="21.950000762939453" customHeight="1">
      <x:c r="A367" s="15" t="s">
        <x:v>615</x:v>
      </x:c>
      <x:c r="B367" s="12" t="s">
        <x:v>55</x:v>
      </x:c>
      <x:c r="C367" s="12" t="s">
        <x:v>101</x:v>
      </x:c>
      <x:c r="D367" s="12" t="s">
        <x:v>535</x:v>
      </x:c>
      <x:c r="E367" s="12"/>
      <x:c r="F367" s="12" t="s">
        <x:v>16</x:v>
      </x:c>
      <x:c r="G367" s="18">
        <x:v>366</x:v>
      </x:c>
      <x:c r="H367" s="21" t="e">
        <x:f>IF(SUMIFS(İndirimler!$C$2:$C$110,İndirimler!$A$2:$A$110,B367,İndirimler!$B$2:$B$110,C367)&gt;0,ROUND(G367*(1-SUMIFS(İndirimler!$C$2:$C$110,İndirimler!$A$2:$A$110,B367,İndirimler!$B$2:$B$110,C367)),2),"")</x:f>
        <x:v>#NAME?</x:v>
      </x:c>
      <x:c r="I367" s="24" t="e">
        <x:f>IF(SUMIFS(İndirimler!$D$2:$D$110,İndirimler!$A$2:$A$110,B367,İndirimler!$B$2:$B$110,C367)&gt;0,ROUND(G367*(1-SUMIFS(İndirimler!$D$2:$D$110,İndirimler!$A$2:$A$110,B367,İndirimler!$B$2:$B$110,C367)),2),"")</x:f>
        <x:v>#NAME?</x:v>
      </x:c>
      <x:c r="J367" s="12"/>
      <x:c r="K367" s="31"/>
    </x:row>
    <x:row r="368" ht="21.950000762939453" customHeight="1">
      <x:c r="A368" s="15" t="s">
        <x:v>616</x:v>
      </x:c>
      <x:c r="B368" s="12" t="s">
        <x:v>139</x:v>
      </x:c>
      <x:c r="C368" s="12" t="s">
        <x:v>101</x:v>
      </x:c>
      <x:c r="D368" s="12" t="s">
        <x:v>535</x:v>
      </x:c>
      <x:c r="E368" s="12"/>
      <x:c r="F368" s="12" t="s">
        <x:v>16</x:v>
      </x:c>
      <x:c r="G368" s="18">
        <x:v>608</x:v>
      </x:c>
      <x:c r="H368" s="21" t="e">
        <x:f>IF(SUMIFS(İndirimler!$C$2:$C$110,İndirimler!$A$2:$A$110,B368,İndirimler!$B$2:$B$110,C368)&gt;0,ROUND(G368*(1-SUMIFS(İndirimler!$C$2:$C$110,İndirimler!$A$2:$A$110,B368,İndirimler!$B$2:$B$110,C368)),2),"")</x:f>
        <x:v>#NAME?</x:v>
      </x:c>
      <x:c r="I368" s="24" t="e">
        <x:f>IF(SUMIFS(İndirimler!$D$2:$D$110,İndirimler!$A$2:$A$110,B368,İndirimler!$B$2:$B$110,C368)&gt;0,ROUND(G368*(1-SUMIFS(İndirimler!$D$2:$D$110,İndirimler!$A$2:$A$110,B368,İndirimler!$B$2:$B$110,C368)),2),"")</x:f>
        <x:v>#NAME?</x:v>
      </x:c>
      <x:c r="J368" s="12"/>
      <x:c r="K368" s="31"/>
    </x:row>
    <x:row r="369" ht="21.950000762939453" customHeight="1">
      <x:c r="A369" s="15" t="s">
        <x:v>617</x:v>
      </x:c>
      <x:c r="B369" s="12" t="s">
        <x:v>18</x:v>
      </x:c>
      <x:c r="C369" s="12" t="s">
        <x:v>101</x:v>
      </x:c>
      <x:c r="D369" s="12" t="s">
        <x:v>535</x:v>
      </x:c>
      <x:c r="E369" s="12"/>
      <x:c r="F369" s="12" t="s">
        <x:v>16</x:v>
      </x:c>
      <x:c r="G369" s="18"/>
      <x:c r="H369" s="21" t="e">
        <x:f>IF(SUMIFS(İndirimler!$C$2:$C$110,İndirimler!$A$2:$A$110,B369,İndirimler!$B$2:$B$110,C369)&gt;0,ROUND(G369*(1-SUMIFS(İndirimler!$C$2:$C$110,İndirimler!$A$2:$A$110,B369,İndirimler!$B$2:$B$110,C369)),2),"")</x:f>
        <x:v>#NAME?</x:v>
      </x:c>
      <x:c r="I369" s="24" t="e">
        <x:f>IF(SUMIFS(İndirimler!$D$2:$D$110,İndirimler!$A$2:$A$110,B369,İndirimler!$B$2:$B$110,C369)&gt;0,ROUND(G369*(1-SUMIFS(İndirimler!$D$2:$D$110,İndirimler!$A$2:$A$110,B369,İndirimler!$B$2:$B$110,C369)),2),"")</x:f>
        <x:v>#NAME?</x:v>
      </x:c>
      <x:c r="J369" s="12"/>
      <x:c r="K369" s="31"/>
    </x:row>
    <x:row r="370" ht="21.950000762939453" customHeight="1">
      <x:c r="A370" s="15" t="s">
        <x:v>618</x:v>
      </x:c>
      <x:c r="B370" s="12" t="s">
        <x:v>541</x:v>
      </x:c>
      <x:c r="C370" s="12" t="s">
        <x:v>101</x:v>
      </x:c>
      <x:c r="D370" s="12" t="s">
        <x:v>535</x:v>
      </x:c>
      <x:c r="E370" s="12"/>
      <x:c r="F370" s="12" t="s">
        <x:v>16</x:v>
      </x:c>
      <x:c r="G370" s="18">
        <x:v>499</x:v>
      </x:c>
      <x:c r="H370" s="21" t="e">
        <x:f>IF(SUMIFS(İndirimler!$C$2:$C$110,İndirimler!$A$2:$A$110,B370,İndirimler!$B$2:$B$110,C370)&gt;0,ROUND(G370*(1-SUMIFS(İndirimler!$C$2:$C$110,İndirimler!$A$2:$A$110,B370,İndirimler!$B$2:$B$110,C370)),2),"")</x:f>
        <x:v>#NAME?</x:v>
      </x:c>
      <x:c r="I370" s="24" t="e">
        <x:f>IF(SUMIFS(İndirimler!$D$2:$D$110,İndirimler!$A$2:$A$110,B370,İndirimler!$B$2:$B$110,C370)&gt;0,ROUND(G370*(1-SUMIFS(İndirimler!$D$2:$D$110,İndirimler!$A$2:$A$110,B370,İndirimler!$B$2:$B$110,C370)),2),"")</x:f>
        <x:v>#NAME?</x:v>
      </x:c>
      <x:c r="J370" s="12" t="s">
        <x:v>619</x:v>
      </x:c>
      <x:c r="K370" s="31"/>
    </x:row>
    <x:row r="371" ht="21.950000762939453" customHeight="1">
      <x:c r="A371" s="15" t="s">
        <x:v>620</x:v>
      </x:c>
      <x:c r="B371" s="12" t="s">
        <x:v>63</x:v>
      </x:c>
      <x:c r="C371" s="12" t="s">
        <x:v>101</x:v>
      </x:c>
      <x:c r="D371" s="12" t="s">
        <x:v>535</x:v>
      </x:c>
      <x:c r="E371" s="12" t="s">
        <x:v>64</x:v>
      </x:c>
      <x:c r="F371" s="12" t="s">
        <x:v>16</x:v>
      </x:c>
      <x:c r="G371" s="18"/>
      <x:c r="H371" s="21" t="e">
        <x:f>IF(SUMIFS(İndirimler!$C$2:$C$110,İndirimler!$A$2:$A$110,B371,İndirimler!$B$2:$B$110,C371)&gt;0,ROUND(G371*(1-SUMIFS(İndirimler!$C$2:$C$110,İndirimler!$A$2:$A$110,B371,İndirimler!$B$2:$B$110,C371)),2),"")</x:f>
        <x:v>#NAME?</x:v>
      </x:c>
      <x:c r="I371" s="24" t="e">
        <x:f>IF(SUMIFS(İndirimler!$D$2:$D$110,İndirimler!$A$2:$A$110,B371,İndirimler!$B$2:$B$110,C371)&gt;0,ROUND(G371*(1-SUMIFS(İndirimler!$D$2:$D$110,İndirimler!$A$2:$A$110,B371,İndirimler!$B$2:$B$110,C371)),2),"")</x:f>
        <x:v>#NAME?</x:v>
      </x:c>
      <x:c r="J371" s="12" t="s">
        <x:v>621</x:v>
      </x:c>
      <x:c r="K371" s="31"/>
    </x:row>
    <x:row r="372" ht="21.950000762939453" customHeight="1">
      <x:c r="A372" s="15" t="s">
        <x:v>622</x:v>
      </x:c>
      <x:c r="B372" s="12" t="s">
        <x:v>23</x:v>
      </x:c>
      <x:c r="C372" s="12" t="s">
        <x:v>101</x:v>
      </x:c>
      <x:c r="D372" s="12" t="s">
        <x:v>535</x:v>
      </x:c>
      <x:c r="E372" s="12"/>
      <x:c r="F372" s="12" t="s">
        <x:v>16</x:v>
      </x:c>
      <x:c r="G372" s="18">
        <x:v>438</x:v>
      </x:c>
      <x:c r="H372" s="21" t="e">
        <x:f>IF(SUMIFS(İndirimler!$C$2:$C$110,İndirimler!$A$2:$A$110,B372,İndirimler!$B$2:$B$110,C372)&gt;0,ROUND(G372*(1-SUMIFS(İndirimler!$C$2:$C$110,İndirimler!$A$2:$A$110,B372,İndirimler!$B$2:$B$110,C372)),2),"")</x:f>
        <x:v>#NAME?</x:v>
      </x:c>
      <x:c r="I372" s="24" t="e">
        <x:f>IF(SUMIFS(İndirimler!$D$2:$D$110,İndirimler!$A$2:$A$110,B372,İndirimler!$B$2:$B$110,C372)&gt;0,ROUND(G372*(1-SUMIFS(İndirimler!$D$2:$D$110,İndirimler!$A$2:$A$110,B372,İndirimler!$B$2:$B$110,C372)),2),"")</x:f>
        <x:v>#NAME?</x:v>
      </x:c>
      <x:c r="J372" s="12" t="s">
        <x:v>623</x:v>
      </x:c>
      <x:c r="K372" s="31"/>
    </x:row>
    <x:row r="373" ht="21.950000762939453" customHeight="1">
      <x:c r="A373" s="15" t="s">
        <x:v>624</x:v>
      </x:c>
      <x:c r="B373" s="12" t="s">
        <x:v>50</x:v>
      </x:c>
      <x:c r="C373" s="12" t="s">
        <x:v>101</x:v>
      </x:c>
      <x:c r="D373" s="12" t="s">
        <x:v>535</x:v>
      </x:c>
      <x:c r="E373" s="12" t="s">
        <x:v>69</x:v>
      </x:c>
      <x:c r="F373" s="12" t="s">
        <x:v>16</x:v>
      </x:c>
      <x:c r="G373" s="18">
        <x:v>458</x:v>
      </x:c>
      <x:c r="H373" s="21" t="e">
        <x:f>IF(SUMIFS(İndirimler!$C$2:$C$110,İndirimler!$A$2:$A$110,B373,İndirimler!$B$2:$B$110,C373)&gt;0,ROUND(G373*(1-SUMIFS(İndirimler!$C$2:$C$110,İndirimler!$A$2:$A$110,B373,İndirimler!$B$2:$B$110,C373)),2),"")</x:f>
        <x:v>#NAME?</x:v>
      </x:c>
      <x:c r="I373" s="24" t="e">
        <x:f>IF(SUMIFS(İndirimler!$D$2:$D$110,İndirimler!$A$2:$A$110,B373,İndirimler!$B$2:$B$110,C373)&gt;0,ROUND(G373*(1-SUMIFS(İndirimler!$D$2:$D$110,İndirimler!$A$2:$A$110,B373,İndirimler!$B$2:$B$110,C373)),2),"")</x:f>
        <x:v>#NAME?</x:v>
      </x:c>
      <x:c r="J373" s="12"/>
      <x:c r="K373" s="31"/>
    </x:row>
    <x:row r="374" ht="21.950000762939453" customHeight="1">
      <x:c r="A374" s="15" t="s">
        <x:v>625</x:v>
      </x:c>
      <x:c r="B374" s="12" t="s">
        <x:v>571</x:v>
      </x:c>
      <x:c r="C374" s="12" t="s">
        <x:v>101</x:v>
      </x:c>
      <x:c r="D374" s="12" t="s">
        <x:v>535</x:v>
      </x:c>
      <x:c r="E374" s="12"/>
      <x:c r="F374" s="12" t="s">
        <x:v>16</x:v>
      </x:c>
      <x:c r="G374" s="18"/>
      <x:c r="H374" s="21" t="e">
        <x:f>IF(SUMIFS(İndirimler!$C$2:$C$110,İndirimler!$A$2:$A$110,B374,İndirimler!$B$2:$B$110,C374)&gt;0,ROUND(G374*(1-SUMIFS(İndirimler!$C$2:$C$110,İndirimler!$A$2:$A$110,B374,İndirimler!$B$2:$B$110,C374)),2),"")</x:f>
        <x:v>#NAME?</x:v>
      </x:c>
      <x:c r="I374" s="24" t="e">
        <x:f>IF(SUMIFS(İndirimler!$D$2:$D$110,İndirimler!$A$2:$A$110,B374,İndirimler!$B$2:$B$110,C374)&gt;0,ROUND(G374*(1-SUMIFS(İndirimler!$D$2:$D$110,İndirimler!$A$2:$A$110,B374,İndirimler!$B$2:$B$110,C374)),2),"")</x:f>
        <x:v>#NAME?</x:v>
      </x:c>
      <x:c r="J374" s="12"/>
      <x:c r="K374" s="31"/>
    </x:row>
    <x:row r="375" ht="21.950000762939453" customHeight="1">
      <x:c r="A375" s="15" t="s">
        <x:v>626</x:v>
      </x:c>
      <x:c r="B375" s="12" t="s">
        <x:v>38</x:v>
      </x:c>
      <x:c r="C375" s="12" t="s">
        <x:v>101</x:v>
      </x:c>
      <x:c r="D375" s="12" t="s">
        <x:v>535</x:v>
      </x:c>
      <x:c r="E375" s="12"/>
      <x:c r="F375" s="12" t="s">
        <x:v>16</x:v>
      </x:c>
      <x:c r="G375" s="18"/>
      <x:c r="H375" s="21" t="e">
        <x:f>IF(SUMIFS(İndirimler!$C$2:$C$110,İndirimler!$A$2:$A$110,B375,İndirimler!$B$2:$B$110,C375)&gt;0,ROUND(G375*(1-SUMIFS(İndirimler!$C$2:$C$110,İndirimler!$A$2:$A$110,B375,İndirimler!$B$2:$B$110,C375)),2),"")</x:f>
        <x:v>#NAME?</x:v>
      </x:c>
      <x:c r="I375" s="24" t="e">
        <x:f>IF(SUMIFS(İndirimler!$D$2:$D$110,İndirimler!$A$2:$A$110,B375,İndirimler!$B$2:$B$110,C375)&gt;0,ROUND(G375*(1-SUMIFS(İndirimler!$D$2:$D$110,İndirimler!$A$2:$A$110,B375,İndirimler!$B$2:$B$110,C375)),2),"")</x:f>
        <x:v>#NAME?</x:v>
      </x:c>
      <x:c r="J375" s="12"/>
      <x:c r="K375" s="31"/>
    </x:row>
    <x:row r="376" ht="21.950000762939453" customHeight="1">
      <x:c r="A376" s="15" t="s">
        <x:v>627</x:v>
      </x:c>
      <x:c r="B376" s="12" t="s">
        <x:v>72</x:v>
      </x:c>
      <x:c r="C376" s="12" t="s">
        <x:v>101</x:v>
      </x:c>
      <x:c r="D376" s="12" t="s">
        <x:v>535</x:v>
      </x:c>
      <x:c r="E376" s="12"/>
      <x:c r="F376" s="12" t="s">
        <x:v>73</x:v>
      </x:c>
      <x:c r="G376" s="18"/>
      <x:c r="H376" s="21" t="e">
        <x:f>IF(SUMIFS(İndirimler!$C$2:$C$110,İndirimler!$A$2:$A$110,B376,İndirimler!$B$2:$B$110,C376)&gt;0,ROUND(G376*(1-SUMIFS(İndirimler!$C$2:$C$110,İndirimler!$A$2:$A$110,B376,İndirimler!$B$2:$B$110,C376)),2),"")</x:f>
        <x:v>#NAME?</x:v>
      </x:c>
      <x:c r="I376" s="24" t="e">
        <x:f>IF(SUMIFS(İndirimler!$D$2:$D$110,İndirimler!$A$2:$A$110,B376,İndirimler!$B$2:$B$110,C376)&gt;0,ROUND(G376*(1-SUMIFS(İndirimler!$D$2:$D$110,İndirimler!$A$2:$A$110,B376,İndirimler!$B$2:$B$110,C376)),2),"")</x:f>
        <x:v>#NAME?</x:v>
      </x:c>
      <x:c r="J376" s="12"/>
      <x:c r="K376" s="31"/>
    </x:row>
    <x:row r="377" ht="21.950000762939453" customHeight="1">
      <x:c r="A377" s="15" t="s">
        <x:v>628</x:v>
      </x:c>
      <x:c r="B377" s="12" t="s">
        <x:v>38</x:v>
      </x:c>
      <x:c r="C377" s="12" t="s">
        <x:v>249</x:v>
      </x:c>
      <x:c r="D377" s="12" t="s">
        <x:v>535</x:v>
      </x:c>
      <x:c r="E377" s="12" t="s">
        <x:v>254</x:v>
      </x:c>
      <x:c r="F377" s="12" t="s">
        <x:v>35</x:v>
      </x:c>
      <x:c r="G377" s="18">
        <x:v>589</x:v>
      </x:c>
      <x:c r="H377" s="21" t="e">
        <x:f>IF(SUMIFS(İndirimler!$C$2:$C$110,İndirimler!$A$2:$A$110,B377,İndirimler!$B$2:$B$110,C377)&gt;0,ROUND(G377*(1-SUMIFS(İndirimler!$C$2:$C$110,İndirimler!$A$2:$A$110,B377,İndirimler!$B$2:$B$110,C377)),2),"")</x:f>
        <x:v>#NAME?</x:v>
      </x:c>
      <x:c r="I377" s="24" t="e">
        <x:f>IF(SUMIFS(İndirimler!$D$2:$D$110,İndirimler!$A$2:$A$110,B377,İndirimler!$B$2:$B$110,C377)&gt;0,ROUND(G377*(1-SUMIFS(İndirimler!$D$2:$D$110,İndirimler!$A$2:$A$110,B377,İndirimler!$B$2:$B$110,C377)),2),"")</x:f>
        <x:v>#NAME?</x:v>
      </x:c>
      <x:c r="J377" s="12" t="s">
        <x:v>629</x:v>
      </x:c>
      <x:c r="K377" s="31"/>
    </x:row>
    <x:row r="378" ht="21.950000762939453" customHeight="1">
      <x:c r="A378" s="15" t="s">
        <x:v>630</x:v>
      </x:c>
      <x:c r="B378" s="12" t="s">
        <x:v>38</x:v>
      </x:c>
      <x:c r="C378" s="12" t="s">
        <x:v>249</x:v>
      </x:c>
      <x:c r="D378" s="12" t="s">
        <x:v>535</x:v>
      </x:c>
      <x:c r="E378" s="12" t="s">
        <x:v>257</x:v>
      </x:c>
      <x:c r="F378" s="12" t="s">
        <x:v>35</x:v>
      </x:c>
      <x:c r="G378" s="18">
        <x:v>589</x:v>
      </x:c>
      <x:c r="H378" s="21" t="e">
        <x:f>IF(SUMIFS(İndirimler!$C$2:$C$110,İndirimler!$A$2:$A$110,B378,İndirimler!$B$2:$B$110,C378)&gt;0,ROUND(G378*(1-SUMIFS(İndirimler!$C$2:$C$110,İndirimler!$A$2:$A$110,B378,İndirimler!$B$2:$B$110,C378)),2),"")</x:f>
        <x:v>#NAME?</x:v>
      </x:c>
      <x:c r="I378" s="24" t="e">
        <x:f>IF(SUMIFS(İndirimler!$D$2:$D$110,İndirimler!$A$2:$A$110,B378,İndirimler!$B$2:$B$110,C378)&gt;0,ROUND(G378*(1-SUMIFS(İndirimler!$D$2:$D$110,İndirimler!$A$2:$A$110,B378,İndirimler!$B$2:$B$110,C378)),2),"")</x:f>
        <x:v>#NAME?</x:v>
      </x:c>
      <x:c r="J378" s="12" t="s">
        <x:v>631</x:v>
      </x:c>
      <x:c r="K378" s="31"/>
    </x:row>
    <x:row r="379" ht="21.950000762939453" customHeight="1">
      <x:c r="A379" s="15" t="s">
        <x:v>632</x:v>
      </x:c>
      <x:c r="B379" s="12" t="s">
        <x:v>50</x:v>
      </x:c>
      <x:c r="C379" s="12" t="s">
        <x:v>249</x:v>
      </x:c>
      <x:c r="D379" s="12" t="s">
        <x:v>535</x:v>
      </x:c>
      <x:c r="E379" s="12" t="s">
        <x:v>51</x:v>
      </x:c>
      <x:c r="F379" s="12" t="s">
        <x:v>42</x:v>
      </x:c>
      <x:c r="G379" s="18">
        <x:v>333</x:v>
      </x:c>
      <x:c r="H379" s="21" t="e">
        <x:f>IF(SUMIFS(İndirimler!$C$2:$C$110,İndirimler!$A$2:$A$110,B379,İndirimler!$B$2:$B$110,C379)&gt;0,ROUND(G379*(1-SUMIFS(İndirimler!$C$2:$C$110,İndirimler!$A$2:$A$110,B379,İndirimler!$B$2:$B$110,C379)),2),"")</x:f>
        <x:v>#NAME?</x:v>
      </x:c>
      <x:c r="I379" s="24" t="e">
        <x:f>IF(SUMIFS(İndirimler!$D$2:$D$110,İndirimler!$A$2:$A$110,B379,İndirimler!$B$2:$B$110,C379)&gt;0,ROUND(G379*(1-SUMIFS(İndirimler!$D$2:$D$110,İndirimler!$A$2:$A$110,B379,İndirimler!$B$2:$B$110,C379)),2),"")</x:f>
        <x:v>#NAME?</x:v>
      </x:c>
      <x:c r="J379" s="12"/>
      <x:c r="K379" s="31"/>
    </x:row>
    <x:row r="380" ht="21.950000762939453" customHeight="1">
      <x:c r="A380" s="15" t="s">
        <x:v>633</x:v>
      </x:c>
      <x:c r="B380" s="12" t="s">
        <x:v>541</x:v>
      </x:c>
      <x:c r="C380" s="12" t="s">
        <x:v>13</x:v>
      </x:c>
      <x:c r="D380" s="12" t="s">
        <x:v>535</x:v>
      </x:c>
      <x:c r="E380" s="12"/>
      <x:c r="F380" s="12" t="s">
        <x:v>42</x:v>
      </x:c>
      <x:c r="G380" s="18">
        <x:v>405</x:v>
      </x:c>
      <x:c r="H380" s="21" t="e">
        <x:f>IF(SUMIFS(İndirimler!$C$2:$C$110,İndirimler!$A$2:$A$110,B380,İndirimler!$B$2:$B$110,C380)&gt;0,ROUND(G380*(1-SUMIFS(İndirimler!$C$2:$C$110,İndirimler!$A$2:$A$110,B380,İndirimler!$B$2:$B$110,C380)),2),"")</x:f>
        <x:v>#NAME?</x:v>
      </x:c>
      <x:c r="I380" s="24" t="e">
        <x:f>IF(SUMIFS(İndirimler!$D$2:$D$110,İndirimler!$A$2:$A$110,B380,İndirimler!$B$2:$B$110,C380)&gt;0,ROUND(G380*(1-SUMIFS(İndirimler!$D$2:$D$110,İndirimler!$A$2:$A$110,B380,İndirimler!$B$2:$B$110,C380)),2),"")</x:f>
        <x:v>#NAME?</x:v>
      </x:c>
      <x:c r="J380" s="12"/>
      <x:c r="K380" s="31"/>
    </x:row>
    <x:row r="381" ht="21.950000762939453" customHeight="1">
      <x:c r="A381" s="15" t="s">
        <x:v>634</x:v>
      </x:c>
      <x:c r="B381" s="12" t="s">
        <x:v>139</x:v>
      </x:c>
      <x:c r="C381" s="12" t="s">
        <x:v>13</x:v>
      </x:c>
      <x:c r="D381" s="12" t="s">
        <x:v>535</x:v>
      </x:c>
      <x:c r="E381" s="12"/>
      <x:c r="F381" s="12" t="s">
        <x:v>16</x:v>
      </x:c>
      <x:c r="G381" s="18">
        <x:v>638</x:v>
      </x:c>
      <x:c r="H381" s="21" t="e">
        <x:f>IF(SUMIFS(İndirimler!$C$2:$C$110,İndirimler!$A$2:$A$110,B381,İndirimler!$B$2:$B$110,C381)&gt;0,ROUND(G381*(1-SUMIFS(İndirimler!$C$2:$C$110,İndirimler!$A$2:$A$110,B381,İndirimler!$B$2:$B$110,C381)),2),"")</x:f>
        <x:v>#NAME?</x:v>
      </x:c>
      <x:c r="I381" s="24" t="e">
        <x:f>IF(SUMIFS(İndirimler!$D$2:$D$110,İndirimler!$A$2:$A$110,B381,İndirimler!$B$2:$B$110,C381)&gt;0,ROUND(G381*(1-SUMIFS(İndirimler!$D$2:$D$110,İndirimler!$A$2:$A$110,B381,İndirimler!$B$2:$B$110,C381)),2),"")</x:f>
        <x:v>#NAME?</x:v>
      </x:c>
      <x:c r="J381" s="12"/>
      <x:c r="K381" s="31"/>
    </x:row>
    <x:row r="382" ht="21.950000762939453" customHeight="1">
      <x:c r="A382" s="15" t="s">
        <x:v>635</x:v>
      </x:c>
      <x:c r="B382" s="12" t="s">
        <x:v>18</x:v>
      </x:c>
      <x:c r="C382" s="12" t="s">
        <x:v>13</x:v>
      </x:c>
      <x:c r="D382" s="12" t="s">
        <x:v>535</x:v>
      </x:c>
      <x:c r="E382" s="12"/>
      <x:c r="F382" s="12" t="s">
        <x:v>16</x:v>
      </x:c>
      <x:c r="G382" s="18">
        <x:v>479</x:v>
      </x:c>
      <x:c r="H382" s="21" t="e">
        <x:f>IF(SUMIFS(İndirimler!$C$2:$C$110,İndirimler!$A$2:$A$110,B382,İndirimler!$B$2:$B$110,C382)&gt;0,ROUND(G382*(1-SUMIFS(İndirimler!$C$2:$C$110,İndirimler!$A$2:$A$110,B382,İndirimler!$B$2:$B$110,C382)),2),"")</x:f>
        <x:v>#NAME?</x:v>
      </x:c>
      <x:c r="I382" s="24" t="e">
        <x:f>IF(SUMIFS(İndirimler!$D$2:$D$110,İndirimler!$A$2:$A$110,B382,İndirimler!$B$2:$B$110,C382)&gt;0,ROUND(G382*(1-SUMIFS(İndirimler!$D$2:$D$110,İndirimler!$A$2:$A$110,B382,İndirimler!$B$2:$B$110,C382)),2),"")</x:f>
        <x:v>#NAME?</x:v>
      </x:c>
      <x:c r="J382" s="12" t="s">
        <x:v>636</x:v>
      </x:c>
      <x:c r="K382" s="31"/>
    </x:row>
    <x:row r="383" ht="21.950000762939453" customHeight="1">
      <x:c r="A383" s="15" t="s">
        <x:v>637</x:v>
      </x:c>
      <x:c r="B383" s="12" t="s">
        <x:v>541</x:v>
      </x:c>
      <x:c r="C383" s="12" t="s">
        <x:v>13</x:v>
      </x:c>
      <x:c r="D383" s="12" t="s">
        <x:v>535</x:v>
      </x:c>
      <x:c r="E383" s="12"/>
      <x:c r="F383" s="12" t="s">
        <x:v>16</x:v>
      </x:c>
      <x:c r="G383" s="18">
        <x:v>359</x:v>
      </x:c>
      <x:c r="H383" s="21" t="e">
        <x:f>IF(SUMIFS(İndirimler!$C$2:$C$110,İndirimler!$A$2:$A$110,B383,İndirimler!$B$2:$B$110,C383)&gt;0,ROUND(G383*(1-SUMIFS(İndirimler!$C$2:$C$110,İndirimler!$A$2:$A$110,B383,İndirimler!$B$2:$B$110,C383)),2),"")</x:f>
        <x:v>#NAME?</x:v>
      </x:c>
      <x:c r="I383" s="24" t="e">
        <x:f>IF(SUMIFS(İndirimler!$D$2:$D$110,İndirimler!$A$2:$A$110,B383,İndirimler!$B$2:$B$110,C383)&gt;0,ROUND(G383*(1-SUMIFS(İndirimler!$D$2:$D$110,İndirimler!$A$2:$A$110,B383,İndirimler!$B$2:$B$110,C383)),2),"")</x:f>
        <x:v>#NAME?</x:v>
      </x:c>
      <x:c r="J383" s="12"/>
      <x:c r="K383" s="31"/>
    </x:row>
    <x:row r="384" ht="21.950000762939453" customHeight="1">
      <x:c r="A384" s="15" t="s">
        <x:v>638</x:v>
      </x:c>
      <x:c r="B384" s="12" t="s">
        <x:v>23</x:v>
      </x:c>
      <x:c r="C384" s="12" t="s">
        <x:v>13</x:v>
      </x:c>
      <x:c r="D384" s="12" t="s">
        <x:v>535</x:v>
      </x:c>
      <x:c r="E384" s="12"/>
      <x:c r="F384" s="12" t="s">
        <x:v>16</x:v>
      </x:c>
      <x:c r="G384" s="18">
        <x:v>465</x:v>
      </x:c>
      <x:c r="H384" s="21" t="e">
        <x:f>IF(SUMIFS(İndirimler!$C$2:$C$110,İndirimler!$A$2:$A$110,B384,İndirimler!$B$2:$B$110,C384)&gt;0,ROUND(G384*(1-SUMIFS(İndirimler!$C$2:$C$110,İndirimler!$A$2:$A$110,B384,İndirimler!$B$2:$B$110,C384)),2),"")</x:f>
        <x:v>#NAME?</x:v>
      </x:c>
      <x:c r="I384" s="24" t="e">
        <x:f>IF(SUMIFS(İndirimler!$D$2:$D$110,İndirimler!$A$2:$A$110,B384,İndirimler!$B$2:$B$110,C384)&gt;0,ROUND(G384*(1-SUMIFS(İndirimler!$D$2:$D$110,İndirimler!$A$2:$A$110,B384,İndirimler!$B$2:$B$110,C384)),2),"")</x:f>
        <x:v>#NAME?</x:v>
      </x:c>
      <x:c r="J384" s="12"/>
      <x:c r="K384" s="31"/>
    </x:row>
    <x:row r="385" ht="21.950000762939453" customHeight="1">
      <x:c r="A385" s="15" t="s">
        <x:v>639</x:v>
      </x:c>
      <x:c r="B385" s="12" t="s">
        <x:v>50</x:v>
      </x:c>
      <x:c r="C385" s="12" t="s">
        <x:v>13</x:v>
      </x:c>
      <x:c r="D385" s="12" t="s">
        <x:v>535</x:v>
      </x:c>
      <x:c r="E385" s="12"/>
      <x:c r="F385" s="12" t="s">
        <x:v>16</x:v>
      </x:c>
      <x:c r="G385" s="18">
        <x:v>638</x:v>
      </x:c>
      <x:c r="H385" s="21" t="e">
        <x:f>IF(SUMIFS(İndirimler!$C$2:$C$110,İndirimler!$A$2:$A$110,B385,İndirimler!$B$2:$B$110,C385)&gt;0,ROUND(G385*(1-SUMIFS(İndirimler!$C$2:$C$110,İndirimler!$A$2:$A$110,B385,İndirimler!$B$2:$B$110,C385)),2),"")</x:f>
        <x:v>#NAME?</x:v>
      </x:c>
      <x:c r="I385" s="24" t="e">
        <x:f>IF(SUMIFS(İndirimler!$D$2:$D$110,İndirimler!$A$2:$A$110,B385,İndirimler!$B$2:$B$110,C385)&gt;0,ROUND(G385*(1-SUMIFS(İndirimler!$D$2:$D$110,İndirimler!$A$2:$A$110,B385,İndirimler!$B$2:$B$110,C385)),2),"")</x:f>
        <x:v>#NAME?</x:v>
      </x:c>
      <x:c r="J385" s="12"/>
      <x:c r="K385" s="31"/>
    </x:row>
    <x:row r="386" ht="21.950000762939453" customHeight="1">
      <x:c r="A386" s="15" t="s">
        <x:v>640</x:v>
      </x:c>
      <x:c r="B386" s="12" t="s">
        <x:v>38</x:v>
      </x:c>
      <x:c r="C386" s="12" t="s">
        <x:v>13</x:v>
      </x:c>
      <x:c r="D386" s="12" t="s">
        <x:v>535</x:v>
      </x:c>
      <x:c r="E386" s="12" t="s">
        <x:v>69</x:v>
      </x:c>
      <x:c r="F386" s="12" t="s">
        <x:v>16</x:v>
      </x:c>
      <x:c r="G386" s="18">
        <x:v>395</x:v>
      </x:c>
      <x:c r="H386" s="21" t="e">
        <x:f>IF(SUMIFS(İndirimler!$C$2:$C$110,İndirimler!$A$2:$A$110,B386,İndirimler!$B$2:$B$110,C386)&gt;0,ROUND(G386*(1-SUMIFS(İndirimler!$C$2:$C$110,İndirimler!$A$2:$A$110,B386,İndirimler!$B$2:$B$110,C386)),2),"")</x:f>
        <x:v>#NAME?</x:v>
      </x:c>
      <x:c r="I386" s="24" t="e">
        <x:f>IF(SUMIFS(İndirimler!$D$2:$D$110,İndirimler!$A$2:$A$110,B386,İndirimler!$B$2:$B$110,C386)&gt;0,ROUND(G386*(1-SUMIFS(İndirimler!$D$2:$D$110,İndirimler!$A$2:$A$110,B386,İndirimler!$B$2:$B$110,C386)),2),"")</x:f>
        <x:v>#NAME?</x:v>
      </x:c>
      <x:c r="J386" s="12"/>
      <x:c r="K386" s="31"/>
    </x:row>
    <x:row r="387" ht="21.950000762939453" customHeight="1">
      <x:c r="A387" s="15" t="s">
        <x:v>641</x:v>
      </x:c>
      <x:c r="B387" s="12" t="s">
        <x:v>32</x:v>
      </x:c>
      <x:c r="C387" s="12" t="s">
        <x:v>33</x:v>
      </x:c>
      <x:c r="D387" s="12" t="s">
        <x:v>642</x:v>
      </x:c>
      <x:c r="E387" s="12"/>
      <x:c r="F387" s="12" t="s">
        <x:v>35</x:v>
      </x:c>
      <x:c r="G387" s="18">
        <x:v>499</x:v>
      </x:c>
      <x:c r="H387" s="21" t="e">
        <x:f>IF(SUMIFS(İndirimler!$C$2:$C$110,İndirimler!$A$2:$A$110,B387,İndirimler!$B$2:$B$110,C387)&gt;0,ROUND(G387*(1-SUMIFS(İndirimler!$C$2:$C$110,İndirimler!$A$2:$A$110,B387,İndirimler!$B$2:$B$110,C387)),2),"")</x:f>
        <x:v>#NAME?</x:v>
      </x:c>
      <x:c r="I387" s="24" t="e">
        <x:f>IF(SUMIFS(İndirimler!$D$2:$D$110,İndirimler!$A$2:$A$110,B387,İndirimler!$B$2:$B$110,C387)&gt;0,ROUND(G387*(1-SUMIFS(İndirimler!$D$2:$D$110,İndirimler!$A$2:$A$110,B387,İndirimler!$B$2:$B$110,C387)),2),"")</x:f>
        <x:v>#NAME?</x:v>
      </x:c>
      <x:c r="J387" s="30" t="s">
        <x:v>643</x:v>
      </x:c>
      <x:c r="K387" s="31"/>
    </x:row>
    <x:row r="388" ht="21.950000762939453" customHeight="1">
      <x:c r="A388" s="15" t="s">
        <x:v>644</x:v>
      </x:c>
      <x:c r="B388" s="12" t="s">
        <x:v>38</x:v>
      </x:c>
      <x:c r="C388" s="12" t="s">
        <x:v>33</x:v>
      </x:c>
      <x:c r="D388" s="12" t="s">
        <x:v>642</x:v>
      </x:c>
      <x:c r="E388" s="12"/>
      <x:c r="F388" s="12" t="s">
        <x:v>35</x:v>
      </x:c>
      <x:c r="G388" s="18">
        <x:v>539</x:v>
      </x:c>
      <x:c r="H388" s="21" t="e">
        <x:f>IF(SUMIFS(İndirimler!$C$2:$C$110,İndirimler!$A$2:$A$110,B388,İndirimler!$B$2:$B$110,C388)&gt;0,ROUND(G388*(1-SUMIFS(İndirimler!$C$2:$C$110,İndirimler!$A$2:$A$110,B388,İndirimler!$B$2:$B$110,C388)),2),"")</x:f>
        <x:v>#NAME?</x:v>
      </x:c>
      <x:c r="I388" s="24" t="e">
        <x:f>IF(SUMIFS(İndirimler!$D$2:$D$110,İndirimler!$A$2:$A$110,B388,İndirimler!$B$2:$B$110,C388)&gt;0,ROUND(G388*(1-SUMIFS(İndirimler!$D$2:$D$110,İndirimler!$A$2:$A$110,B388,İndirimler!$B$2:$B$110,C388)),2),"")</x:f>
        <x:v>#NAME?</x:v>
      </x:c>
      <x:c r="J388" s="12" t="s">
        <x:v>645</x:v>
      </x:c>
      <x:c r="K388" s="31"/>
    </x:row>
    <x:row r="389" ht="21.950000762939453" customHeight="1">
      <x:c r="A389" s="15" t="s">
        <x:v>646</x:v>
      </x:c>
      <x:c r="B389" s="12" t="s">
        <x:v>44</x:v>
      </x:c>
      <x:c r="C389" s="12" t="s">
        <x:v>33</x:v>
      </x:c>
      <x:c r="D389" s="12" t="s">
        <x:v>642</x:v>
      </x:c>
      <x:c r="E389" s="12" t="s">
        <x:v>45</x:v>
      </x:c>
      <x:c r="F389" s="12" t="s">
        <x:v>42</x:v>
      </x:c>
      <x:c r="G389" s="18">
        <x:v>274</x:v>
      </x:c>
      <x:c r="H389" s="21" t="e">
        <x:f>IF(SUMIFS(İndirimler!$C$2:$C$110,İndirimler!$A$2:$A$110,B389,İndirimler!$B$2:$B$110,C389)&gt;0,ROUND(G389*(1-SUMIFS(İndirimler!$C$2:$C$110,İndirimler!$A$2:$A$110,B389,İndirimler!$B$2:$B$110,C389)),2),"")</x:f>
        <x:v>#NAME?</x:v>
      </x:c>
      <x:c r="I389" s="24" t="e">
        <x:f>IF(SUMIFS(İndirimler!$D$2:$D$110,İndirimler!$A$2:$A$110,B389,İndirimler!$B$2:$B$110,C389)&gt;0,ROUND(G389*(1-SUMIFS(İndirimler!$D$2:$D$110,İndirimler!$A$2:$A$110,B389,İndirimler!$B$2:$B$110,C389)),2),"")</x:f>
        <x:v>#NAME?</x:v>
      </x:c>
      <x:c r="J389" s="12" t="s">
        <x:v>647</x:v>
      </x:c>
      <x:c r="K389" s="31"/>
    </x:row>
    <x:row r="390" ht="21.950000762939453" customHeight="1">
      <x:c r="A390" s="15" t="s">
        <x:v>648</x:v>
      </x:c>
      <x:c r="B390" s="12" t="s">
        <x:v>23</x:v>
      </x:c>
      <x:c r="C390" s="12" t="s">
        <x:v>33</x:v>
      </x:c>
      <x:c r="D390" s="12" t="s">
        <x:v>642</x:v>
      </x:c>
      <x:c r="E390" s="12"/>
      <x:c r="F390" s="12" t="s">
        <x:v>42</x:v>
      </x:c>
      <x:c r="G390" s="18">
        <x:v>548</x:v>
      </x:c>
      <x:c r="H390" s="21" t="e">
        <x:f>IF(SUMIFS(İndirimler!$C$2:$C$110,İndirimler!$A$2:$A$110,B390,İndirimler!$B$2:$B$110,C390)&gt;0,ROUND(G390*(1-SUMIFS(İndirimler!$C$2:$C$110,İndirimler!$A$2:$A$110,B390,İndirimler!$B$2:$B$110,C390)),2),"")</x:f>
        <x:v>#NAME?</x:v>
      </x:c>
      <x:c r="I390" s="24" t="e">
        <x:f>IF(SUMIFS(İndirimler!$D$2:$D$110,İndirimler!$A$2:$A$110,B390,İndirimler!$B$2:$B$110,C390)&gt;0,ROUND(G390*(1-SUMIFS(İndirimler!$D$2:$D$110,İndirimler!$A$2:$A$110,B390,İndirimler!$B$2:$B$110,C390)),2),"")</x:f>
        <x:v>#NAME?</x:v>
      </x:c>
      <x:c r="J390" s="12" t="s">
        <x:v>649</x:v>
      </x:c>
      <x:c r="K390" s="31"/>
    </x:row>
    <x:row r="391" ht="21.950000762939453" customHeight="1">
      <x:c r="A391" s="15" t="s">
        <x:v>650</x:v>
      </x:c>
      <x:c r="B391" s="12" t="s">
        <x:v>55</x:v>
      </x:c>
      <x:c r="C391" s="12" t="s">
        <x:v>33</x:v>
      </x:c>
      <x:c r="D391" s="12" t="s">
        <x:v>642</x:v>
      </x:c>
      <x:c r="E391" s="12"/>
      <x:c r="F391" s="12" t="s">
        <x:v>16</x:v>
      </x:c>
      <x:c r="G391" s="18">
        <x:v>346</x:v>
      </x:c>
      <x:c r="H391" s="21" t="e">
        <x:f>IF(SUMIFS(İndirimler!$C$2:$C$110,İndirimler!$A$2:$A$110,B391,İndirimler!$B$2:$B$110,C391)&gt;0,ROUND(G391*(1-SUMIFS(İndirimler!$C$2:$C$110,İndirimler!$A$2:$A$110,B391,İndirimler!$B$2:$B$110,C391)),2),"")</x:f>
        <x:v>#NAME?</x:v>
      </x:c>
      <x:c r="I391" s="24" t="e">
        <x:f>IF(SUMIFS(İndirimler!$D$2:$D$110,İndirimler!$A$2:$A$110,B391,İndirimler!$B$2:$B$110,C391)&gt;0,ROUND(G391*(1-SUMIFS(İndirimler!$D$2:$D$110,İndirimler!$A$2:$A$110,B391,İndirimler!$B$2:$B$110,C391)),2),"")</x:f>
        <x:v>#NAME?</x:v>
      </x:c>
      <x:c r="J391" s="12" t="s">
        <x:v>651</x:v>
      </x:c>
      <x:c r="K391" s="31"/>
    </x:row>
    <x:row r="392" ht="21.950000762939453" customHeight="1">
      <x:c r="A392" s="15" t="s">
        <x:v>652</x:v>
      </x:c>
      <x:c r="B392" s="12" t="s">
        <x:v>653</x:v>
      </x:c>
      <x:c r="C392" s="12" t="s">
        <x:v>33</x:v>
      </x:c>
      <x:c r="D392" s="12" t="s">
        <x:v>642</x:v>
      </x:c>
      <x:c r="E392" s="12"/>
      <x:c r="F392" s="12" t="s">
        <x:v>16</x:v>
      </x:c>
      <x:c r="G392" s="18">
        <x:v>249</x:v>
      </x:c>
      <x:c r="H392" s="21" t="e">
        <x:f>IF(SUMIFS(İndirimler!$C$2:$C$110,İndirimler!$A$2:$A$110,B392,İndirimler!$B$2:$B$110,C392)&gt;0,ROUND(G392*(1-SUMIFS(İndirimler!$C$2:$C$110,İndirimler!$A$2:$A$110,B392,İndirimler!$B$2:$B$110,C392)),2),"")</x:f>
        <x:v>#NAME?</x:v>
      </x:c>
      <x:c r="I392" s="24" t="e">
        <x:f>IF(SUMIFS(İndirimler!$D$2:$D$110,İndirimler!$A$2:$A$110,B392,İndirimler!$B$2:$B$110,C392)&gt;0,ROUND(G392*(1-SUMIFS(İndirimler!$D$2:$D$110,İndirimler!$A$2:$A$110,B392,İndirimler!$B$2:$B$110,C392)),2),"")</x:f>
        <x:v>#NAME?</x:v>
      </x:c>
      <x:c r="J392" s="12"/>
      <x:c r="K392" s="31"/>
    </x:row>
    <x:row r="393" ht="21.950000762939453" customHeight="1">
      <x:c r="A393" s="15" t="s">
        <x:v>654</x:v>
      </x:c>
      <x:c r="B393" s="12" t="s">
        <x:v>18</x:v>
      </x:c>
      <x:c r="C393" s="12" t="s">
        <x:v>33</x:v>
      </x:c>
      <x:c r="D393" s="12" t="s">
        <x:v>642</x:v>
      </x:c>
      <x:c r="E393" s="12"/>
      <x:c r="F393" s="12" t="s">
        <x:v>16</x:v>
      </x:c>
      <x:c r="G393" s="18">
        <x:v>359</x:v>
      </x:c>
      <x:c r="H393" s="21" t="e">
        <x:f>IF(SUMIFS(İndirimler!$C$2:$C$110,İndirimler!$A$2:$A$110,B393,İndirimler!$B$2:$B$110,C393)&gt;0,ROUND(G393*(1-SUMIFS(İndirimler!$C$2:$C$110,İndirimler!$A$2:$A$110,B393,İndirimler!$B$2:$B$110,C393)),2),"")</x:f>
        <x:v>#NAME?</x:v>
      </x:c>
      <x:c r="I393" s="24" t="e">
        <x:f>IF(SUMIFS(İndirimler!$D$2:$D$110,İndirimler!$A$2:$A$110,B393,İndirimler!$B$2:$B$110,C393)&gt;0,ROUND(G393*(1-SUMIFS(İndirimler!$D$2:$D$110,İndirimler!$A$2:$A$110,B393,İndirimler!$B$2:$B$110,C393)),2),"")</x:f>
        <x:v>#NAME?</x:v>
      </x:c>
      <x:c r="J393" s="30" t="s">
        <x:v>655</x:v>
      </x:c>
      <x:c r="K393" s="31"/>
    </x:row>
    <x:row r="394" ht="21.950000762939453" customHeight="1">
      <x:c r="A394" s="15" t="s">
        <x:v>656</x:v>
      </x:c>
      <x:c r="B394" s="12" t="s">
        <x:v>44</x:v>
      </x:c>
      <x:c r="C394" s="12" t="s">
        <x:v>33</x:v>
      </x:c>
      <x:c r="D394" s="12" t="s">
        <x:v>642</x:v>
      </x:c>
      <x:c r="E394" s="12" t="s">
        <x:v>60</x:v>
      </x:c>
      <x:c r="F394" s="12" t="s">
        <x:v>16</x:v>
      </x:c>
      <x:c r="G394" s="18">
        <x:v>274</x:v>
      </x:c>
      <x:c r="H394" s="21" t="e">
        <x:f>IF(SUMIFS(İndirimler!$C$2:$C$110,İndirimler!$A$2:$A$110,B394,İndirimler!$B$2:$B$110,C394)&gt;0,ROUND(G394*(1-SUMIFS(İndirimler!$C$2:$C$110,İndirimler!$A$2:$A$110,B394,İndirimler!$B$2:$B$110,C394)),2),"")</x:f>
        <x:v>#NAME?</x:v>
      </x:c>
      <x:c r="I394" s="24" t="e">
        <x:f>IF(SUMIFS(İndirimler!$D$2:$D$110,İndirimler!$A$2:$A$110,B394,İndirimler!$B$2:$B$110,C394)&gt;0,ROUND(G394*(1-SUMIFS(İndirimler!$D$2:$D$110,İndirimler!$A$2:$A$110,B394,İndirimler!$B$2:$B$110,C394)),2),"")</x:f>
        <x:v>#NAME?</x:v>
      </x:c>
      <x:c r="J394" s="12" t="s">
        <x:v>657</x:v>
      </x:c>
      <x:c r="K394" s="31"/>
    </x:row>
    <x:row r="395" ht="21.950000762939453" customHeight="1">
      <x:c r="A395" s="15" t="s">
        <x:v>658</x:v>
      </x:c>
      <x:c r="B395" s="12" t="s">
        <x:v>63</x:v>
      </x:c>
      <x:c r="C395" s="12" t="s">
        <x:v>33</x:v>
      </x:c>
      <x:c r="D395" s="12" t="s">
        <x:v>642</x:v>
      </x:c>
      <x:c r="E395" s="12" t="s">
        <x:v>64</x:v>
      </x:c>
      <x:c r="F395" s="12" t="s">
        <x:v>16</x:v>
      </x:c>
      <x:c r="G395" s="18">
        <x:v>429</x:v>
      </x:c>
      <x:c r="H395" s="21" t="e">
        <x:f>IF(SUMIFS(İndirimler!$C$2:$C$110,İndirimler!$A$2:$A$110,B395,İndirimler!$B$2:$B$110,C395)&gt;0,ROUND(G395*(1-SUMIFS(İndirimler!$C$2:$C$110,İndirimler!$A$2:$A$110,B395,İndirimler!$B$2:$B$110,C395)),2),"")</x:f>
        <x:v>#NAME?</x:v>
      </x:c>
      <x:c r="I395" s="24" t="e">
        <x:f>IF(SUMIFS(İndirimler!$D$2:$D$110,İndirimler!$A$2:$A$110,B395,İndirimler!$B$2:$B$110,C395)&gt;0,ROUND(G395*(1-SUMIFS(İndirimler!$D$2:$D$110,İndirimler!$A$2:$A$110,B395,İndirimler!$B$2:$B$110,C395)),2),"")</x:f>
        <x:v>#NAME?</x:v>
      </x:c>
      <x:c r="J395" s="12" t="s">
        <x:v>659</x:v>
      </x:c>
      <x:c r="K395" s="31"/>
    </x:row>
    <x:row r="396" ht="21.950000762939453" customHeight="1">
      <x:c r="A396" s="15" t="s">
        <x:v>660</x:v>
      </x:c>
      <x:c r="B396" s="12" t="s">
        <x:v>23</x:v>
      </x:c>
      <x:c r="C396" s="12" t="s">
        <x:v>33</x:v>
      </x:c>
      <x:c r="D396" s="12" t="s">
        <x:v>642</x:v>
      </x:c>
      <x:c r="E396" s="12"/>
      <x:c r="F396" s="12" t="s">
        <x:v>16</x:v>
      </x:c>
      <x:c r="G396" s="18">
        <x:v>548</x:v>
      </x:c>
      <x:c r="H396" s="21" t="e">
        <x:f>IF(SUMIFS(İndirimler!$C$2:$C$110,İndirimler!$A$2:$A$110,B396,İndirimler!$B$2:$B$110,C396)&gt;0,ROUND(G396*(1-SUMIFS(İndirimler!$C$2:$C$110,İndirimler!$A$2:$A$110,B396,İndirimler!$B$2:$B$110,C396)),2),"")</x:f>
        <x:v>#NAME?</x:v>
      </x:c>
      <x:c r="I396" s="24" t="e">
        <x:f>IF(SUMIFS(İndirimler!$D$2:$D$110,İndirimler!$A$2:$A$110,B396,İndirimler!$B$2:$B$110,C396)&gt;0,ROUND(G396*(1-SUMIFS(İndirimler!$D$2:$D$110,İndirimler!$A$2:$A$110,B396,İndirimler!$B$2:$B$110,C396)),2),"")</x:f>
        <x:v>#NAME?</x:v>
      </x:c>
      <x:c r="J396" s="12" t="s">
        <x:v>661</x:v>
      </x:c>
      <x:c r="K396" s="31"/>
    </x:row>
    <x:row r="397" ht="21.950000762939453" customHeight="1">
      <x:c r="A397" s="15" t="s">
        <x:v>662</x:v>
      </x:c>
      <x:c r="B397" s="12" t="s">
        <x:v>50</x:v>
      </x:c>
      <x:c r="C397" s="12" t="s">
        <x:v>33</x:v>
      </x:c>
      <x:c r="D397" s="12" t="s">
        <x:v>642</x:v>
      </x:c>
      <x:c r="E397" s="12" t="s">
        <x:v>69</x:v>
      </x:c>
      <x:c r="F397" s="12" t="s">
        <x:v>16</x:v>
      </x:c>
      <x:c r="G397" s="18">
        <x:v>440</x:v>
      </x:c>
      <x:c r="H397" s="21" t="e">
        <x:f>IF(SUMIFS(İndirimler!$C$2:$C$110,İndirimler!$A$2:$A$110,B397,İndirimler!$B$2:$B$110,C397)&gt;0,ROUND(G397*(1-SUMIFS(İndirimler!$C$2:$C$110,İndirimler!$A$2:$A$110,B397,İndirimler!$B$2:$B$110,C397)),2),"")</x:f>
        <x:v>#NAME?</x:v>
      </x:c>
      <x:c r="I397" s="24" t="e">
        <x:f>IF(SUMIFS(İndirimler!$D$2:$D$110,İndirimler!$A$2:$A$110,B397,İndirimler!$B$2:$B$110,C397)&gt;0,ROUND(G397*(1-SUMIFS(İndirimler!$D$2:$D$110,İndirimler!$A$2:$A$110,B397,İndirimler!$B$2:$B$110,C397)),2),"")</x:f>
        <x:v>#NAME?</x:v>
      </x:c>
      <x:c r="J397" s="12"/>
      <x:c r="K397" s="31"/>
    </x:row>
    <x:row r="398" ht="21.950000762939453" customHeight="1">
      <x:c r="A398" s="15" t="s">
        <x:v>663</x:v>
      </x:c>
      <x:c r="B398" s="12" t="s">
        <x:v>38</x:v>
      </x:c>
      <x:c r="C398" s="12" t="s">
        <x:v>33</x:v>
      </x:c>
      <x:c r="D398" s="12" t="s">
        <x:v>642</x:v>
      </x:c>
      <x:c r="E398" s="12" t="s">
        <x:v>69</x:v>
      </x:c>
      <x:c r="F398" s="12" t="s">
        <x:v>16</x:v>
      </x:c>
      <x:c r="G398" s="18">
        <x:v>295</x:v>
      </x:c>
      <x:c r="H398" s="21" t="e">
        <x:f>IF(SUMIFS(İndirimler!$C$2:$C$110,İndirimler!$A$2:$A$110,B398,İndirimler!$B$2:$B$110,C398)&gt;0,ROUND(G398*(1-SUMIFS(İndirimler!$C$2:$C$110,İndirimler!$A$2:$A$110,B398,İndirimler!$B$2:$B$110,C398)),2),"")</x:f>
        <x:v>#NAME?</x:v>
      </x:c>
      <x:c r="I398" s="24" t="e">
        <x:f>IF(SUMIFS(İndirimler!$D$2:$D$110,İndirimler!$A$2:$A$110,B398,İndirimler!$B$2:$B$110,C398)&gt;0,ROUND(G398*(1-SUMIFS(İndirimler!$D$2:$D$110,İndirimler!$A$2:$A$110,B398,İndirimler!$B$2:$B$110,C398)),2),"")</x:f>
        <x:v>#NAME?</x:v>
      </x:c>
      <x:c r="J398" s="12"/>
      <x:c r="K398" s="31"/>
    </x:row>
    <x:row r="399" ht="21.950000762939453" customHeight="1">
      <x:c r="A399" s="15" t="s">
        <x:v>664</x:v>
      </x:c>
      <x:c r="B399" s="12" t="s">
        <x:v>72</x:v>
      </x:c>
      <x:c r="C399" s="12" t="s">
        <x:v>33</x:v>
      </x:c>
      <x:c r="D399" s="12" t="s">
        <x:v>642</x:v>
      </x:c>
      <x:c r="E399" s="12"/>
      <x:c r="F399" s="12" t="s">
        <x:v>73</x:v>
      </x:c>
      <x:c r="G399" s="18">
        <x:v>479</x:v>
      </x:c>
      <x:c r="H399" s="21" t="e">
        <x:f>IF(SUMIFS(İndirimler!$C$2:$C$110,İndirimler!$A$2:$A$110,B399,İndirimler!$B$2:$B$110,C399)&gt;0,ROUND(G399*(1-SUMIFS(İndirimler!$C$2:$C$110,İndirimler!$A$2:$A$110,B399,İndirimler!$B$2:$B$110,C399)),2),"")</x:f>
        <x:v>#NAME?</x:v>
      </x:c>
      <x:c r="I399" s="24" t="e">
        <x:f>IF(SUMIFS(İndirimler!$D$2:$D$110,İndirimler!$A$2:$A$110,B399,İndirimler!$B$2:$B$110,C399)&gt;0,ROUND(G399*(1-SUMIFS(İndirimler!$D$2:$D$110,İndirimler!$A$2:$A$110,B399,İndirimler!$B$2:$B$110,C399)),2),"")</x:f>
        <x:v>#NAME?</x:v>
      </x:c>
      <x:c r="J399" s="12"/>
      <x:c r="K399" s="31"/>
    </x:row>
    <x:row r="400" ht="21.950000762939453" customHeight="1">
      <x:c r="A400" s="15" t="s">
        <x:v>665</x:v>
      </x:c>
      <x:c r="B400" s="12" t="s">
        <x:v>38</x:v>
      </x:c>
      <x:c r="C400" s="12" t="s">
        <x:v>76</x:v>
      </x:c>
      <x:c r="D400" s="12" t="s">
        <x:v>642</x:v>
      </x:c>
      <x:c r="E400" s="12"/>
      <x:c r="F400" s="12" t="s">
        <x:v>35</x:v>
      </x:c>
      <x:c r="G400" s="18">
        <x:v>779</x:v>
      </x:c>
      <x:c r="H400" s="21" t="e">
        <x:f>IF(SUMIFS(İndirimler!$C$2:$C$110,İndirimler!$A$2:$A$110,B400,İndirimler!$B$2:$B$110,C400)&gt;0,ROUND(G400*(1-SUMIFS(İndirimler!$C$2:$C$110,İndirimler!$A$2:$A$110,B400,İndirimler!$B$2:$B$110,C400)),2),"")</x:f>
        <x:v>#NAME?</x:v>
      </x:c>
      <x:c r="I400" s="24" t="e">
        <x:f>IF(SUMIFS(İndirimler!$D$2:$D$110,İndirimler!$A$2:$A$110,B400,İndirimler!$B$2:$B$110,C400)&gt;0,ROUND(G400*(1-SUMIFS(İndirimler!$D$2:$D$110,İndirimler!$A$2:$A$110,B400,İndirimler!$B$2:$B$110,C400)),2),"")</x:f>
        <x:v>#NAME?</x:v>
      </x:c>
      <x:c r="J400" s="12" t="s">
        <x:v>666</x:v>
      </x:c>
      <x:c r="K400" s="31"/>
    </x:row>
    <x:row r="401" ht="21.950000762939453" customHeight="1">
      <x:c r="A401" s="15" t="s">
        <x:v>667</x:v>
      </x:c>
      <x:c r="B401" s="12" t="s">
        <x:v>44</x:v>
      </x:c>
      <x:c r="C401" s="12" t="s">
        <x:v>76</x:v>
      </x:c>
      <x:c r="D401" s="12" t="s">
        <x:v>642</x:v>
      </x:c>
      <x:c r="E401" s="12" t="s">
        <x:v>45</x:v>
      </x:c>
      <x:c r="F401" s="12" t="s">
        <x:v>42</x:v>
      </x:c>
      <x:c r="G401" s="18">
        <x:v>274</x:v>
      </x:c>
      <x:c r="H401" s="21" t="e">
        <x:f>IF(SUMIFS(İndirimler!$C$2:$C$110,İndirimler!$A$2:$A$110,B401,İndirimler!$B$2:$B$110,C401)&gt;0,ROUND(G401*(1-SUMIFS(İndirimler!$C$2:$C$110,İndirimler!$A$2:$A$110,B401,İndirimler!$B$2:$B$110,C401)),2),"")</x:f>
        <x:v>#NAME?</x:v>
      </x:c>
      <x:c r="I401" s="24" t="e">
        <x:f>IF(SUMIFS(İndirimler!$D$2:$D$110,İndirimler!$A$2:$A$110,B401,İndirimler!$B$2:$B$110,C401)&gt;0,ROUND(G401*(1-SUMIFS(İndirimler!$D$2:$D$110,İndirimler!$A$2:$A$110,B401,İndirimler!$B$2:$B$110,C401)),2),"")</x:f>
        <x:v>#NAME?</x:v>
      </x:c>
      <x:c r="J401" s="12" t="s">
        <x:v>668</x:v>
      </x:c>
      <x:c r="K401" s="31"/>
    </x:row>
    <x:row r="402" ht="21.950000762939453" customHeight="1">
      <x:c r="A402" s="15" t="s">
        <x:v>669</x:v>
      </x:c>
      <x:c r="B402" s="12" t="s">
        <x:v>23</x:v>
      </x:c>
      <x:c r="C402" s="12" t="s">
        <x:v>76</x:v>
      </x:c>
      <x:c r="D402" s="12" t="s">
        <x:v>642</x:v>
      </x:c>
      <x:c r="E402" s="12"/>
      <x:c r="F402" s="12" t="s">
        <x:v>42</x:v>
      </x:c>
      <x:c r="G402" s="18">
        <x:v>608</x:v>
      </x:c>
      <x:c r="H402" s="21" t="e">
        <x:f>IF(SUMIFS(İndirimler!$C$2:$C$110,İndirimler!$A$2:$A$110,B402,İndirimler!$B$2:$B$110,C402)&gt;0,ROUND(G402*(1-SUMIFS(İndirimler!$C$2:$C$110,İndirimler!$A$2:$A$110,B402,İndirimler!$B$2:$B$110,C402)),2),"")</x:f>
        <x:v>#NAME?</x:v>
      </x:c>
      <x:c r="I402" s="24" t="e">
        <x:f>IF(SUMIFS(İndirimler!$D$2:$D$110,İndirimler!$A$2:$A$110,B402,İndirimler!$B$2:$B$110,C402)&gt;0,ROUND(G402*(1-SUMIFS(İndirimler!$D$2:$D$110,İndirimler!$A$2:$A$110,B402,İndirimler!$B$2:$B$110,C402)),2),"")</x:f>
        <x:v>#NAME?</x:v>
      </x:c>
      <x:c r="J402" s="12" t="s">
        <x:v>670</x:v>
      </x:c>
      <x:c r="K402" s="31"/>
    </x:row>
    <x:row r="403" ht="21.950000762939453" customHeight="1">
      <x:c r="A403" s="15" t="s">
        <x:v>671</x:v>
      </x:c>
      <x:c r="B403" s="12" t="s">
        <x:v>55</x:v>
      </x:c>
      <x:c r="C403" s="12" t="s">
        <x:v>76</x:v>
      </x:c>
      <x:c r="D403" s="12" t="s">
        <x:v>642</x:v>
      </x:c>
      <x:c r="E403" s="12"/>
      <x:c r="F403" s="12" t="s">
        <x:v>16</x:v>
      </x:c>
      <x:c r="G403" s="18">
        <x:v>366</x:v>
      </x:c>
      <x:c r="H403" s="21" t="e">
        <x:f>IF(SUMIFS(İndirimler!$C$2:$C$110,İndirimler!$A$2:$A$110,B403,İndirimler!$B$2:$B$110,C403)&gt;0,ROUND(G403*(1-SUMIFS(İndirimler!$C$2:$C$110,İndirimler!$A$2:$A$110,B403,İndirimler!$B$2:$B$110,C403)),2),"")</x:f>
        <x:v>#NAME?</x:v>
      </x:c>
      <x:c r="I403" s="24" t="e">
        <x:f>IF(SUMIFS(İndirimler!$D$2:$D$110,İndirimler!$A$2:$A$110,B403,İndirimler!$B$2:$B$110,C403)&gt;0,ROUND(G403*(1-SUMIFS(İndirimler!$D$2:$D$110,İndirimler!$A$2:$A$110,B403,İndirimler!$B$2:$B$110,C403)),2),"")</x:f>
        <x:v>#NAME?</x:v>
      </x:c>
      <x:c r="J403" s="12" t="s">
        <x:v>672</x:v>
      </x:c>
      <x:c r="K403" s="31"/>
    </x:row>
    <x:row r="404" ht="21.950000762939453" customHeight="1">
      <x:c r="A404" s="15" t="s">
        <x:v>673</x:v>
      </x:c>
      <x:c r="B404" s="12" t="s">
        <x:v>653</x:v>
      </x:c>
      <x:c r="C404" s="12" t="s">
        <x:v>76</x:v>
      </x:c>
      <x:c r="D404" s="12" t="s">
        <x:v>642</x:v>
      </x:c>
      <x:c r="E404" s="12"/>
      <x:c r="F404" s="12" t="s">
        <x:v>16</x:v>
      </x:c>
      <x:c r="G404" s="18">
        <x:v>295</x:v>
      </x:c>
      <x:c r="H404" s="21" t="e">
        <x:f>IF(SUMIFS(İndirimler!$C$2:$C$110,İndirimler!$A$2:$A$110,B404,İndirimler!$B$2:$B$110,C404)&gt;0,ROUND(G404*(1-SUMIFS(İndirimler!$C$2:$C$110,İndirimler!$A$2:$A$110,B404,İndirimler!$B$2:$B$110,C404)),2),"")</x:f>
        <x:v>#NAME?</x:v>
      </x:c>
      <x:c r="I404" s="24" t="e">
        <x:f>IF(SUMIFS(İndirimler!$D$2:$D$110,İndirimler!$A$2:$A$110,B404,İndirimler!$B$2:$B$110,C404)&gt;0,ROUND(G404*(1-SUMIFS(İndirimler!$D$2:$D$110,İndirimler!$A$2:$A$110,B404,İndirimler!$B$2:$B$110,C404)),2),"")</x:f>
        <x:v>#NAME?</x:v>
      </x:c>
      <x:c r="J404" s="12"/>
      <x:c r="K404" s="31"/>
    </x:row>
    <x:row r="405" ht="21.950000762939453" customHeight="1">
      <x:c r="A405" s="15" t="s">
        <x:v>674</x:v>
      </x:c>
      <x:c r="B405" s="12" t="s">
        <x:v>18</x:v>
      </x:c>
      <x:c r="C405" s="12" t="s">
        <x:v>76</x:v>
      </x:c>
      <x:c r="D405" s="12" t="s">
        <x:v>642</x:v>
      </x:c>
      <x:c r="E405" s="12"/>
      <x:c r="F405" s="12" t="s">
        <x:v>16</x:v>
      </x:c>
      <x:c r="G405" s="18">
        <x:v>385</x:v>
      </x:c>
      <x:c r="H405" s="21" t="e">
        <x:f>IF(SUMIFS(İndirimler!$C$2:$C$110,İndirimler!$A$2:$A$110,B405,İndirimler!$B$2:$B$110,C405)&gt;0,ROUND(G405*(1-SUMIFS(İndirimler!$C$2:$C$110,İndirimler!$A$2:$A$110,B405,İndirimler!$B$2:$B$110,C405)),2),"")</x:f>
        <x:v>#NAME?</x:v>
      </x:c>
      <x:c r="I405" s="24" t="e">
        <x:f>IF(SUMIFS(İndirimler!$D$2:$D$110,İndirimler!$A$2:$A$110,B405,İndirimler!$B$2:$B$110,C405)&gt;0,ROUND(G405*(1-SUMIFS(İndirimler!$D$2:$D$110,İndirimler!$A$2:$A$110,B405,İndirimler!$B$2:$B$110,C405)),2),"")</x:f>
        <x:v>#NAME?</x:v>
      </x:c>
      <x:c r="J405" s="30" t="s">
        <x:v>675</x:v>
      </x:c>
      <x:c r="K405" s="31"/>
    </x:row>
    <x:row r="406" ht="21.950000762939453" customHeight="1">
      <x:c r="A406" s="15" t="s">
        <x:v>676</x:v>
      </x:c>
      <x:c r="B406" s="12" t="s">
        <x:v>44</x:v>
      </x:c>
      <x:c r="C406" s="12" t="s">
        <x:v>76</x:v>
      </x:c>
      <x:c r="D406" s="12" t="s">
        <x:v>642</x:v>
      </x:c>
      <x:c r="E406" s="12" t="s">
        <x:v>60</x:v>
      </x:c>
      <x:c r="F406" s="12" t="s">
        <x:v>16</x:v>
      </x:c>
      <x:c r="G406" s="18">
        <x:v>274</x:v>
      </x:c>
      <x:c r="H406" s="21" t="e">
        <x:f>IF(SUMIFS(İndirimler!$C$2:$C$110,İndirimler!$A$2:$A$110,B406,İndirimler!$B$2:$B$110,C406)&gt;0,ROUND(G406*(1-SUMIFS(İndirimler!$C$2:$C$110,İndirimler!$A$2:$A$110,B406,İndirimler!$B$2:$B$110,C406)),2),"")</x:f>
        <x:v>#NAME?</x:v>
      </x:c>
      <x:c r="I406" s="24" t="e">
        <x:f>IF(SUMIFS(İndirimler!$D$2:$D$110,İndirimler!$A$2:$A$110,B406,İndirimler!$B$2:$B$110,C406)&gt;0,ROUND(G406*(1-SUMIFS(İndirimler!$D$2:$D$110,İndirimler!$A$2:$A$110,B406,İndirimler!$B$2:$B$110,C406)),2),"")</x:f>
        <x:v>#NAME?</x:v>
      </x:c>
      <x:c r="J406" s="12" t="s">
        <x:v>677</x:v>
      </x:c>
      <x:c r="K406" s="31"/>
    </x:row>
    <x:row r="407" ht="21.950000762939453" customHeight="1">
      <x:c r="A407" s="15" t="s">
        <x:v>678</x:v>
      </x:c>
      <x:c r="B407" s="12" t="s">
        <x:v>63</x:v>
      </x:c>
      <x:c r="C407" s="12" t="s">
        <x:v>76</x:v>
      </x:c>
      <x:c r="D407" s="12" t="s">
        <x:v>642</x:v>
      </x:c>
      <x:c r="E407" s="12" t="s">
        <x:v>64</x:v>
      </x:c>
      <x:c r="F407" s="12" t="s">
        <x:v>16</x:v>
      </x:c>
      <x:c r="G407" s="18">
        <x:v>429</x:v>
      </x:c>
      <x:c r="H407" s="21" t="e">
        <x:f>IF(SUMIFS(İndirimler!$C$2:$C$110,İndirimler!$A$2:$A$110,B407,İndirimler!$B$2:$B$110,C407)&gt;0,ROUND(G407*(1-SUMIFS(İndirimler!$C$2:$C$110,İndirimler!$A$2:$A$110,B407,İndirimler!$B$2:$B$110,C407)),2),"")</x:f>
        <x:v>#NAME?</x:v>
      </x:c>
      <x:c r="I407" s="24" t="e">
        <x:f>IF(SUMIFS(İndirimler!$D$2:$D$110,İndirimler!$A$2:$A$110,B407,İndirimler!$B$2:$B$110,C407)&gt;0,ROUND(G407*(1-SUMIFS(İndirimler!$D$2:$D$110,İndirimler!$A$2:$A$110,B407,İndirimler!$B$2:$B$110,C407)),2),"")</x:f>
        <x:v>#NAME?</x:v>
      </x:c>
      <x:c r="J407" s="12" t="s">
        <x:v>679</x:v>
      </x:c>
      <x:c r="K407" s="31"/>
    </x:row>
    <x:row r="408" ht="21.950000762939453" customHeight="1">
      <x:c r="A408" s="15" t="s">
        <x:v>680</x:v>
      </x:c>
      <x:c r="B408" s="12" t="s">
        <x:v>23</x:v>
      </x:c>
      <x:c r="C408" s="12" t="s">
        <x:v>76</x:v>
      </x:c>
      <x:c r="D408" s="12" t="s">
        <x:v>642</x:v>
      </x:c>
      <x:c r="E408" s="12"/>
      <x:c r="F408" s="12" t="s">
        <x:v>16</x:v>
      </x:c>
      <x:c r="G408" s="18">
        <x:v>619</x:v>
      </x:c>
      <x:c r="H408" s="21" t="e">
        <x:f>IF(SUMIFS(İndirimler!$C$2:$C$110,İndirimler!$A$2:$A$110,B408,İndirimler!$B$2:$B$110,C408)&gt;0,ROUND(G408*(1-SUMIFS(İndirimler!$C$2:$C$110,İndirimler!$A$2:$A$110,B408,İndirimler!$B$2:$B$110,C408)),2),"")</x:f>
        <x:v>#NAME?</x:v>
      </x:c>
      <x:c r="I408" s="24" t="e">
        <x:f>IF(SUMIFS(İndirimler!$D$2:$D$110,İndirimler!$A$2:$A$110,B408,İndirimler!$B$2:$B$110,C408)&gt;0,ROUND(G408*(1-SUMIFS(İndirimler!$D$2:$D$110,İndirimler!$A$2:$A$110,B408,İndirimler!$B$2:$B$110,C408)),2),"")</x:f>
        <x:v>#NAME?</x:v>
      </x:c>
      <x:c r="J408" s="12" t="s">
        <x:v>681</x:v>
      </x:c>
      <x:c r="K408" s="31"/>
    </x:row>
    <x:row r="409" ht="21.950000762939453" customHeight="1">
      <x:c r="A409" s="15" t="s">
        <x:v>682</x:v>
      </x:c>
      <x:c r="B409" s="12" t="s">
        <x:v>50</x:v>
      </x:c>
      <x:c r="C409" s="12" t="s">
        <x:v>76</x:v>
      </x:c>
      <x:c r="D409" s="12" t="s">
        <x:v>642</x:v>
      </x:c>
      <x:c r="E409" s="12" t="s">
        <x:v>69</x:v>
      </x:c>
      <x:c r="F409" s="12" t="s">
        <x:v>16</x:v>
      </x:c>
      <x:c r="G409" s="18">
        <x:v>634</x:v>
      </x:c>
      <x:c r="H409" s="21" t="e">
        <x:f>IF(SUMIFS(İndirimler!$C$2:$C$110,İndirimler!$A$2:$A$110,B409,İndirimler!$B$2:$B$110,C409)&gt;0,ROUND(G409*(1-SUMIFS(İndirimler!$C$2:$C$110,İndirimler!$A$2:$A$110,B409,İndirimler!$B$2:$B$110,C409)),2),"")</x:f>
        <x:v>#NAME?</x:v>
      </x:c>
      <x:c r="I409" s="24" t="e">
        <x:f>IF(SUMIFS(İndirimler!$D$2:$D$110,İndirimler!$A$2:$A$110,B409,İndirimler!$B$2:$B$110,C409)&gt;0,ROUND(G409*(1-SUMIFS(İndirimler!$D$2:$D$110,İndirimler!$A$2:$A$110,B409,İndirimler!$B$2:$B$110,C409)),2),"")</x:f>
        <x:v>#NAME?</x:v>
      </x:c>
      <x:c r="J409" s="12"/>
      <x:c r="K409" s="31"/>
    </x:row>
    <x:row r="410" ht="21.950000762939453" customHeight="1">
      <x:c r="A410" s="15" t="s">
        <x:v>683</x:v>
      </x:c>
      <x:c r="B410" s="12" t="s">
        <x:v>38</x:v>
      </x:c>
      <x:c r="C410" s="12" t="s">
        <x:v>76</x:v>
      </x:c>
      <x:c r="D410" s="12" t="s">
        <x:v>642</x:v>
      </x:c>
      <x:c r="E410" s="12" t="s">
        <x:v>69</x:v>
      </x:c>
      <x:c r="F410" s="12" t="s">
        <x:v>16</x:v>
      </x:c>
      <x:c r="G410" s="18">
        <x:v>295</x:v>
      </x:c>
      <x:c r="H410" s="21" t="e">
        <x:f>IF(SUMIFS(İndirimler!$C$2:$C$110,İndirimler!$A$2:$A$110,B410,İndirimler!$B$2:$B$110,C410)&gt;0,ROUND(G410*(1-SUMIFS(İndirimler!$C$2:$C$110,İndirimler!$A$2:$A$110,B410,İndirimler!$B$2:$B$110,C410)),2),"")</x:f>
        <x:v>#NAME?</x:v>
      </x:c>
      <x:c r="I410" s="24" t="e">
        <x:f>IF(SUMIFS(İndirimler!$D$2:$D$110,İndirimler!$A$2:$A$110,B410,İndirimler!$B$2:$B$110,C410)&gt;0,ROUND(G410*(1-SUMIFS(İndirimler!$D$2:$D$110,İndirimler!$A$2:$A$110,B410,İndirimler!$B$2:$B$110,C410)),2),"")</x:f>
        <x:v>#NAME?</x:v>
      </x:c>
      <x:c r="J410" s="12" t="s">
        <x:v>684</x:v>
      </x:c>
      <x:c r="K410" s="31"/>
    </x:row>
    <x:row r="411" ht="21.950000762939453" customHeight="1">
      <x:c r="A411" s="15" t="s">
        <x:v>685</x:v>
      </x:c>
      <x:c r="B411" s="12" t="s">
        <x:v>72</x:v>
      </x:c>
      <x:c r="C411" s="12" t="s">
        <x:v>76</x:v>
      </x:c>
      <x:c r="D411" s="12" t="s">
        <x:v>642</x:v>
      </x:c>
      <x:c r="E411" s="12"/>
      <x:c r="F411" s="12" t="s">
        <x:v>73</x:v>
      </x:c>
      <x:c r="G411" s="18">
        <x:v>385</x:v>
      </x:c>
      <x:c r="H411" s="21" t="e">
        <x:f>IF(SUMIFS(İndirimler!$C$2:$C$110,İndirimler!$A$2:$A$110,B411,İndirimler!$B$2:$B$110,C411)&gt;0,ROUND(G411*(1-SUMIFS(İndirimler!$C$2:$C$110,İndirimler!$A$2:$A$110,B411,İndirimler!$B$2:$B$110,C411)),2),"")</x:f>
        <x:v>#NAME?</x:v>
      </x:c>
      <x:c r="I411" s="24" t="e">
        <x:f>IF(SUMIFS(İndirimler!$D$2:$D$110,İndirimler!$A$2:$A$110,B411,İndirimler!$B$2:$B$110,C411)&gt;0,ROUND(G411*(1-SUMIFS(İndirimler!$D$2:$D$110,İndirimler!$A$2:$A$110,B411,İndirimler!$B$2:$B$110,C411)),2),"")</x:f>
        <x:v>#NAME?</x:v>
      </x:c>
      <x:c r="J411" s="12"/>
      <x:c r="K411" s="31"/>
    </x:row>
    <x:row r="412" ht="21.950000762939453" customHeight="1">
      <x:c r="A412" s="15" t="s">
        <x:v>686</x:v>
      </x:c>
      <x:c r="B412" s="12" t="s">
        <x:v>38</x:v>
      </x:c>
      <x:c r="C412" s="12" t="s">
        <x:v>101</x:v>
      </x:c>
      <x:c r="D412" s="12" t="s">
        <x:v>642</x:v>
      </x:c>
      <x:c r="E412" s="12"/>
      <x:c r="F412" s="12" t="s">
        <x:v>35</x:v>
      </x:c>
      <x:c r="G412" s="18"/>
      <x:c r="H412" s="21" t="e">
        <x:f>IF(SUMIFS(İndirimler!$C$2:$C$110,İndirimler!$A$2:$A$110,B412,İndirimler!$B$2:$B$110,C412)&gt;0,ROUND(G412*(1-SUMIFS(İndirimler!$C$2:$C$110,İndirimler!$A$2:$A$110,B412,İndirimler!$B$2:$B$110,C412)),2),"")</x:f>
        <x:v>#NAME?</x:v>
      </x:c>
      <x:c r="I412" s="24" t="e">
        <x:f>IF(SUMIFS(İndirimler!$D$2:$D$110,İndirimler!$A$2:$A$110,B412,İndirimler!$B$2:$B$110,C412)&gt;0,ROUND(G412*(1-SUMIFS(İndirimler!$D$2:$D$110,İndirimler!$A$2:$A$110,B412,İndirimler!$B$2:$B$110,C412)),2),"")</x:f>
        <x:v>#NAME?</x:v>
      </x:c>
      <x:c r="J412" s="12"/>
      <x:c r="K412" s="31"/>
    </x:row>
    <x:row r="413" ht="21.950000762939453" customHeight="1">
      <x:c r="A413" s="15" t="s">
        <x:v>687</x:v>
      </x:c>
      <x:c r="B413" s="12" t="s">
        <x:v>72</x:v>
      </x:c>
      <x:c r="C413" s="12" t="s">
        <x:v>101</x:v>
      </x:c>
      <x:c r="D413" s="12" t="s">
        <x:v>642</x:v>
      </x:c>
      <x:c r="E413" s="12" t="s">
        <x:v>104</x:v>
      </x:c>
      <x:c r="F413" s="12" t="s">
        <x:v>42</x:v>
      </x:c>
      <x:c r="G413" s="18"/>
      <x:c r="H413" s="21" t="e">
        <x:f>IF(SUMIFS(İndirimler!$C$2:$C$110,İndirimler!$A$2:$A$110,B413,İndirimler!$B$2:$B$110,C413)&gt;0,ROUND(G413*(1-SUMIFS(İndirimler!$C$2:$C$110,İndirimler!$A$2:$A$110,B413,İndirimler!$B$2:$B$110,C413)),2),"")</x:f>
        <x:v>#NAME?</x:v>
      </x:c>
      <x:c r="I413" s="24" t="e">
        <x:f>IF(SUMIFS(İndirimler!$D$2:$D$110,İndirimler!$A$2:$A$110,B413,İndirimler!$B$2:$B$110,C413)&gt;0,ROUND(G413*(1-SUMIFS(İndirimler!$D$2:$D$110,İndirimler!$A$2:$A$110,B413,İndirimler!$B$2:$B$110,C413)),2),"")</x:f>
        <x:v>#NAME?</x:v>
      </x:c>
      <x:c r="J413" s="12"/>
      <x:c r="K413" s="31"/>
    </x:row>
    <x:row r="414" ht="21.950000762939453" customHeight="1">
      <x:c r="A414" s="15" t="s">
        <x:v>688</x:v>
      </x:c>
      <x:c r="B414" s="12" t="s">
        <x:v>23</x:v>
      </x:c>
      <x:c r="C414" s="12" t="s">
        <x:v>101</x:v>
      </x:c>
      <x:c r="D414" s="12" t="s">
        <x:v>642</x:v>
      </x:c>
      <x:c r="E414" s="12"/>
      <x:c r="F414" s="12" t="s">
        <x:v>42</x:v>
      </x:c>
      <x:c r="G414" s="18">
        <x:v>486</x:v>
      </x:c>
      <x:c r="H414" s="21" t="e">
        <x:f>IF(SUMIFS(İndirimler!$C$2:$C$110,İndirimler!$A$2:$A$110,B414,İndirimler!$B$2:$B$110,C414)&gt;0,ROUND(G414*(1-SUMIFS(İndirimler!$C$2:$C$110,İndirimler!$A$2:$A$110,B414,İndirimler!$B$2:$B$110,C414)),2),"")</x:f>
        <x:v>#NAME?</x:v>
      </x:c>
      <x:c r="I414" s="24" t="e">
        <x:f>IF(SUMIFS(İndirimler!$D$2:$D$110,İndirimler!$A$2:$A$110,B414,İndirimler!$B$2:$B$110,C414)&gt;0,ROUND(G414*(1-SUMIFS(İndirimler!$D$2:$D$110,İndirimler!$A$2:$A$110,B414,İndirimler!$B$2:$B$110,C414)),2),"")</x:f>
        <x:v>#NAME?</x:v>
      </x:c>
      <x:c r="J414" s="12" t="s">
        <x:v>689</x:v>
      </x:c>
      <x:c r="K414" s="31"/>
    </x:row>
    <x:row r="415" ht="21.950000762939453" customHeight="1">
      <x:c r="A415" s="15" t="s">
        <x:v>690</x:v>
      </x:c>
      <x:c r="B415" s="12" t="s">
        <x:v>55</x:v>
      </x:c>
      <x:c r="C415" s="12" t="s">
        <x:v>101</x:v>
      </x:c>
      <x:c r="D415" s="12" t="s">
        <x:v>642</x:v>
      </x:c>
      <x:c r="E415" s="12"/>
      <x:c r="F415" s="12" t="s">
        <x:v>16</x:v>
      </x:c>
      <x:c r="G415" s="18">
        <x:v>346</x:v>
      </x:c>
      <x:c r="H415" s="21" t="e">
        <x:f>IF(SUMIFS(İndirimler!$C$2:$C$110,İndirimler!$A$2:$A$110,B415,İndirimler!$B$2:$B$110,C415)&gt;0,ROUND(G415*(1-SUMIFS(İndirimler!$C$2:$C$110,İndirimler!$A$2:$A$110,B415,İndirimler!$B$2:$B$110,C415)),2),"")</x:f>
        <x:v>#NAME?</x:v>
      </x:c>
      <x:c r="I415" s="24" t="e">
        <x:f>IF(SUMIFS(İndirimler!$D$2:$D$110,İndirimler!$A$2:$A$110,B415,İndirimler!$B$2:$B$110,C415)&gt;0,ROUND(G415*(1-SUMIFS(İndirimler!$D$2:$D$110,İndirimler!$A$2:$A$110,B415,İndirimler!$B$2:$B$110,C415)),2),"")</x:f>
        <x:v>#NAME?</x:v>
      </x:c>
      <x:c r="J415" s="12"/>
      <x:c r="K415" s="31"/>
    </x:row>
    <x:row r="416" ht="21.950000762939453" customHeight="1">
      <x:c r="A416" s="15" t="s">
        <x:v>691</x:v>
      </x:c>
      <x:c r="B416" s="12" t="s">
        <x:v>653</x:v>
      </x:c>
      <x:c r="C416" s="12" t="s">
        <x:v>101</x:v>
      </x:c>
      <x:c r="D416" s="12" t="s">
        <x:v>642</x:v>
      </x:c>
      <x:c r="E416" s="12"/>
      <x:c r="F416" s="12" t="s">
        <x:v>16</x:v>
      </x:c>
      <x:c r="G416" s="18"/>
      <x:c r="H416" s="21" t="e">
        <x:f>IF(SUMIFS(İndirimler!$C$2:$C$110,İndirimler!$A$2:$A$110,B416,İndirimler!$B$2:$B$110,C416)&gt;0,ROUND(G416*(1-SUMIFS(İndirimler!$C$2:$C$110,İndirimler!$A$2:$A$110,B416,İndirimler!$B$2:$B$110,C416)),2),"")</x:f>
        <x:v>#NAME?</x:v>
      </x:c>
      <x:c r="I416" s="24" t="e">
        <x:f>IF(SUMIFS(İndirimler!$D$2:$D$110,İndirimler!$A$2:$A$110,B416,İndirimler!$B$2:$B$110,C416)&gt;0,ROUND(G416*(1-SUMIFS(İndirimler!$D$2:$D$110,İndirimler!$A$2:$A$110,B416,İndirimler!$B$2:$B$110,C416)),2),"")</x:f>
        <x:v>#NAME?</x:v>
      </x:c>
      <x:c r="J416" s="12"/>
      <x:c r="K416" s="31"/>
    </x:row>
    <x:row r="417" ht="21.950000762939453" customHeight="1">
      <x:c r="A417" s="15" t="s">
        <x:v>692</x:v>
      </x:c>
      <x:c r="B417" s="12" t="s">
        <x:v>18</x:v>
      </x:c>
      <x:c r="C417" s="12" t="s">
        <x:v>101</x:v>
      </x:c>
      <x:c r="D417" s="12" t="s">
        <x:v>642</x:v>
      </x:c>
      <x:c r="E417" s="12"/>
      <x:c r="F417" s="12" t="s">
        <x:v>16</x:v>
      </x:c>
      <x:c r="G417" s="18"/>
      <x:c r="H417" s="21" t="e">
        <x:f>IF(SUMIFS(İndirimler!$C$2:$C$110,İndirimler!$A$2:$A$110,B417,İndirimler!$B$2:$B$110,C417)&gt;0,ROUND(G417*(1-SUMIFS(İndirimler!$C$2:$C$110,İndirimler!$A$2:$A$110,B417,İndirimler!$B$2:$B$110,C417)),2),"")</x:f>
        <x:v>#NAME?</x:v>
      </x:c>
      <x:c r="I417" s="24" t="e">
        <x:f>IF(SUMIFS(İndirimler!$D$2:$D$110,İndirimler!$A$2:$A$110,B417,İndirimler!$B$2:$B$110,C417)&gt;0,ROUND(G417*(1-SUMIFS(İndirimler!$D$2:$D$110,İndirimler!$A$2:$A$110,B417,İndirimler!$B$2:$B$110,C417)),2),"")</x:f>
        <x:v>#NAME?</x:v>
      </x:c>
      <x:c r="J417" s="12"/>
      <x:c r="K417" s="31"/>
    </x:row>
    <x:row r="418" ht="21.950000762939453" customHeight="1">
      <x:c r="A418" s="15" t="s">
        <x:v>693</x:v>
      </x:c>
      <x:c r="B418" s="12" t="s">
        <x:v>63</x:v>
      </x:c>
      <x:c r="C418" s="12" t="s">
        <x:v>101</x:v>
      </x:c>
      <x:c r="D418" s="12" t="s">
        <x:v>642</x:v>
      </x:c>
      <x:c r="E418" s="12" t="s">
        <x:v>64</x:v>
      </x:c>
      <x:c r="F418" s="12" t="s">
        <x:v>16</x:v>
      </x:c>
      <x:c r="G418" s="18"/>
      <x:c r="H418" s="21" t="e">
        <x:f>IF(SUMIFS(İndirimler!$C$2:$C$110,İndirimler!$A$2:$A$110,B418,İndirimler!$B$2:$B$110,C418)&gt;0,ROUND(G418*(1-SUMIFS(İndirimler!$C$2:$C$110,İndirimler!$A$2:$A$110,B418,İndirimler!$B$2:$B$110,C418)),2),"")</x:f>
        <x:v>#NAME?</x:v>
      </x:c>
      <x:c r="I418" s="24" t="e">
        <x:f>IF(SUMIFS(İndirimler!$D$2:$D$110,İndirimler!$A$2:$A$110,B418,İndirimler!$B$2:$B$110,C418)&gt;0,ROUND(G418*(1-SUMIFS(İndirimler!$D$2:$D$110,İndirimler!$A$2:$A$110,B418,İndirimler!$B$2:$B$110,C418)),2),"")</x:f>
        <x:v>#NAME?</x:v>
      </x:c>
      <x:c r="J418" s="12" t="s">
        <x:v>694</x:v>
      </x:c>
      <x:c r="K418" s="31"/>
    </x:row>
    <x:row r="419" ht="21.950000762939453" customHeight="1">
      <x:c r="A419" s="15" t="s">
        <x:v>695</x:v>
      </x:c>
      <x:c r="B419" s="12" t="s">
        <x:v>23</x:v>
      </x:c>
      <x:c r="C419" s="12" t="s">
        <x:v>101</x:v>
      </x:c>
      <x:c r="D419" s="12" t="s">
        <x:v>642</x:v>
      </x:c>
      <x:c r="E419" s="12"/>
      <x:c r="F419" s="12" t="s">
        <x:v>16</x:v>
      </x:c>
      <x:c r="G419" s="18">
        <x:v>464</x:v>
      </x:c>
      <x:c r="H419" s="21" t="e">
        <x:f>IF(SUMIFS(İndirimler!$C$2:$C$110,İndirimler!$A$2:$A$110,B419,İndirimler!$B$2:$B$110,C419)&gt;0,ROUND(G419*(1-SUMIFS(İndirimler!$C$2:$C$110,İndirimler!$A$2:$A$110,B419,İndirimler!$B$2:$B$110,C419)),2),"")</x:f>
        <x:v>#NAME?</x:v>
      </x:c>
      <x:c r="I419" s="24" t="e">
        <x:f>IF(SUMIFS(İndirimler!$D$2:$D$110,İndirimler!$A$2:$A$110,B419,İndirimler!$B$2:$B$110,C419)&gt;0,ROUND(G419*(1-SUMIFS(İndirimler!$D$2:$D$110,İndirimler!$A$2:$A$110,B419,İndirimler!$B$2:$B$110,C419)),2),"")</x:f>
        <x:v>#NAME?</x:v>
      </x:c>
      <x:c r="J419" s="12" t="s">
        <x:v>696</x:v>
      </x:c>
      <x:c r="K419" s="31"/>
    </x:row>
    <x:row r="420" ht="21.950000762939453" customHeight="1">
      <x:c r="A420" s="15" t="s">
        <x:v>697</x:v>
      </x:c>
      <x:c r="B420" s="12" t="s">
        <x:v>50</x:v>
      </x:c>
      <x:c r="C420" s="12" t="s">
        <x:v>101</x:v>
      </x:c>
      <x:c r="D420" s="12" t="s">
        <x:v>642</x:v>
      </x:c>
      <x:c r="E420" s="12" t="s">
        <x:v>69</x:v>
      </x:c>
      <x:c r="F420" s="12" t="s">
        <x:v>16</x:v>
      </x:c>
      <x:c r="G420" s="18">
        <x:v>510</x:v>
      </x:c>
      <x:c r="H420" s="21" t="e">
        <x:f>IF(SUMIFS(İndirimler!$C$2:$C$110,İndirimler!$A$2:$A$110,B420,İndirimler!$B$2:$B$110,C420)&gt;0,ROUND(G420*(1-SUMIFS(İndirimler!$C$2:$C$110,İndirimler!$A$2:$A$110,B420,İndirimler!$B$2:$B$110,C420)),2),"")</x:f>
        <x:v>#NAME?</x:v>
      </x:c>
      <x:c r="I420" s="24" t="e">
        <x:f>IF(SUMIFS(İndirimler!$D$2:$D$110,İndirimler!$A$2:$A$110,B420,İndirimler!$B$2:$B$110,C420)&gt;0,ROUND(G420*(1-SUMIFS(İndirimler!$D$2:$D$110,İndirimler!$A$2:$A$110,B420,İndirimler!$B$2:$B$110,C420)),2),"")</x:f>
        <x:v>#NAME?</x:v>
      </x:c>
      <x:c r="J420" s="12"/>
      <x:c r="K420" s="31"/>
    </x:row>
    <x:row r="421" ht="21.950000762939453" customHeight="1">
      <x:c r="A421" s="15" t="s">
        <x:v>698</x:v>
      </x:c>
      <x:c r="B421" s="12" t="s">
        <x:v>38</x:v>
      </x:c>
      <x:c r="C421" s="12" t="s">
        <x:v>101</x:v>
      </x:c>
      <x:c r="D421" s="12" t="s">
        <x:v>642</x:v>
      </x:c>
      <x:c r="E421" s="12"/>
      <x:c r="F421" s="12" t="s">
        <x:v>16</x:v>
      </x:c>
      <x:c r="G421" s="18"/>
      <x:c r="H421" s="21" t="e">
        <x:f>IF(SUMIFS(İndirimler!$C$2:$C$110,İndirimler!$A$2:$A$110,B421,İndirimler!$B$2:$B$110,C421)&gt;0,ROUND(G421*(1-SUMIFS(İndirimler!$C$2:$C$110,İndirimler!$A$2:$A$110,B421,İndirimler!$B$2:$B$110,C421)),2),"")</x:f>
        <x:v>#NAME?</x:v>
      </x:c>
      <x:c r="I421" s="24" t="e">
        <x:f>IF(SUMIFS(İndirimler!$D$2:$D$110,İndirimler!$A$2:$A$110,B421,İndirimler!$B$2:$B$110,C421)&gt;0,ROUND(G421*(1-SUMIFS(İndirimler!$D$2:$D$110,İndirimler!$A$2:$A$110,B421,İndirimler!$B$2:$B$110,C421)),2),"")</x:f>
        <x:v>#NAME?</x:v>
      </x:c>
      <x:c r="J421" s="12"/>
      <x:c r="K421" s="31"/>
    </x:row>
    <x:row r="422" ht="21.950000762939453" customHeight="1">
      <x:c r="A422" s="15" t="s">
        <x:v>699</x:v>
      </x:c>
      <x:c r="B422" s="12" t="s">
        <x:v>72</x:v>
      </x:c>
      <x:c r="C422" s="12" t="s">
        <x:v>101</x:v>
      </x:c>
      <x:c r="D422" s="12" t="s">
        <x:v>642</x:v>
      </x:c>
      <x:c r="E422" s="12"/>
      <x:c r="F422" s="12" t="s">
        <x:v>73</x:v>
      </x:c>
      <x:c r="G422" s="18"/>
      <x:c r="H422" s="21" t="e">
        <x:f>IF(SUMIFS(İndirimler!$C$2:$C$110,İndirimler!$A$2:$A$110,B422,İndirimler!$B$2:$B$110,C422)&gt;0,ROUND(G422*(1-SUMIFS(İndirimler!$C$2:$C$110,İndirimler!$A$2:$A$110,B422,İndirimler!$B$2:$B$110,C422)),2),"")</x:f>
        <x:v>#NAME?</x:v>
      </x:c>
      <x:c r="I422" s="24" t="e">
        <x:f>IF(SUMIFS(İndirimler!$D$2:$D$110,İndirimler!$A$2:$A$110,B422,İndirimler!$B$2:$B$110,C422)&gt;0,ROUND(G422*(1-SUMIFS(İndirimler!$D$2:$D$110,İndirimler!$A$2:$A$110,B422,İndirimler!$B$2:$B$110,C422)),2),"")</x:f>
        <x:v>#NAME?</x:v>
      </x:c>
      <x:c r="J422" s="12"/>
      <x:c r="K422" s="31"/>
    </x:row>
    <x:row r="423" ht="21.950000762939453" customHeight="1">
      <x:c r="A423" s="15" t="s">
        <x:v>700</x:v>
      </x:c>
      <x:c r="B423" s="12" t="s">
        <x:v>18</x:v>
      </x:c>
      <x:c r="C423" s="12" t="s">
        <x:v>13</x:v>
      </x:c>
      <x:c r="D423" s="12" t="s">
        <x:v>642</x:v>
      </x:c>
      <x:c r="E423" s="12"/>
      <x:c r="F423" s="12" t="s">
        <x:v>16</x:v>
      </x:c>
      <x:c r="G423" s="18">
        <x:v>429</x:v>
      </x:c>
      <x:c r="H423" s="21" t="e">
        <x:f>IF(SUMIFS(İndirimler!$C$2:$C$110,İndirimler!$A$2:$A$110,B423,İndirimler!$B$2:$B$110,C423)&gt;0,ROUND(G423*(1-SUMIFS(İndirimler!$C$2:$C$110,İndirimler!$A$2:$A$110,B423,İndirimler!$B$2:$B$110,C423)),2),"")</x:f>
        <x:v>#NAME?</x:v>
      </x:c>
      <x:c r="I423" s="24" t="e">
        <x:f>IF(SUMIFS(İndirimler!$D$2:$D$110,İndirimler!$A$2:$A$110,B423,İndirimler!$B$2:$B$110,C423)&gt;0,ROUND(G423*(1-SUMIFS(İndirimler!$D$2:$D$110,İndirimler!$A$2:$A$110,B423,İndirimler!$B$2:$B$110,C423)),2),"")</x:f>
        <x:v>#NAME?</x:v>
      </x:c>
      <x:c r="J423" s="12" t="s">
        <x:v>701</x:v>
      </x:c>
      <x:c r="K423" s="31"/>
    </x:row>
    <x:row r="424" ht="21.950000762939453" customHeight="1">
      <x:c r="A424" s="15" t="s">
        <x:v>702</x:v>
      </x:c>
      <x:c r="B424" s="12" t="s">
        <x:v>23</x:v>
      </x:c>
      <x:c r="C424" s="12" t="s">
        <x:v>13</x:v>
      </x:c>
      <x:c r="D424" s="12" t="s">
        <x:v>642</x:v>
      </x:c>
      <x:c r="E424" s="12"/>
      <x:c r="F424" s="12" t="s">
        <x:v>16</x:v>
      </x:c>
      <x:c r="G424" s="18">
        <x:v>470</x:v>
      </x:c>
      <x:c r="H424" s="21" t="e">
        <x:f>IF(SUMIFS(İndirimler!$C$2:$C$110,İndirimler!$A$2:$A$110,B424,İndirimler!$B$2:$B$110,C424)&gt;0,ROUND(G424*(1-SUMIFS(İndirimler!$C$2:$C$110,İndirimler!$A$2:$A$110,B424,İndirimler!$B$2:$B$110,C424)),2),"")</x:f>
        <x:v>#NAME?</x:v>
      </x:c>
      <x:c r="I424" s="24" t="e">
        <x:f>IF(SUMIFS(İndirimler!$D$2:$D$110,İndirimler!$A$2:$A$110,B424,İndirimler!$B$2:$B$110,C424)&gt;0,ROUND(G424*(1-SUMIFS(İndirimler!$D$2:$D$110,İndirimler!$A$2:$A$110,B424,İndirimler!$B$2:$B$110,C424)),2),"")</x:f>
        <x:v>#NAME?</x:v>
      </x:c>
      <x:c r="J424" s="12"/>
      <x:c r="K424" s="31"/>
    </x:row>
    <x:row r="425" ht="21.950000762939453" customHeight="1">
      <x:c r="A425" s="15" t="s">
        <x:v>703</x:v>
      </x:c>
      <x:c r="B425" s="12" t="s">
        <x:v>32</x:v>
      </x:c>
      <x:c r="C425" s="12" t="s">
        <x:v>33</x:v>
      </x:c>
      <x:c r="D425" s="12" t="s">
        <x:v>704</x:v>
      </x:c>
      <x:c r="E425" s="12"/>
      <x:c r="F425" s="12" t="s">
        <x:v>35</x:v>
      </x:c>
      <x:c r="G425" s="18"/>
      <x:c r="H425" s="21" t="e">
        <x:f>IF(SUMIFS(İndirimler!$C$2:$C$110,İndirimler!$A$2:$A$110,B425,İndirimler!$B$2:$B$110,C425)&gt;0,ROUND(G425*(1-SUMIFS(İndirimler!$C$2:$C$110,İndirimler!$A$2:$A$110,B425,İndirimler!$B$2:$B$110,C425)),2),"")</x:f>
        <x:v>#NAME?</x:v>
      </x:c>
      <x:c r="I425" s="24" t="e">
        <x:f>IF(SUMIFS(İndirimler!$D$2:$D$110,İndirimler!$A$2:$A$110,B425,İndirimler!$B$2:$B$110,C425)&gt;0,ROUND(G425*(1-SUMIFS(İndirimler!$D$2:$D$110,İndirimler!$A$2:$A$110,B425,İndirimler!$B$2:$B$110,C425)),2),"")</x:f>
        <x:v>#NAME?</x:v>
      </x:c>
      <x:c r="J425" s="30" t="s">
        <x:v>705</x:v>
      </x:c>
      <x:c r="K425" s="31"/>
    </x:row>
    <x:row r="426" ht="21.950000762939453" customHeight="1">
      <x:c r="A426" s="15" t="s">
        <x:v>706</x:v>
      </x:c>
      <x:c r="B426" s="12" t="s">
        <x:v>38</x:v>
      </x:c>
      <x:c r="C426" s="12" t="s">
        <x:v>33</x:v>
      </x:c>
      <x:c r="D426" s="12" t="s">
        <x:v>704</x:v>
      </x:c>
      <x:c r="E426" s="12"/>
      <x:c r="F426" s="12" t="s">
        <x:v>35</x:v>
      </x:c>
      <x:c r="G426" s="18">
        <x:v>659</x:v>
      </x:c>
      <x:c r="H426" s="21" t="e">
        <x:f>IF(SUMIFS(İndirimler!$C$2:$C$110,İndirimler!$A$2:$A$110,B426,İndirimler!$B$2:$B$110,C426)&gt;0,ROUND(G426*(1-SUMIFS(İndirimler!$C$2:$C$110,İndirimler!$A$2:$A$110,B426,İndirimler!$B$2:$B$110,C426)),2),"")</x:f>
        <x:v>#NAME?</x:v>
      </x:c>
      <x:c r="I426" s="24" t="e">
        <x:f>IF(SUMIFS(İndirimler!$D$2:$D$110,İndirimler!$A$2:$A$110,B426,İndirimler!$B$2:$B$110,C426)&gt;0,ROUND(G426*(1-SUMIFS(İndirimler!$D$2:$D$110,İndirimler!$A$2:$A$110,B426,İndirimler!$B$2:$B$110,C426)),2),"")</x:f>
        <x:v>#NAME?</x:v>
      </x:c>
      <x:c r="J426" s="12" t="s">
        <x:v>707</x:v>
      </x:c>
      <x:c r="K426" s="31"/>
    </x:row>
    <x:row r="427" ht="21.950000762939453" customHeight="1">
      <x:c r="A427" s="15" t="s">
        <x:v>708</x:v>
      </x:c>
      <x:c r="B427" s="12" t="s">
        <x:v>709</x:v>
      </x:c>
      <x:c r="C427" s="12" t="s">
        <x:v>33</x:v>
      </x:c>
      <x:c r="D427" s="12" t="s">
        <x:v>704</x:v>
      </x:c>
      <x:c r="E427" s="12"/>
      <x:c r="F427" s="12" t="s">
        <x:v>42</x:v>
      </x:c>
      <x:c r="G427" s="18"/>
      <x:c r="H427" s="21" t="e">
        <x:f>IF(SUMIFS(İndirimler!$C$2:$C$110,İndirimler!$A$2:$A$110,B427,İndirimler!$B$2:$B$110,C427)&gt;0,ROUND(G427*(1-SUMIFS(İndirimler!$C$2:$C$110,İndirimler!$A$2:$A$110,B427,İndirimler!$B$2:$B$110,C427)),2),"")</x:f>
        <x:v>#NAME?</x:v>
      </x:c>
      <x:c r="I427" s="24" t="e">
        <x:f>IF(SUMIFS(İndirimler!$D$2:$D$110,İndirimler!$A$2:$A$110,B427,İndirimler!$B$2:$B$110,C427)&gt;0,ROUND(G427*(1-SUMIFS(İndirimler!$D$2:$D$110,İndirimler!$A$2:$A$110,B427,İndirimler!$B$2:$B$110,C427)),2),"")</x:f>
        <x:v>#NAME?</x:v>
      </x:c>
      <x:c r="J427" s="12"/>
      <x:c r="K427" s="31"/>
    </x:row>
    <x:row r="428" ht="21.950000762939453" customHeight="1">
      <x:c r="A428" s="15" t="s">
        <x:v>710</x:v>
      </x:c>
      <x:c r="B428" s="12" t="s">
        <x:v>44</x:v>
      </x:c>
      <x:c r="C428" s="12" t="s">
        <x:v>33</x:v>
      </x:c>
      <x:c r="D428" s="12" t="s">
        <x:v>704</x:v>
      </x:c>
      <x:c r="E428" s="12" t="s">
        <x:v>45</x:v>
      </x:c>
      <x:c r="F428" s="12" t="s">
        <x:v>42</x:v>
      </x:c>
      <x:c r="G428" s="18">
        <x:v>376</x:v>
      </x:c>
      <x:c r="H428" s="21" t="e">
        <x:f>IF(SUMIFS(İndirimler!$C$2:$C$110,İndirimler!$A$2:$A$110,B428,İndirimler!$B$2:$B$110,C428)&gt;0,ROUND(G428*(1-SUMIFS(İndirimler!$C$2:$C$110,İndirimler!$A$2:$A$110,B428,İndirimler!$B$2:$B$110,C428)),2),"")</x:f>
        <x:v>#NAME?</x:v>
      </x:c>
      <x:c r="I428" s="24" t="e">
        <x:f>IF(SUMIFS(İndirimler!$D$2:$D$110,İndirimler!$A$2:$A$110,B428,İndirimler!$B$2:$B$110,C428)&gt;0,ROUND(G428*(1-SUMIFS(İndirimler!$D$2:$D$110,İndirimler!$A$2:$A$110,B428,İndirimler!$B$2:$B$110,C428)),2),"")</x:f>
        <x:v>#NAME?</x:v>
      </x:c>
      <x:c r="J428" s="12" t="s">
        <x:v>711</x:v>
      </x:c>
      <x:c r="K428" s="31"/>
    </x:row>
    <x:row r="429" ht="21.950000762939453" customHeight="1">
      <x:c r="A429" s="15" t="s">
        <x:v>712</x:v>
      </x:c>
      <x:c r="B429" s="12" t="s">
        <x:v>23</x:v>
      </x:c>
      <x:c r="C429" s="12" t="s">
        <x:v>33</x:v>
      </x:c>
      <x:c r="D429" s="12" t="s">
        <x:v>704</x:v>
      </x:c>
      <x:c r="E429" s="12"/>
      <x:c r="F429" s="12" t="s">
        <x:v>42</x:v>
      </x:c>
      <x:c r="G429" s="18">
        <x:v>619</x:v>
      </x:c>
      <x:c r="H429" s="21" t="e">
        <x:f>IF(SUMIFS(İndirimler!$C$2:$C$110,İndirimler!$A$2:$A$110,B429,İndirimler!$B$2:$B$110,C429)&gt;0,ROUND(G429*(1-SUMIFS(İndirimler!$C$2:$C$110,İndirimler!$A$2:$A$110,B429,İndirimler!$B$2:$B$110,C429)),2),"")</x:f>
        <x:v>#NAME?</x:v>
      </x:c>
      <x:c r="I429" s="24" t="e">
        <x:f>IF(SUMIFS(İndirimler!$D$2:$D$110,İndirimler!$A$2:$A$110,B429,İndirimler!$B$2:$B$110,C429)&gt;0,ROUND(G429*(1-SUMIFS(İndirimler!$D$2:$D$110,İndirimler!$A$2:$A$110,B429,İndirimler!$B$2:$B$110,C429)),2),"")</x:f>
        <x:v>#NAME?</x:v>
      </x:c>
      <x:c r="J429" s="30" t="s">
        <x:v>713</x:v>
      </x:c>
      <x:c r="K429" s="31"/>
    </x:row>
    <x:row r="430" ht="21.950000762939453" customHeight="1">
      <x:c r="A430" s="15" t="s">
        <x:v>714</x:v>
      </x:c>
      <x:c r="B430" s="12" t="s">
        <x:v>55</x:v>
      </x:c>
      <x:c r="C430" s="12" t="s">
        <x:v>33</x:v>
      </x:c>
      <x:c r="D430" s="12" t="s">
        <x:v>704</x:v>
      </x:c>
      <x:c r="E430" s="12"/>
      <x:c r="F430" s="12" t="s">
        <x:v>16</x:v>
      </x:c>
      <x:c r="G430" s="18">
        <x:v>346</x:v>
      </x:c>
      <x:c r="H430" s="21" t="e">
        <x:f>IF(SUMIFS(İndirimler!$C$2:$C$110,İndirimler!$A$2:$A$110,B430,İndirimler!$B$2:$B$110,C430)&gt;0,ROUND(G430*(1-SUMIFS(İndirimler!$C$2:$C$110,İndirimler!$A$2:$A$110,B430,İndirimler!$B$2:$B$110,C430)),2),"")</x:f>
        <x:v>#NAME?</x:v>
      </x:c>
      <x:c r="I430" s="24" t="e">
        <x:f>IF(SUMIFS(İndirimler!$D$2:$D$110,İndirimler!$A$2:$A$110,B430,İndirimler!$B$2:$B$110,C430)&gt;0,ROUND(G430*(1-SUMIFS(İndirimler!$D$2:$D$110,İndirimler!$A$2:$A$110,B430,İndirimler!$B$2:$B$110,C430)),2),"")</x:f>
        <x:v>#NAME?</x:v>
      </x:c>
      <x:c r="J430" s="12" t="s">
        <x:v>715</x:v>
      </x:c>
      <x:c r="K430" s="31"/>
    </x:row>
    <x:row r="431" ht="21.950000762939453" customHeight="1">
      <x:c r="A431" s="15" t="s">
        <x:v>716</x:v>
      </x:c>
      <x:c r="B431" s="12" t="s">
        <x:v>18</x:v>
      </x:c>
      <x:c r="C431" s="12" t="s">
        <x:v>33</x:v>
      </x:c>
      <x:c r="D431" s="12" t="s">
        <x:v>704</x:v>
      </x:c>
      <x:c r="E431" s="12"/>
      <x:c r="F431" s="12" t="s">
        <x:v>16</x:v>
      </x:c>
      <x:c r="G431" s="18">
        <x:v>345</x:v>
      </x:c>
      <x:c r="H431" s="21" t="e">
        <x:f>IF(SUMIFS(İndirimler!$C$2:$C$110,İndirimler!$A$2:$A$110,B431,İndirimler!$B$2:$B$110,C431)&gt;0,ROUND(G431*(1-SUMIFS(İndirimler!$C$2:$C$110,İndirimler!$A$2:$A$110,B431,İndirimler!$B$2:$B$110,C431)),2),"")</x:f>
        <x:v>#NAME?</x:v>
      </x:c>
      <x:c r="I431" s="24" t="e">
        <x:f>IF(SUMIFS(İndirimler!$D$2:$D$110,İndirimler!$A$2:$A$110,B431,İndirimler!$B$2:$B$110,C431)&gt;0,ROUND(G431*(1-SUMIFS(İndirimler!$D$2:$D$110,İndirimler!$A$2:$A$110,B431,İndirimler!$B$2:$B$110,C431)),2),"")</x:f>
        <x:v>#NAME?</x:v>
      </x:c>
      <x:c r="J431" s="30" t="s">
        <x:v>717</x:v>
      </x:c>
      <x:c r="K431" s="31"/>
    </x:row>
    <x:row r="432" ht="21.950000762939453" customHeight="1">
      <x:c r="A432" s="15" t="s">
        <x:v>718</x:v>
      </x:c>
      <x:c r="B432" s="12" t="s">
        <x:v>709</x:v>
      </x:c>
      <x:c r="C432" s="12" t="s">
        <x:v>33</x:v>
      </x:c>
      <x:c r="D432" s="12" t="s">
        <x:v>704</x:v>
      </x:c>
      <x:c r="E432" s="12"/>
      <x:c r="F432" s="12" t="s">
        <x:v>16</x:v>
      </x:c>
      <x:c r="G432" s="18">
        <x:v>345</x:v>
      </x:c>
      <x:c r="H432" s="21" t="e">
        <x:f>IF(SUMIFS(İndirimler!$C$2:$C$110,İndirimler!$A$2:$A$110,B432,İndirimler!$B$2:$B$110,C432)&gt;0,ROUND(G432*(1-SUMIFS(İndirimler!$C$2:$C$110,İndirimler!$A$2:$A$110,B432,İndirimler!$B$2:$B$110,C432)),2),"")</x:f>
        <x:v>#NAME?</x:v>
      </x:c>
      <x:c r="I432" s="24" t="e">
        <x:f>IF(SUMIFS(İndirimler!$D$2:$D$110,İndirimler!$A$2:$A$110,B432,İndirimler!$B$2:$B$110,C432)&gt;0,ROUND(G432*(1-SUMIFS(İndirimler!$D$2:$D$110,İndirimler!$A$2:$A$110,B432,İndirimler!$B$2:$B$110,C432)),2),"")</x:f>
        <x:v>#NAME?</x:v>
      </x:c>
      <x:c r="J432" s="12"/>
      <x:c r="K432" s="31"/>
    </x:row>
    <x:row r="433" ht="21.950000762939453" customHeight="1">
      <x:c r="A433" s="15" t="s">
        <x:v>719</x:v>
      </x:c>
      <x:c r="B433" s="12" t="s">
        <x:v>44</x:v>
      </x:c>
      <x:c r="C433" s="12" t="s">
        <x:v>33</x:v>
      </x:c>
      <x:c r="D433" s="12" t="s">
        <x:v>704</x:v>
      </x:c>
      <x:c r="E433" s="12" t="s">
        <x:v>60</x:v>
      </x:c>
      <x:c r="F433" s="12" t="s">
        <x:v>16</x:v>
      </x:c>
      <x:c r="G433" s="18">
        <x:v>274</x:v>
      </x:c>
      <x:c r="H433" s="21" t="e">
        <x:f>IF(SUMIFS(İndirimler!$C$2:$C$110,İndirimler!$A$2:$A$110,B433,İndirimler!$B$2:$B$110,C433)&gt;0,ROUND(G433*(1-SUMIFS(İndirimler!$C$2:$C$110,İndirimler!$A$2:$A$110,B433,İndirimler!$B$2:$B$110,C433)),2),"")</x:f>
        <x:v>#NAME?</x:v>
      </x:c>
      <x:c r="I433" s="24" t="e">
        <x:f>IF(SUMIFS(İndirimler!$D$2:$D$110,İndirimler!$A$2:$A$110,B433,İndirimler!$B$2:$B$110,C433)&gt;0,ROUND(G433*(1-SUMIFS(İndirimler!$D$2:$D$110,İndirimler!$A$2:$A$110,B433,İndirimler!$B$2:$B$110,C433)),2),"")</x:f>
        <x:v>#NAME?</x:v>
      </x:c>
      <x:c r="J433" s="12" t="s">
        <x:v>720</x:v>
      </x:c>
      <x:c r="K433" s="31"/>
    </x:row>
    <x:row r="434" ht="21.950000762939453" customHeight="1">
      <x:c r="A434" s="15" t="s">
        <x:v>721</x:v>
      </x:c>
      <x:c r="B434" s="12" t="s">
        <x:v>63</x:v>
      </x:c>
      <x:c r="C434" s="12" t="s">
        <x:v>33</x:v>
      </x:c>
      <x:c r="D434" s="12" t="s">
        <x:v>704</x:v>
      </x:c>
      <x:c r="E434" s="12" t="s">
        <x:v>64</x:v>
      </x:c>
      <x:c r="F434" s="12" t="s">
        <x:v>16</x:v>
      </x:c>
      <x:c r="G434" s="18">
        <x:v>449</x:v>
      </x:c>
      <x:c r="H434" s="21" t="e">
        <x:f>IF(SUMIFS(İndirimler!$C$2:$C$110,İndirimler!$A$2:$A$110,B434,İndirimler!$B$2:$B$110,C434)&gt;0,ROUND(G434*(1-SUMIFS(İndirimler!$C$2:$C$110,İndirimler!$A$2:$A$110,B434,İndirimler!$B$2:$B$110,C434)),2),"")</x:f>
        <x:v>#NAME?</x:v>
      </x:c>
      <x:c r="I434" s="24" t="e">
        <x:f>IF(SUMIFS(İndirimler!$D$2:$D$110,İndirimler!$A$2:$A$110,B434,İndirimler!$B$2:$B$110,C434)&gt;0,ROUND(G434*(1-SUMIFS(İndirimler!$D$2:$D$110,İndirimler!$A$2:$A$110,B434,İndirimler!$B$2:$B$110,C434)),2),"")</x:f>
        <x:v>#NAME?</x:v>
      </x:c>
      <x:c r="J434" s="12" t="s">
        <x:v>93</x:v>
      </x:c>
      <x:c r="K434" s="31"/>
    </x:row>
    <x:row r="435" ht="21.950000762939453" customHeight="1">
      <x:c r="A435" s="15" t="s">
        <x:v>722</x:v>
      </x:c>
      <x:c r="B435" s="12" t="s">
        <x:v>23</x:v>
      </x:c>
      <x:c r="C435" s="12" t="s">
        <x:v>33</x:v>
      </x:c>
      <x:c r="D435" s="12" t="s">
        <x:v>704</x:v>
      </x:c>
      <x:c r="E435" s="12"/>
      <x:c r="F435" s="12" t="s">
        <x:v>16</x:v>
      </x:c>
      <x:c r="G435" s="18">
        <x:v>580</x:v>
      </x:c>
      <x:c r="H435" s="21" t="e">
        <x:f>IF(SUMIFS(İndirimler!$C$2:$C$110,İndirimler!$A$2:$A$110,B435,İndirimler!$B$2:$B$110,C435)&gt;0,ROUND(G435*(1-SUMIFS(İndirimler!$C$2:$C$110,İndirimler!$A$2:$A$110,B435,İndirimler!$B$2:$B$110,C435)),2),"")</x:f>
        <x:v>#NAME?</x:v>
      </x:c>
      <x:c r="I435" s="24" t="e">
        <x:f>IF(SUMIFS(İndirimler!$D$2:$D$110,İndirimler!$A$2:$A$110,B435,İndirimler!$B$2:$B$110,C435)&gt;0,ROUND(G435*(1-SUMIFS(İndirimler!$D$2:$D$110,İndirimler!$A$2:$A$110,B435,İndirimler!$B$2:$B$110,C435)),2),"")</x:f>
        <x:v>#NAME?</x:v>
      </x:c>
      <x:c r="J435" s="12" t="s">
        <x:v>723</x:v>
      </x:c>
      <x:c r="K435" s="31"/>
    </x:row>
    <x:row r="436" ht="21.950000762939453" customHeight="1">
      <x:c r="A436" s="15" t="s">
        <x:v>724</x:v>
      </x:c>
      <x:c r="B436" s="12" t="s">
        <x:v>50</x:v>
      </x:c>
      <x:c r="C436" s="12" t="s">
        <x:v>33</x:v>
      </x:c>
      <x:c r="D436" s="12" t="s">
        <x:v>704</x:v>
      </x:c>
      <x:c r="E436" s="12" t="s">
        <x:v>69</x:v>
      </x:c>
      <x:c r="F436" s="12" t="s">
        <x:v>16</x:v>
      </x:c>
      <x:c r="G436" s="18">
        <x:v>563</x:v>
      </x:c>
      <x:c r="H436" s="21" t="e">
        <x:f>IF(SUMIFS(İndirimler!$C$2:$C$110,İndirimler!$A$2:$A$110,B436,İndirimler!$B$2:$B$110,C436)&gt;0,ROUND(G436*(1-SUMIFS(İndirimler!$C$2:$C$110,İndirimler!$A$2:$A$110,B436,İndirimler!$B$2:$B$110,C436)),2),"")</x:f>
        <x:v>#NAME?</x:v>
      </x:c>
      <x:c r="I436" s="24" t="e">
        <x:f>IF(SUMIFS(İndirimler!$D$2:$D$110,İndirimler!$A$2:$A$110,B436,İndirimler!$B$2:$B$110,C436)&gt;0,ROUND(G436*(1-SUMIFS(İndirimler!$D$2:$D$110,İndirimler!$A$2:$A$110,B436,İndirimler!$B$2:$B$110,C436)),2),"")</x:f>
        <x:v>#NAME?</x:v>
      </x:c>
      <x:c r="J436" s="12"/>
      <x:c r="K436" s="31"/>
    </x:row>
    <x:row r="437" ht="21.950000762939453" customHeight="1">
      <x:c r="A437" s="15" t="s">
        <x:v>725</x:v>
      </x:c>
      <x:c r="B437" s="12" t="s">
        <x:v>38</x:v>
      </x:c>
      <x:c r="C437" s="12" t="s">
        <x:v>33</x:v>
      </x:c>
      <x:c r="D437" s="12" t="s">
        <x:v>704</x:v>
      </x:c>
      <x:c r="E437" s="12" t="s">
        <x:v>69</x:v>
      </x:c>
      <x:c r="F437" s="12" t="s">
        <x:v>16</x:v>
      </x:c>
      <x:c r="G437" s="18">
        <x:v>385</x:v>
      </x:c>
      <x:c r="H437" s="21" t="e">
        <x:f>IF(SUMIFS(İndirimler!$C$2:$C$110,İndirimler!$A$2:$A$110,B437,İndirimler!$B$2:$B$110,C437)&gt;0,ROUND(G437*(1-SUMIFS(İndirimler!$C$2:$C$110,İndirimler!$A$2:$A$110,B437,İndirimler!$B$2:$B$110,C437)),2),"")</x:f>
        <x:v>#NAME?</x:v>
      </x:c>
      <x:c r="I437" s="24" t="e">
        <x:f>IF(SUMIFS(İndirimler!$D$2:$D$110,İndirimler!$A$2:$A$110,B437,İndirimler!$B$2:$B$110,C437)&gt;0,ROUND(G437*(1-SUMIFS(İndirimler!$D$2:$D$110,İndirimler!$A$2:$A$110,B437,İndirimler!$B$2:$B$110,C437)),2),"")</x:f>
        <x:v>#NAME?</x:v>
      </x:c>
      <x:c r="J437" s="12" t="s">
        <x:v>726</x:v>
      </x:c>
      <x:c r="K437" s="31"/>
    </x:row>
    <x:row r="438" ht="21.950000762939453" customHeight="1">
      <x:c r="A438" s="15" t="s">
        <x:v>727</x:v>
      </x:c>
      <x:c r="B438" s="12" t="s">
        <x:v>72</x:v>
      </x:c>
      <x:c r="C438" s="12" t="s">
        <x:v>33</x:v>
      </x:c>
      <x:c r="D438" s="12" t="s">
        <x:v>704</x:v>
      </x:c>
      <x:c r="E438" s="12"/>
      <x:c r="F438" s="12" t="s">
        <x:v>73</x:v>
      </x:c>
      <x:c r="G438" s="18">
        <x:v>455</x:v>
      </x:c>
      <x:c r="H438" s="21" t="e">
        <x:f>IF(SUMIFS(İndirimler!$C$2:$C$110,İndirimler!$A$2:$A$110,B438,İndirimler!$B$2:$B$110,C438)&gt;0,ROUND(G438*(1-SUMIFS(İndirimler!$C$2:$C$110,İndirimler!$A$2:$A$110,B438,İndirimler!$B$2:$B$110,C438)),2),"")</x:f>
        <x:v>#NAME?</x:v>
      </x:c>
      <x:c r="I438" s="24" t="e">
        <x:f>IF(SUMIFS(İndirimler!$D$2:$D$110,İndirimler!$A$2:$A$110,B438,İndirimler!$B$2:$B$110,C438)&gt;0,ROUND(G438*(1-SUMIFS(İndirimler!$D$2:$D$110,İndirimler!$A$2:$A$110,B438,İndirimler!$B$2:$B$110,C438)),2),"")</x:f>
        <x:v>#NAME?</x:v>
      </x:c>
      <x:c r="J438" s="12"/>
      <x:c r="K438" s="31"/>
    </x:row>
    <x:row r="439" ht="21.950000762939453" customHeight="1">
      <x:c r="A439" s="15" t="s">
        <x:v>728</x:v>
      </x:c>
      <x:c r="B439" s="12" t="s">
        <x:v>32</x:v>
      </x:c>
      <x:c r="C439" s="12" t="s">
        <x:v>76</x:v>
      </x:c>
      <x:c r="D439" s="12" t="s">
        <x:v>704</x:v>
      </x:c>
      <x:c r="E439" s="12"/>
      <x:c r="F439" s="12" t="s">
        <x:v>35</x:v>
      </x:c>
      <x:c r="G439" s="18">
        <x:v>415</x:v>
      </x:c>
      <x:c r="H439" s="21" t="e">
        <x:f>IF(SUMIFS(İndirimler!$C$2:$C$110,İndirimler!$A$2:$A$110,B439,İndirimler!$B$2:$B$110,C439)&gt;0,ROUND(G439*(1-SUMIFS(İndirimler!$C$2:$C$110,İndirimler!$A$2:$A$110,B439,İndirimler!$B$2:$B$110,C439)),2),"")</x:f>
        <x:v>#NAME?</x:v>
      </x:c>
      <x:c r="I439" s="24" t="e">
        <x:f>IF(SUMIFS(İndirimler!$D$2:$D$110,İndirimler!$A$2:$A$110,B439,İndirimler!$B$2:$B$110,C439)&gt;0,ROUND(G439*(1-SUMIFS(İndirimler!$D$2:$D$110,İndirimler!$A$2:$A$110,B439,İndirimler!$B$2:$B$110,C439)),2),"")</x:f>
        <x:v>#NAME?</x:v>
      </x:c>
      <x:c r="J439" s="30" t="s">
        <x:v>729</x:v>
      </x:c>
      <x:c r="K439" s="31"/>
    </x:row>
    <x:row r="440" ht="21.950000762939453" customHeight="1">
      <x:c r="A440" s="15" t="s">
        <x:v>730</x:v>
      </x:c>
      <x:c r="B440" s="12" t="s">
        <x:v>38</x:v>
      </x:c>
      <x:c r="C440" s="12" t="s">
        <x:v>76</x:v>
      </x:c>
      <x:c r="D440" s="12" t="s">
        <x:v>704</x:v>
      </x:c>
      <x:c r="E440" s="12"/>
      <x:c r="F440" s="12" t="s">
        <x:v>35</x:v>
      </x:c>
      <x:c r="G440" s="18">
        <x:v>589</x:v>
      </x:c>
      <x:c r="H440" s="21" t="e">
        <x:f>IF(SUMIFS(İndirimler!$C$2:$C$110,İndirimler!$A$2:$A$110,B440,İndirimler!$B$2:$B$110,C440)&gt;0,ROUND(G440*(1-SUMIFS(İndirimler!$C$2:$C$110,İndirimler!$A$2:$A$110,B440,İndirimler!$B$2:$B$110,C440)),2),"")</x:f>
        <x:v>#NAME?</x:v>
      </x:c>
      <x:c r="I440" s="24" t="e">
        <x:f>IF(SUMIFS(İndirimler!$D$2:$D$110,İndirimler!$A$2:$A$110,B440,İndirimler!$B$2:$B$110,C440)&gt;0,ROUND(G440*(1-SUMIFS(İndirimler!$D$2:$D$110,İndirimler!$A$2:$A$110,B440,İndirimler!$B$2:$B$110,C440)),2),"")</x:f>
        <x:v>#NAME?</x:v>
      </x:c>
      <x:c r="J440" s="12" t="s">
        <x:v>731</x:v>
      </x:c>
      <x:c r="K440" s="31"/>
    </x:row>
    <x:row r="441" ht="21.950000762939453" customHeight="1">
      <x:c r="A441" s="15" t="s">
        <x:v>732</x:v>
      </x:c>
      <x:c r="B441" s="12" t="s">
        <x:v>709</x:v>
      </x:c>
      <x:c r="C441" s="12" t="s">
        <x:v>76</x:v>
      </x:c>
      <x:c r="D441" s="12" t="s">
        <x:v>704</x:v>
      </x:c>
      <x:c r="E441" s="12"/>
      <x:c r="F441" s="12" t="s">
        <x:v>42</x:v>
      </x:c>
      <x:c r="G441" s="18"/>
      <x:c r="H441" s="21" t="e">
        <x:f>IF(SUMIFS(İndirimler!$C$2:$C$110,İndirimler!$A$2:$A$110,B441,İndirimler!$B$2:$B$110,C441)&gt;0,ROUND(G441*(1-SUMIFS(İndirimler!$C$2:$C$110,İndirimler!$A$2:$A$110,B441,İndirimler!$B$2:$B$110,C441)),2),"")</x:f>
        <x:v>#NAME?</x:v>
      </x:c>
      <x:c r="I441" s="24" t="e">
        <x:f>IF(SUMIFS(İndirimler!$D$2:$D$110,İndirimler!$A$2:$A$110,B441,İndirimler!$B$2:$B$110,C441)&gt;0,ROUND(G441*(1-SUMIFS(İndirimler!$D$2:$D$110,İndirimler!$A$2:$A$110,B441,İndirimler!$B$2:$B$110,C441)),2),"")</x:f>
        <x:v>#NAME?</x:v>
      </x:c>
      <x:c r="J441" s="12"/>
      <x:c r="K441" s="31"/>
    </x:row>
    <x:row r="442" ht="21.950000762939453" customHeight="1">
      <x:c r="A442" s="15" t="s">
        <x:v>733</x:v>
      </x:c>
      <x:c r="B442" s="12" t="s">
        <x:v>44</x:v>
      </x:c>
      <x:c r="C442" s="12" t="s">
        <x:v>76</x:v>
      </x:c>
      <x:c r="D442" s="12" t="s">
        <x:v>704</x:v>
      </x:c>
      <x:c r="E442" s="12" t="s">
        <x:v>45</x:v>
      </x:c>
      <x:c r="F442" s="12" t="s">
        <x:v>42</x:v>
      </x:c>
      <x:c r="G442" s="18">
        <x:v>322</x:v>
      </x:c>
      <x:c r="H442" s="21" t="e">
        <x:f>IF(SUMIFS(İndirimler!$C$2:$C$110,İndirimler!$A$2:$A$110,B442,İndirimler!$B$2:$B$110,C442)&gt;0,ROUND(G442*(1-SUMIFS(İndirimler!$C$2:$C$110,İndirimler!$A$2:$A$110,B442,İndirimler!$B$2:$B$110,C442)),2),"")</x:f>
        <x:v>#NAME?</x:v>
      </x:c>
      <x:c r="I442" s="24" t="e">
        <x:f>IF(SUMIFS(İndirimler!$D$2:$D$110,İndirimler!$A$2:$A$110,B442,İndirimler!$B$2:$B$110,C442)&gt;0,ROUND(G442*(1-SUMIFS(İndirimler!$D$2:$D$110,İndirimler!$A$2:$A$110,B442,İndirimler!$B$2:$B$110,C442)),2),"")</x:f>
        <x:v>#NAME?</x:v>
      </x:c>
      <x:c r="J442" s="12" t="s">
        <x:v>734</x:v>
      </x:c>
      <x:c r="K442" s="31"/>
    </x:row>
    <x:row r="443" ht="21.950000762939453" customHeight="1">
      <x:c r="A443" s="15" t="s">
        <x:v>735</x:v>
      </x:c>
      <x:c r="B443" s="12" t="s">
        <x:v>23</x:v>
      </x:c>
      <x:c r="C443" s="12" t="s">
        <x:v>76</x:v>
      </x:c>
      <x:c r="D443" s="12" t="s">
        <x:v>704</x:v>
      </x:c>
      <x:c r="E443" s="12"/>
      <x:c r="F443" s="12" t="s">
        <x:v>42</x:v>
      </x:c>
      <x:c r="G443" s="18">
        <x:v>628</x:v>
      </x:c>
      <x:c r="H443" s="21" t="e">
        <x:f>IF(SUMIFS(İndirimler!$C$2:$C$110,İndirimler!$A$2:$A$110,B443,İndirimler!$B$2:$B$110,C443)&gt;0,ROUND(G443*(1-SUMIFS(İndirimler!$C$2:$C$110,İndirimler!$A$2:$A$110,B443,İndirimler!$B$2:$B$110,C443)),2),"")</x:f>
        <x:v>#NAME?</x:v>
      </x:c>
      <x:c r="I443" s="24" t="e">
        <x:f>IF(SUMIFS(İndirimler!$D$2:$D$110,İndirimler!$A$2:$A$110,B443,İndirimler!$B$2:$B$110,C443)&gt;0,ROUND(G443*(1-SUMIFS(İndirimler!$D$2:$D$110,İndirimler!$A$2:$A$110,B443,İndirimler!$B$2:$B$110,C443)),2),"")</x:f>
        <x:v>#NAME?</x:v>
      </x:c>
      <x:c r="J443" s="12" t="s">
        <x:v>736</x:v>
      </x:c>
      <x:c r="K443" s="31"/>
    </x:row>
    <x:row r="444" ht="21.950000762939453" customHeight="1">
      <x:c r="A444" s="15" t="s">
        <x:v>737</x:v>
      </x:c>
      <x:c r="B444" s="12" t="s">
        <x:v>55</x:v>
      </x:c>
      <x:c r="C444" s="12" t="s">
        <x:v>76</x:v>
      </x:c>
      <x:c r="D444" s="12" t="s">
        <x:v>704</x:v>
      </x:c>
      <x:c r="E444" s="12"/>
      <x:c r="F444" s="12" t="s">
        <x:v>16</x:v>
      </x:c>
      <x:c r="G444" s="18">
        <x:v>328</x:v>
      </x:c>
      <x:c r="H444" s="21" t="e">
        <x:f>IF(SUMIFS(İndirimler!$C$2:$C$110,İndirimler!$A$2:$A$110,B444,İndirimler!$B$2:$B$110,C444)&gt;0,ROUND(G444*(1-SUMIFS(İndirimler!$C$2:$C$110,İndirimler!$A$2:$A$110,B444,İndirimler!$B$2:$B$110,C444)),2),"")</x:f>
        <x:v>#NAME?</x:v>
      </x:c>
      <x:c r="I444" s="24" t="e">
        <x:f>IF(SUMIFS(İndirimler!$D$2:$D$110,İndirimler!$A$2:$A$110,B444,İndirimler!$B$2:$B$110,C444)&gt;0,ROUND(G444*(1-SUMIFS(İndirimler!$D$2:$D$110,İndirimler!$A$2:$A$110,B444,İndirimler!$B$2:$B$110,C444)),2),"")</x:f>
        <x:v>#NAME?</x:v>
      </x:c>
      <x:c r="J444" s="12" t="s">
        <x:v>738</x:v>
      </x:c>
      <x:c r="K444" s="31"/>
    </x:row>
    <x:row r="445" ht="21.950000762939453" customHeight="1">
      <x:c r="A445" s="15" t="s">
        <x:v>739</x:v>
      </x:c>
      <x:c r="B445" s="12" t="s">
        <x:v>18</x:v>
      </x:c>
      <x:c r="C445" s="12" t="s">
        <x:v>76</x:v>
      </x:c>
      <x:c r="D445" s="12" t="s">
        <x:v>704</x:v>
      </x:c>
      <x:c r="E445" s="12"/>
      <x:c r="F445" s="12" t="s">
        <x:v>16</x:v>
      </x:c>
      <x:c r="G445" s="18">
        <x:v>295</x:v>
      </x:c>
      <x:c r="H445" s="21" t="e">
        <x:f>IF(SUMIFS(İndirimler!$C$2:$C$110,İndirimler!$A$2:$A$110,B445,İndirimler!$B$2:$B$110,C445)&gt;0,ROUND(G445*(1-SUMIFS(İndirimler!$C$2:$C$110,İndirimler!$A$2:$A$110,B445,İndirimler!$B$2:$B$110,C445)),2),"")</x:f>
        <x:v>#NAME?</x:v>
      </x:c>
      <x:c r="I445" s="24" t="e">
        <x:f>IF(SUMIFS(İndirimler!$D$2:$D$110,İndirimler!$A$2:$A$110,B445,İndirimler!$B$2:$B$110,C445)&gt;0,ROUND(G445*(1-SUMIFS(İndirimler!$D$2:$D$110,İndirimler!$A$2:$A$110,B445,İndirimler!$B$2:$B$110,C445)),2),"")</x:f>
        <x:v>#NAME?</x:v>
      </x:c>
      <x:c r="J445" s="12"/>
      <x:c r="K445" s="31"/>
    </x:row>
    <x:row r="446" ht="21.950000762939453" customHeight="1">
      <x:c r="A446" s="15" t="s">
        <x:v>740</x:v>
      </x:c>
      <x:c r="B446" s="12" t="s">
        <x:v>709</x:v>
      </x:c>
      <x:c r="C446" s="12" t="s">
        <x:v>76</x:v>
      </x:c>
      <x:c r="D446" s="12" t="s">
        <x:v>704</x:v>
      </x:c>
      <x:c r="E446" s="12"/>
      <x:c r="F446" s="12" t="s">
        <x:v>16</x:v>
      </x:c>
      <x:c r="G446" s="18">
        <x:v>359</x:v>
      </x:c>
      <x:c r="H446" s="21" t="e">
        <x:f>IF(SUMIFS(İndirimler!$C$2:$C$110,İndirimler!$A$2:$A$110,B446,İndirimler!$B$2:$B$110,C446)&gt;0,ROUND(G446*(1-SUMIFS(İndirimler!$C$2:$C$110,İndirimler!$A$2:$A$110,B446,İndirimler!$B$2:$B$110,C446)),2),"")</x:f>
        <x:v>#NAME?</x:v>
      </x:c>
      <x:c r="I446" s="24" t="e">
        <x:f>IF(SUMIFS(İndirimler!$D$2:$D$110,İndirimler!$A$2:$A$110,B446,İndirimler!$B$2:$B$110,C446)&gt;0,ROUND(G446*(1-SUMIFS(İndirimler!$D$2:$D$110,İndirimler!$A$2:$A$110,B446,İndirimler!$B$2:$B$110,C446)),2),"")</x:f>
        <x:v>#NAME?</x:v>
      </x:c>
      <x:c r="J446" s="12"/>
      <x:c r="K446" s="31"/>
    </x:row>
    <x:row r="447" ht="21.950000762939453" customHeight="1">
      <x:c r="A447" s="15" t="s">
        <x:v>741</x:v>
      </x:c>
      <x:c r="B447" s="12" t="s">
        <x:v>44</x:v>
      </x:c>
      <x:c r="C447" s="12" t="s">
        <x:v>76</x:v>
      </x:c>
      <x:c r="D447" s="12" t="s">
        <x:v>704</x:v>
      </x:c>
      <x:c r="E447" s="12" t="s">
        <x:v>60</x:v>
      </x:c>
      <x:c r="F447" s="12" t="s">
        <x:v>16</x:v>
      </x:c>
      <x:c r="G447" s="18">
        <x:v>274</x:v>
      </x:c>
      <x:c r="H447" s="21" t="e">
        <x:f>IF(SUMIFS(İndirimler!$C$2:$C$110,İndirimler!$A$2:$A$110,B447,İndirimler!$B$2:$B$110,C447)&gt;0,ROUND(G447*(1-SUMIFS(İndirimler!$C$2:$C$110,İndirimler!$A$2:$A$110,B447,İndirimler!$B$2:$B$110,C447)),2),"")</x:f>
        <x:v>#NAME?</x:v>
      </x:c>
      <x:c r="I447" s="24" t="e">
        <x:f>IF(SUMIFS(İndirimler!$D$2:$D$110,İndirimler!$A$2:$A$110,B447,İndirimler!$B$2:$B$110,C447)&gt;0,ROUND(G447*(1-SUMIFS(İndirimler!$D$2:$D$110,İndirimler!$A$2:$A$110,B447,İndirimler!$B$2:$B$110,C447)),2),"")</x:f>
        <x:v>#NAME?</x:v>
      </x:c>
      <x:c r="J447" s="12" t="s">
        <x:v>742</x:v>
      </x:c>
      <x:c r="K447" s="31"/>
    </x:row>
    <x:row r="448" ht="21.950000762939453" customHeight="1">
      <x:c r="A448" s="15" t="s">
        <x:v>743</x:v>
      </x:c>
      <x:c r="B448" s="12" t="s">
        <x:v>63</x:v>
      </x:c>
      <x:c r="C448" s="12" t="s">
        <x:v>76</x:v>
      </x:c>
      <x:c r="D448" s="12" t="s">
        <x:v>704</x:v>
      </x:c>
      <x:c r="E448" s="12" t="s">
        <x:v>64</x:v>
      </x:c>
      <x:c r="F448" s="12" t="s">
        <x:v>16</x:v>
      </x:c>
      <x:c r="G448" s="18">
        <x:v>405</x:v>
      </x:c>
      <x:c r="H448" s="21" t="e">
        <x:f>IF(SUMIFS(İndirimler!$C$2:$C$110,İndirimler!$A$2:$A$110,B448,İndirimler!$B$2:$B$110,C448)&gt;0,ROUND(G448*(1-SUMIFS(İndirimler!$C$2:$C$110,İndirimler!$A$2:$A$110,B448,İndirimler!$B$2:$B$110,C448)),2),"")</x:f>
        <x:v>#NAME?</x:v>
      </x:c>
      <x:c r="I448" s="24" t="e">
        <x:f>IF(SUMIFS(İndirimler!$D$2:$D$110,İndirimler!$A$2:$A$110,B448,İndirimler!$B$2:$B$110,C448)&gt;0,ROUND(G448*(1-SUMIFS(İndirimler!$D$2:$D$110,İndirimler!$A$2:$A$110,B448,İndirimler!$B$2:$B$110,C448)),2),"")</x:f>
        <x:v>#NAME?</x:v>
      </x:c>
      <x:c r="J448" s="12" t="s">
        <x:v>744</x:v>
      </x:c>
      <x:c r="K448" s="31"/>
    </x:row>
    <x:row r="449" ht="21.950000762939453" customHeight="1">
      <x:c r="A449" s="15" t="s">
        <x:v>745</x:v>
      </x:c>
      <x:c r="B449" s="12" t="s">
        <x:v>23</x:v>
      </x:c>
      <x:c r="C449" s="12" t="s">
        <x:v>76</x:v>
      </x:c>
      <x:c r="D449" s="12" t="s">
        <x:v>704</x:v>
      </x:c>
      <x:c r="E449" s="12"/>
      <x:c r="F449" s="12" t="s">
        <x:v>16</x:v>
      </x:c>
      <x:c r="G449" s="18">
        <x:v>622</x:v>
      </x:c>
      <x:c r="H449" s="21" t="e">
        <x:f>IF(SUMIFS(İndirimler!$C$2:$C$110,İndirimler!$A$2:$A$110,B449,İndirimler!$B$2:$B$110,C449)&gt;0,ROUND(G449*(1-SUMIFS(İndirimler!$C$2:$C$110,İndirimler!$A$2:$A$110,B449,İndirimler!$B$2:$B$110,C449)),2),"")</x:f>
        <x:v>#NAME?</x:v>
      </x:c>
      <x:c r="I449" s="24" t="e">
        <x:f>IF(SUMIFS(İndirimler!$D$2:$D$110,İndirimler!$A$2:$A$110,B449,İndirimler!$B$2:$B$110,C449)&gt;0,ROUND(G449*(1-SUMIFS(İndirimler!$D$2:$D$110,İndirimler!$A$2:$A$110,B449,İndirimler!$B$2:$B$110,C449)),2),"")</x:f>
        <x:v>#NAME?</x:v>
      </x:c>
      <x:c r="J449" s="12" t="s">
        <x:v>746</x:v>
      </x:c>
      <x:c r="K449" s="31"/>
    </x:row>
    <x:row r="450" ht="21.950000762939453" customHeight="1">
      <x:c r="A450" s="15" t="s">
        <x:v>747</x:v>
      </x:c>
      <x:c r="B450" s="12" t="s">
        <x:v>50</x:v>
      </x:c>
      <x:c r="C450" s="12" t="s">
        <x:v>76</x:v>
      </x:c>
      <x:c r="D450" s="12" t="s">
        <x:v>704</x:v>
      </x:c>
      <x:c r="E450" s="12" t="s">
        <x:v>69</x:v>
      </x:c>
      <x:c r="F450" s="12" t="s">
        <x:v>16</x:v>
      </x:c>
      <x:c r="G450" s="18">
        <x:v>475</x:v>
      </x:c>
      <x:c r="H450" s="21" t="e">
        <x:f>IF(SUMIFS(İndirimler!$C$2:$C$110,İndirimler!$A$2:$A$110,B450,İndirimler!$B$2:$B$110,C450)&gt;0,ROUND(G450*(1-SUMIFS(İndirimler!$C$2:$C$110,İndirimler!$A$2:$A$110,B450,İndirimler!$B$2:$B$110,C450)),2),"")</x:f>
        <x:v>#NAME?</x:v>
      </x:c>
      <x:c r="I450" s="24" t="e">
        <x:f>IF(SUMIFS(İndirimler!$D$2:$D$110,İndirimler!$A$2:$A$110,B450,İndirimler!$B$2:$B$110,C450)&gt;0,ROUND(G450*(1-SUMIFS(İndirimler!$D$2:$D$110,İndirimler!$A$2:$A$110,B450,İndirimler!$B$2:$B$110,C450)),2),"")</x:f>
        <x:v>#NAME?</x:v>
      </x:c>
      <x:c r="J450" s="12"/>
      <x:c r="K450" s="31"/>
    </x:row>
    <x:row r="451" ht="21.950000762939453" customHeight="1">
      <x:c r="A451" s="15" t="s">
        <x:v>748</x:v>
      </x:c>
      <x:c r="B451" s="12" t="s">
        <x:v>38</x:v>
      </x:c>
      <x:c r="C451" s="12" t="s">
        <x:v>76</x:v>
      </x:c>
      <x:c r="D451" s="12" t="s">
        <x:v>704</x:v>
      </x:c>
      <x:c r="E451" s="12" t="s">
        <x:v>69</x:v>
      </x:c>
      <x:c r="F451" s="12" t="s">
        <x:v>16</x:v>
      </x:c>
      <x:c r="G451" s="18">
        <x:v>409</x:v>
      </x:c>
      <x:c r="H451" s="21" t="e">
        <x:f>IF(SUMIFS(İndirimler!$C$2:$C$110,İndirimler!$A$2:$A$110,B451,İndirimler!$B$2:$B$110,C451)&gt;0,ROUND(G451*(1-SUMIFS(İndirimler!$C$2:$C$110,İndirimler!$A$2:$A$110,B451,İndirimler!$B$2:$B$110,C451)),2),"")</x:f>
        <x:v>#NAME?</x:v>
      </x:c>
      <x:c r="I451" s="24" t="e">
        <x:f>IF(SUMIFS(İndirimler!$D$2:$D$110,İndirimler!$A$2:$A$110,B451,İndirimler!$B$2:$B$110,C451)&gt;0,ROUND(G451*(1-SUMIFS(İndirimler!$D$2:$D$110,İndirimler!$A$2:$A$110,B451,İndirimler!$B$2:$B$110,C451)),2),"")</x:f>
        <x:v>#NAME?</x:v>
      </x:c>
      <x:c r="J451" s="12" t="s">
        <x:v>749</x:v>
      </x:c>
      <x:c r="K451" s="31"/>
    </x:row>
    <x:row r="452" ht="21.950000762939453" customHeight="1">
      <x:c r="A452" s="15" t="s">
        <x:v>750</x:v>
      </x:c>
      <x:c r="B452" s="12" t="s">
        <x:v>72</x:v>
      </x:c>
      <x:c r="C452" s="12" t="s">
        <x:v>76</x:v>
      </x:c>
      <x:c r="D452" s="12" t="s">
        <x:v>704</x:v>
      </x:c>
      <x:c r="E452" s="12"/>
      <x:c r="F452" s="12" t="s">
        <x:v>73</x:v>
      </x:c>
      <x:c r="G452" s="18">
        <x:v>345</x:v>
      </x:c>
      <x:c r="H452" s="21" t="e">
        <x:f>IF(SUMIFS(İndirimler!$C$2:$C$110,İndirimler!$A$2:$A$110,B452,İndirimler!$B$2:$B$110,C452)&gt;0,ROUND(G452*(1-SUMIFS(İndirimler!$C$2:$C$110,İndirimler!$A$2:$A$110,B452,İndirimler!$B$2:$B$110,C452)),2),"")</x:f>
        <x:v>#NAME?</x:v>
      </x:c>
      <x:c r="I452" s="24" t="e">
        <x:f>IF(SUMIFS(İndirimler!$D$2:$D$110,İndirimler!$A$2:$A$110,B452,İndirimler!$B$2:$B$110,C452)&gt;0,ROUND(G452*(1-SUMIFS(İndirimler!$D$2:$D$110,İndirimler!$A$2:$A$110,B452,İndirimler!$B$2:$B$110,C452)),2),"")</x:f>
        <x:v>#NAME?</x:v>
      </x:c>
      <x:c r="J452" s="12"/>
      <x:c r="K452" s="31"/>
    </x:row>
    <x:row r="453" ht="21.950000762939453" customHeight="1">
      <x:c r="A453" s="15" t="s">
        <x:v>751</x:v>
      </x:c>
      <x:c r="B453" s="12" t="s">
        <x:v>38</x:v>
      </x:c>
      <x:c r="C453" s="12" t="s">
        <x:v>101</x:v>
      </x:c>
      <x:c r="D453" s="12" t="s">
        <x:v>704</x:v>
      </x:c>
      <x:c r="E453" s="12"/>
      <x:c r="F453" s="12" t="s">
        <x:v>35</x:v>
      </x:c>
      <x:c r="G453" s="18"/>
      <x:c r="H453" s="21" t="e">
        <x:f>IF(SUMIFS(İndirimler!$C$2:$C$110,İndirimler!$A$2:$A$110,B453,İndirimler!$B$2:$B$110,C453)&gt;0,ROUND(G453*(1-SUMIFS(İndirimler!$C$2:$C$110,İndirimler!$A$2:$A$110,B453,İndirimler!$B$2:$B$110,C453)),2),"")</x:f>
        <x:v>#NAME?</x:v>
      </x:c>
      <x:c r="I453" s="24" t="e">
        <x:f>IF(SUMIFS(İndirimler!$D$2:$D$110,İndirimler!$A$2:$A$110,B453,İndirimler!$B$2:$B$110,C453)&gt;0,ROUND(G453*(1-SUMIFS(İndirimler!$D$2:$D$110,İndirimler!$A$2:$A$110,B453,İndirimler!$B$2:$B$110,C453)),2),"")</x:f>
        <x:v>#NAME?</x:v>
      </x:c>
      <x:c r="J453" s="12"/>
      <x:c r="K453" s="31"/>
    </x:row>
    <x:row r="454" ht="21.950000762939453" customHeight="1">
      <x:c r="A454" s="15" t="s">
        <x:v>752</x:v>
      </x:c>
      <x:c r="B454" s="12" t="s">
        <x:v>709</x:v>
      </x:c>
      <x:c r="C454" s="12" t="s">
        <x:v>101</x:v>
      </x:c>
      <x:c r="D454" s="12" t="s">
        <x:v>704</x:v>
      </x:c>
      <x:c r="E454" s="12"/>
      <x:c r="F454" s="12" t="s">
        <x:v>42</x:v>
      </x:c>
      <x:c r="G454" s="18"/>
      <x:c r="H454" s="21" t="e">
        <x:f>IF(SUMIFS(İndirimler!$C$2:$C$110,İndirimler!$A$2:$A$110,B454,İndirimler!$B$2:$B$110,C454)&gt;0,ROUND(G454*(1-SUMIFS(İndirimler!$C$2:$C$110,İndirimler!$A$2:$A$110,B454,İndirimler!$B$2:$B$110,C454)),2),"")</x:f>
        <x:v>#NAME?</x:v>
      </x:c>
      <x:c r="I454" s="24" t="e">
        <x:f>IF(SUMIFS(İndirimler!$D$2:$D$110,İndirimler!$A$2:$A$110,B454,İndirimler!$B$2:$B$110,C454)&gt;0,ROUND(G454*(1-SUMIFS(İndirimler!$D$2:$D$110,İndirimler!$A$2:$A$110,B454,İndirimler!$B$2:$B$110,C454)),2),"")</x:f>
        <x:v>#NAME?</x:v>
      </x:c>
      <x:c r="J454" s="12"/>
      <x:c r="K454" s="31"/>
    </x:row>
    <x:row r="455" ht="21.950000762939453" customHeight="1">
      <x:c r="A455" s="15" t="s">
        <x:v>753</x:v>
      </x:c>
      <x:c r="B455" s="12" t="s">
        <x:v>72</x:v>
      </x:c>
      <x:c r="C455" s="12" t="s">
        <x:v>101</x:v>
      </x:c>
      <x:c r="D455" s="12" t="s">
        <x:v>704</x:v>
      </x:c>
      <x:c r="E455" s="12" t="s">
        <x:v>104</x:v>
      </x:c>
      <x:c r="F455" s="12" t="s">
        <x:v>42</x:v>
      </x:c>
      <x:c r="G455" s="18"/>
      <x:c r="H455" s="21" t="e">
        <x:f>IF(SUMIFS(İndirimler!$C$2:$C$110,İndirimler!$A$2:$A$110,B455,İndirimler!$B$2:$B$110,C455)&gt;0,ROUND(G455*(1-SUMIFS(İndirimler!$C$2:$C$110,İndirimler!$A$2:$A$110,B455,İndirimler!$B$2:$B$110,C455)),2),"")</x:f>
        <x:v>#NAME?</x:v>
      </x:c>
      <x:c r="I455" s="24" t="e">
        <x:f>IF(SUMIFS(İndirimler!$D$2:$D$110,İndirimler!$A$2:$A$110,B455,İndirimler!$B$2:$B$110,C455)&gt;0,ROUND(G455*(1-SUMIFS(İndirimler!$D$2:$D$110,İndirimler!$A$2:$A$110,B455,İndirimler!$B$2:$B$110,C455)),2),"")</x:f>
        <x:v>#NAME?</x:v>
      </x:c>
      <x:c r="J455" s="12"/>
      <x:c r="K455" s="31"/>
    </x:row>
    <x:row r="456" ht="21.950000762939453" customHeight="1">
      <x:c r="A456" s="15" t="s">
        <x:v>754</x:v>
      </x:c>
      <x:c r="B456" s="12" t="s">
        <x:v>23</x:v>
      </x:c>
      <x:c r="C456" s="12" t="s">
        <x:v>101</x:v>
      </x:c>
      <x:c r="D456" s="12" t="s">
        <x:v>704</x:v>
      </x:c>
      <x:c r="E456" s="12"/>
      <x:c r="F456" s="12" t="s">
        <x:v>42</x:v>
      </x:c>
      <x:c r="G456" s="18">
        <x:v>498</x:v>
      </x:c>
      <x:c r="H456" s="21" t="e">
        <x:f>IF(SUMIFS(İndirimler!$C$2:$C$110,İndirimler!$A$2:$A$110,B456,İndirimler!$B$2:$B$110,C456)&gt;0,ROUND(G456*(1-SUMIFS(İndirimler!$C$2:$C$110,İndirimler!$A$2:$A$110,B456,İndirimler!$B$2:$B$110,C456)),2),"")</x:f>
        <x:v>#NAME?</x:v>
      </x:c>
      <x:c r="I456" s="24" t="e">
        <x:f>IF(SUMIFS(İndirimler!$D$2:$D$110,İndirimler!$A$2:$A$110,B456,İndirimler!$B$2:$B$110,C456)&gt;0,ROUND(G456*(1-SUMIFS(İndirimler!$D$2:$D$110,İndirimler!$A$2:$A$110,B456,İndirimler!$B$2:$B$110,C456)),2),"")</x:f>
        <x:v>#NAME?</x:v>
      </x:c>
      <x:c r="J456" s="12" t="s">
        <x:v>755</x:v>
      </x:c>
      <x:c r="K456" s="31"/>
    </x:row>
    <x:row r="457" ht="21.950000762939453" customHeight="1">
      <x:c r="A457" s="15" t="s">
        <x:v>756</x:v>
      </x:c>
      <x:c r="B457" s="12" t="s">
        <x:v>55</x:v>
      </x:c>
      <x:c r="C457" s="12" t="s">
        <x:v>101</x:v>
      </x:c>
      <x:c r="D457" s="12" t="s">
        <x:v>704</x:v>
      </x:c>
      <x:c r="E457" s="12"/>
      <x:c r="F457" s="12" t="s">
        <x:v>16</x:v>
      </x:c>
      <x:c r="G457" s="18">
        <x:v>346</x:v>
      </x:c>
      <x:c r="H457" s="21" t="e">
        <x:f>IF(SUMIFS(İndirimler!$C$2:$C$110,İndirimler!$A$2:$A$110,B457,İndirimler!$B$2:$B$110,C457)&gt;0,ROUND(G457*(1-SUMIFS(İndirimler!$C$2:$C$110,İndirimler!$A$2:$A$110,B457,İndirimler!$B$2:$B$110,C457)),2),"")</x:f>
        <x:v>#NAME?</x:v>
      </x:c>
      <x:c r="I457" s="24" t="e">
        <x:f>IF(SUMIFS(İndirimler!$D$2:$D$110,İndirimler!$A$2:$A$110,B457,İndirimler!$B$2:$B$110,C457)&gt;0,ROUND(G457*(1-SUMIFS(İndirimler!$D$2:$D$110,İndirimler!$A$2:$A$110,B457,İndirimler!$B$2:$B$110,C457)),2),"")</x:f>
        <x:v>#NAME?</x:v>
      </x:c>
      <x:c r="J457" s="12"/>
      <x:c r="K457" s="31"/>
    </x:row>
    <x:row r="458" ht="21.950000762939453" customHeight="1">
      <x:c r="A458" s="15" t="s">
        <x:v>757</x:v>
      </x:c>
      <x:c r="B458" s="12" t="s">
        <x:v>18</x:v>
      </x:c>
      <x:c r="C458" s="12" t="s">
        <x:v>101</x:v>
      </x:c>
      <x:c r="D458" s="12" t="s">
        <x:v>704</x:v>
      </x:c>
      <x:c r="E458" s="12"/>
      <x:c r="F458" s="12" t="s">
        <x:v>16</x:v>
      </x:c>
      <x:c r="G458" s="18"/>
      <x:c r="H458" s="21" t="e">
        <x:f>IF(SUMIFS(İndirimler!$C$2:$C$110,İndirimler!$A$2:$A$110,B458,İndirimler!$B$2:$B$110,C458)&gt;0,ROUND(G458*(1-SUMIFS(İndirimler!$C$2:$C$110,İndirimler!$A$2:$A$110,B458,İndirimler!$B$2:$B$110,C458)),2),"")</x:f>
        <x:v>#NAME?</x:v>
      </x:c>
      <x:c r="I458" s="24" t="e">
        <x:f>IF(SUMIFS(İndirimler!$D$2:$D$110,İndirimler!$A$2:$A$110,B458,İndirimler!$B$2:$B$110,C458)&gt;0,ROUND(G458*(1-SUMIFS(İndirimler!$D$2:$D$110,İndirimler!$A$2:$A$110,B458,İndirimler!$B$2:$B$110,C458)),2),"")</x:f>
        <x:v>#NAME?</x:v>
      </x:c>
      <x:c r="J458" s="30" t="s">
        <x:v>758</x:v>
      </x:c>
      <x:c r="K458" s="31"/>
    </x:row>
    <x:row r="459" ht="21.950000762939453" customHeight="1">
      <x:c r="A459" s="15" t="s">
        <x:v>759</x:v>
      </x:c>
      <x:c r="B459" s="12" t="s">
        <x:v>709</x:v>
      </x:c>
      <x:c r="C459" s="12" t="s">
        <x:v>101</x:v>
      </x:c>
      <x:c r="D459" s="12" t="s">
        <x:v>704</x:v>
      </x:c>
      <x:c r="E459" s="12"/>
      <x:c r="F459" s="12" t="s">
        <x:v>16</x:v>
      </x:c>
      <x:c r="G459" s="18"/>
      <x:c r="H459" s="21" t="e">
        <x:f>IF(SUMIFS(İndirimler!$C$2:$C$110,İndirimler!$A$2:$A$110,B459,İndirimler!$B$2:$B$110,C459)&gt;0,ROUND(G459*(1-SUMIFS(İndirimler!$C$2:$C$110,İndirimler!$A$2:$A$110,B459,İndirimler!$B$2:$B$110,C459)),2),"")</x:f>
        <x:v>#NAME?</x:v>
      </x:c>
      <x:c r="I459" s="24" t="e">
        <x:f>IF(SUMIFS(İndirimler!$D$2:$D$110,İndirimler!$A$2:$A$110,B459,İndirimler!$B$2:$B$110,C459)&gt;0,ROUND(G459*(1-SUMIFS(İndirimler!$D$2:$D$110,İndirimler!$A$2:$A$110,B459,İndirimler!$B$2:$B$110,C459)),2),"")</x:f>
        <x:v>#NAME?</x:v>
      </x:c>
      <x:c r="J459" s="12"/>
      <x:c r="K459" s="31"/>
    </x:row>
    <x:row r="460" ht="21.950000762939453" customHeight="1">
      <x:c r="A460" s="15" t="s">
        <x:v>760</x:v>
      </x:c>
      <x:c r="B460" s="12" t="s">
        <x:v>63</x:v>
      </x:c>
      <x:c r="C460" s="12" t="s">
        <x:v>101</x:v>
      </x:c>
      <x:c r="D460" s="12" t="s">
        <x:v>704</x:v>
      </x:c>
      <x:c r="E460" s="12" t="s">
        <x:v>64</x:v>
      </x:c>
      <x:c r="F460" s="12" t="s">
        <x:v>16</x:v>
      </x:c>
      <x:c r="G460" s="18"/>
      <x:c r="H460" s="21" t="e">
        <x:f>IF(SUMIFS(İndirimler!$C$2:$C$110,İndirimler!$A$2:$A$110,B460,İndirimler!$B$2:$B$110,C460)&gt;0,ROUND(G460*(1-SUMIFS(İndirimler!$C$2:$C$110,İndirimler!$A$2:$A$110,B460,İndirimler!$B$2:$B$110,C460)),2),"")</x:f>
        <x:v>#NAME?</x:v>
      </x:c>
      <x:c r="I460" s="24" t="e">
        <x:f>IF(SUMIFS(İndirimler!$D$2:$D$110,İndirimler!$A$2:$A$110,B460,İndirimler!$B$2:$B$110,C460)&gt;0,ROUND(G460*(1-SUMIFS(İndirimler!$D$2:$D$110,İndirimler!$A$2:$A$110,B460,İndirimler!$B$2:$B$110,C460)),2),"")</x:f>
        <x:v>#NAME?</x:v>
      </x:c>
      <x:c r="J460" s="12" t="s">
        <x:v>761</x:v>
      </x:c>
      <x:c r="K460" s="31"/>
    </x:row>
    <x:row r="461" ht="21.950000762939453" customHeight="1">
      <x:c r="A461" s="15" t="s">
        <x:v>762</x:v>
      </x:c>
      <x:c r="B461" s="12" t="s">
        <x:v>23</x:v>
      </x:c>
      <x:c r="C461" s="12" t="s">
        <x:v>101</x:v>
      </x:c>
      <x:c r="D461" s="12" t="s">
        <x:v>704</x:v>
      </x:c>
      <x:c r="E461" s="12"/>
      <x:c r="F461" s="12" t="s">
        <x:v>16</x:v>
      </x:c>
      <x:c r="G461" s="18">
        <x:v>490</x:v>
      </x:c>
      <x:c r="H461" s="21" t="e">
        <x:f>IF(SUMIFS(İndirimler!$C$2:$C$110,İndirimler!$A$2:$A$110,B461,İndirimler!$B$2:$B$110,C461)&gt;0,ROUND(G461*(1-SUMIFS(İndirimler!$C$2:$C$110,İndirimler!$A$2:$A$110,B461,İndirimler!$B$2:$B$110,C461)),2),"")</x:f>
        <x:v>#NAME?</x:v>
      </x:c>
      <x:c r="I461" s="24" t="e">
        <x:f>IF(SUMIFS(İndirimler!$D$2:$D$110,İndirimler!$A$2:$A$110,B461,İndirimler!$B$2:$B$110,C461)&gt;0,ROUND(G461*(1-SUMIFS(İndirimler!$D$2:$D$110,İndirimler!$A$2:$A$110,B461,İndirimler!$B$2:$B$110,C461)),2),"")</x:f>
        <x:v>#NAME?</x:v>
      </x:c>
      <x:c r="J461" s="12" t="s">
        <x:v>763</x:v>
      </x:c>
      <x:c r="K461" s="31"/>
    </x:row>
    <x:row r="462" ht="21.950000762939453" customHeight="1">
      <x:c r="A462" s="15" t="s">
        <x:v>764</x:v>
      </x:c>
      <x:c r="B462" s="12" t="s">
        <x:v>50</x:v>
      </x:c>
      <x:c r="C462" s="12" t="s">
        <x:v>101</x:v>
      </x:c>
      <x:c r="D462" s="12" t="s">
        <x:v>704</x:v>
      </x:c>
      <x:c r="E462" s="12" t="s">
        <x:v>69</x:v>
      </x:c>
      <x:c r="F462" s="12" t="s">
        <x:v>16</x:v>
      </x:c>
      <x:c r="G462" s="18">
        <x:v>598</x:v>
      </x:c>
      <x:c r="H462" s="21" t="e">
        <x:f>IF(SUMIFS(İndirimler!$C$2:$C$110,İndirimler!$A$2:$A$110,B462,İndirimler!$B$2:$B$110,C462)&gt;0,ROUND(G462*(1-SUMIFS(İndirimler!$C$2:$C$110,İndirimler!$A$2:$A$110,B462,İndirimler!$B$2:$B$110,C462)),2),"")</x:f>
        <x:v>#NAME?</x:v>
      </x:c>
      <x:c r="I462" s="24" t="e">
        <x:f>IF(SUMIFS(İndirimler!$D$2:$D$110,İndirimler!$A$2:$A$110,B462,İndirimler!$B$2:$B$110,C462)&gt;0,ROUND(G462*(1-SUMIFS(İndirimler!$D$2:$D$110,İndirimler!$A$2:$A$110,B462,İndirimler!$B$2:$B$110,C462)),2),"")</x:f>
        <x:v>#NAME?</x:v>
      </x:c>
      <x:c r="J462" s="12"/>
      <x:c r="K462" s="31"/>
    </x:row>
    <x:row r="463" ht="21.950000762939453" customHeight="1">
      <x:c r="A463" s="15" t="s">
        <x:v>765</x:v>
      </x:c>
      <x:c r="B463" s="12" t="s">
        <x:v>38</x:v>
      </x:c>
      <x:c r="C463" s="12" t="s">
        <x:v>101</x:v>
      </x:c>
      <x:c r="D463" s="12" t="s">
        <x:v>704</x:v>
      </x:c>
      <x:c r="E463" s="12"/>
      <x:c r="F463" s="12" t="s">
        <x:v>16</x:v>
      </x:c>
      <x:c r="G463" s="18"/>
      <x:c r="H463" s="21" t="e">
        <x:f>IF(SUMIFS(İndirimler!$C$2:$C$110,İndirimler!$A$2:$A$110,B463,İndirimler!$B$2:$B$110,C463)&gt;0,ROUND(G463*(1-SUMIFS(İndirimler!$C$2:$C$110,İndirimler!$A$2:$A$110,B463,İndirimler!$B$2:$B$110,C463)),2),"")</x:f>
        <x:v>#NAME?</x:v>
      </x:c>
      <x:c r="I463" s="24" t="e">
        <x:f>IF(SUMIFS(İndirimler!$D$2:$D$110,İndirimler!$A$2:$A$110,B463,İndirimler!$B$2:$B$110,C463)&gt;0,ROUND(G463*(1-SUMIFS(İndirimler!$D$2:$D$110,İndirimler!$A$2:$A$110,B463,İndirimler!$B$2:$B$110,C463)),2),"")</x:f>
        <x:v>#NAME?</x:v>
      </x:c>
      <x:c r="J463" s="12"/>
      <x:c r="K463" s="31"/>
    </x:row>
    <x:row r="464" ht="21.950000762939453" customHeight="1">
      <x:c r="A464" s="15" t="s">
        <x:v>766</x:v>
      </x:c>
      <x:c r="B464" s="12" t="s">
        <x:v>72</x:v>
      </x:c>
      <x:c r="C464" s="12" t="s">
        <x:v>101</x:v>
      </x:c>
      <x:c r="D464" s="12" t="s">
        <x:v>704</x:v>
      </x:c>
      <x:c r="E464" s="12"/>
      <x:c r="F464" s="12" t="s">
        <x:v>73</x:v>
      </x:c>
      <x:c r="G464" s="18"/>
      <x:c r="H464" s="21" t="e">
        <x:f>IF(SUMIFS(İndirimler!$C$2:$C$110,İndirimler!$A$2:$A$110,B464,İndirimler!$B$2:$B$110,C464)&gt;0,ROUND(G464*(1-SUMIFS(İndirimler!$C$2:$C$110,İndirimler!$A$2:$A$110,B464,İndirimler!$B$2:$B$110,C464)),2),"")</x:f>
        <x:v>#NAME?</x:v>
      </x:c>
      <x:c r="I464" s="24" t="e">
        <x:f>IF(SUMIFS(İndirimler!$D$2:$D$110,İndirimler!$A$2:$A$110,B464,İndirimler!$B$2:$B$110,C464)&gt;0,ROUND(G464*(1-SUMIFS(İndirimler!$D$2:$D$110,İndirimler!$A$2:$A$110,B464,İndirimler!$B$2:$B$110,C464)),2),"")</x:f>
        <x:v>#NAME?</x:v>
      </x:c>
      <x:c r="J464" s="12"/>
      <x:c r="K464" s="31"/>
    </x:row>
    <x:row r="465" ht="21.950000762939453" customHeight="1">
      <x:c r="A465" s="15" t="s">
        <x:v>767</x:v>
      </x:c>
      <x:c r="B465" s="12" t="s">
        <x:v>18</x:v>
      </x:c>
      <x:c r="C465" s="12" t="s">
        <x:v>13</x:v>
      </x:c>
      <x:c r="D465" s="12" t="s">
        <x:v>704</x:v>
      </x:c>
      <x:c r="E465" s="12"/>
      <x:c r="F465" s="12" t="s">
        <x:v>16</x:v>
      </x:c>
      <x:c r="G465" s="18">
        <x:v>459</x:v>
      </x:c>
      <x:c r="H465" s="21" t="e">
        <x:f>IF(SUMIFS(İndirimler!$C$2:$C$110,İndirimler!$A$2:$A$110,B465,İndirimler!$B$2:$B$110,C465)&gt;0,ROUND(G465*(1-SUMIFS(İndirimler!$C$2:$C$110,İndirimler!$A$2:$A$110,B465,İndirimler!$B$2:$B$110,C465)),2),"")</x:f>
        <x:v>#NAME?</x:v>
      </x:c>
      <x:c r="I465" s="24" t="e">
        <x:f>IF(SUMIFS(İndirimler!$D$2:$D$110,İndirimler!$A$2:$A$110,B465,İndirimler!$B$2:$B$110,C465)&gt;0,ROUND(G465*(1-SUMIFS(İndirimler!$D$2:$D$110,İndirimler!$A$2:$A$110,B465,İndirimler!$B$2:$B$110,C465)),2),"")</x:f>
        <x:v>#NAME?</x:v>
      </x:c>
      <x:c r="J465" s="12" t="s">
        <x:v>768</x:v>
      </x:c>
      <x:c r="K465" s="31"/>
    </x:row>
    <x:row r="466" ht="21.950000762939453" customHeight="1">
      <x:c r="A466" s="15" t="s">
        <x:v>769</x:v>
      </x:c>
      <x:c r="B466" s="12" t="s">
        <x:v>709</x:v>
      </x:c>
      <x:c r="C466" s="12" t="s">
        <x:v>13</x:v>
      </x:c>
      <x:c r="D466" s="12" t="s">
        <x:v>704</x:v>
      </x:c>
      <x:c r="E466" s="12"/>
      <x:c r="F466" s="12" t="s">
        <x:v>16</x:v>
      </x:c>
      <x:c r="G466" s="18">
        <x:v>429</x:v>
      </x:c>
      <x:c r="H466" s="21" t="e">
        <x:f>IF(SUMIFS(İndirimler!$C$2:$C$110,İndirimler!$A$2:$A$110,B466,İndirimler!$B$2:$B$110,C466)&gt;0,ROUND(G466*(1-SUMIFS(İndirimler!$C$2:$C$110,İndirimler!$A$2:$A$110,B466,İndirimler!$B$2:$B$110,C466)),2),"")</x:f>
        <x:v>#NAME?</x:v>
      </x:c>
      <x:c r="I466" s="24" t="e">
        <x:f>IF(SUMIFS(İndirimler!$D$2:$D$110,İndirimler!$A$2:$A$110,B466,İndirimler!$B$2:$B$110,C466)&gt;0,ROUND(G466*(1-SUMIFS(İndirimler!$D$2:$D$110,İndirimler!$A$2:$A$110,B466,İndirimler!$B$2:$B$110,C466)),2),"")</x:f>
        <x:v>#NAME?</x:v>
      </x:c>
      <x:c r="J466" s="12"/>
      <x:c r="K466" s="31"/>
    </x:row>
    <x:row r="467" ht="21.950000762939453" customHeight="1">
      <x:c r="A467" s="15" t="s">
        <x:v>770</x:v>
      </x:c>
      <x:c r="B467" s="12" t="s">
        <x:v>23</x:v>
      </x:c>
      <x:c r="C467" s="12" t="s">
        <x:v>13</x:v>
      </x:c>
      <x:c r="D467" s="12" t="s">
        <x:v>704</x:v>
      </x:c>
      <x:c r="E467" s="12"/>
      <x:c r="F467" s="12" t="s">
        <x:v>16</x:v>
      </x:c>
      <x:c r="G467" s="18">
        <x:v>470</x:v>
      </x:c>
      <x:c r="H467" s="21" t="e">
        <x:f>IF(SUMIFS(İndirimler!$C$2:$C$110,İndirimler!$A$2:$A$110,B467,İndirimler!$B$2:$B$110,C467)&gt;0,ROUND(G467*(1-SUMIFS(İndirimler!$C$2:$C$110,İndirimler!$A$2:$A$110,B467,İndirimler!$B$2:$B$110,C467)),2),"")</x:f>
        <x:v>#NAME?</x:v>
      </x:c>
      <x:c r="I467" s="24" t="e">
        <x:f>IF(SUMIFS(İndirimler!$D$2:$D$110,İndirimler!$A$2:$A$110,B467,İndirimler!$B$2:$B$110,C467)&gt;0,ROUND(G467*(1-SUMIFS(İndirimler!$D$2:$D$110,İndirimler!$A$2:$A$110,B467,İndirimler!$B$2:$B$110,C467)),2),"")</x:f>
        <x:v>#NAME?</x:v>
      </x:c>
      <x:c r="J467" s="12"/>
      <x:c r="K467" s="31"/>
    </x:row>
    <x:row r="468" ht="21.950000762939453" customHeight="1">
      <x:c r="A468" s="15" t="s">
        <x:v>771</x:v>
      </x:c>
      <x:c r="B468" s="12" t="s">
        <x:v>44</x:v>
      </x:c>
      <x:c r="C468" s="12" t="s">
        <x:v>76</x:v>
      </x:c>
      <x:c r="D468" s="12" t="s">
        <x:v>772</x:v>
      </x:c>
      <x:c r="E468" s="12" t="s">
        <x:v>45</x:v>
      </x:c>
      <x:c r="F468" s="12" t="s">
        <x:v>42</x:v>
      </x:c>
      <x:c r="G468" s="18">
        <x:v>274</x:v>
      </x:c>
      <x:c r="H468" s="21" t="e">
        <x:f>IF(SUMIFS(İndirimler!$C$2:$C$110,İndirimler!$A$2:$A$110,B468,İndirimler!$B$2:$B$110,C468)&gt;0,ROUND(G468*(1-SUMIFS(İndirimler!$C$2:$C$110,İndirimler!$A$2:$A$110,B468,İndirimler!$B$2:$B$110,C468)),2),"")</x:f>
        <x:v>#NAME?</x:v>
      </x:c>
      <x:c r="I468" s="24" t="e">
        <x:f>IF(SUMIFS(İndirimler!$D$2:$D$110,İndirimler!$A$2:$A$110,B468,İndirimler!$B$2:$B$110,C468)&gt;0,ROUND(G468*(1-SUMIFS(İndirimler!$D$2:$D$110,İndirimler!$A$2:$A$110,B468,İndirimler!$B$2:$B$110,C468)),2),"")</x:f>
        <x:v>#NAME?</x:v>
      </x:c>
      <x:c r="J468" s="12" t="s">
        <x:v>773</x:v>
      </x:c>
      <x:c r="K468" s="31"/>
    </x:row>
    <x:row r="469" ht="21.950000762939453" customHeight="1">
      <x:c r="A469" s="15" t="s">
        <x:v>774</x:v>
      </x:c>
      <x:c r="B469" s="12" t="s">
        <x:v>55</x:v>
      </x:c>
      <x:c r="C469" s="12" t="s">
        <x:v>76</x:v>
      </x:c>
      <x:c r="D469" s="12" t="s">
        <x:v>772</x:v>
      </x:c>
      <x:c r="E469" s="12"/>
      <x:c r="F469" s="12" t="s">
        <x:v>16</x:v>
      </x:c>
      <x:c r="G469" s="18">
        <x:v>278</x:v>
      </x:c>
      <x:c r="H469" s="21" t="e">
        <x:f>IF(SUMIFS(İndirimler!$C$2:$C$110,İndirimler!$A$2:$A$110,B469,İndirimler!$B$2:$B$110,C469)&gt;0,ROUND(G469*(1-SUMIFS(İndirimler!$C$2:$C$110,İndirimler!$A$2:$A$110,B469,İndirimler!$B$2:$B$110,C469)),2),"")</x:f>
        <x:v>#NAME?</x:v>
      </x:c>
      <x:c r="I469" s="24" t="e">
        <x:f>IF(SUMIFS(İndirimler!$D$2:$D$110,İndirimler!$A$2:$A$110,B469,İndirimler!$B$2:$B$110,C469)&gt;0,ROUND(G469*(1-SUMIFS(İndirimler!$D$2:$D$110,İndirimler!$A$2:$A$110,B469,İndirimler!$B$2:$B$110,C469)),2),"")</x:f>
        <x:v>#NAME?</x:v>
      </x:c>
      <x:c r="J469" s="12" t="s">
        <x:v>775</x:v>
      </x:c>
      <x:c r="K469" s="31"/>
    </x:row>
    <x:row r="470" ht="21.950000762939453" customHeight="1">
      <x:c r="A470" s="15" t="s">
        <x:v>776</x:v>
      </x:c>
      <x:c r="B470" s="12" t="s">
        <x:v>18</x:v>
      </x:c>
      <x:c r="C470" s="12" t="s">
        <x:v>76</x:v>
      </x:c>
      <x:c r="D470" s="12" t="s">
        <x:v>772</x:v>
      </x:c>
      <x:c r="E470" s="12"/>
      <x:c r="F470" s="12" t="s">
        <x:v>16</x:v>
      </x:c>
      <x:c r="G470" s="18">
        <x:v>269</x:v>
      </x:c>
      <x:c r="H470" s="21" t="e">
        <x:f>IF(SUMIFS(İndirimler!$C$2:$C$110,İndirimler!$A$2:$A$110,B470,İndirimler!$B$2:$B$110,C470)&gt;0,ROUND(G470*(1-SUMIFS(İndirimler!$C$2:$C$110,İndirimler!$A$2:$A$110,B470,İndirimler!$B$2:$B$110,C470)),2),"")</x:f>
        <x:v>#NAME?</x:v>
      </x:c>
      <x:c r="I470" s="24" t="e">
        <x:f>IF(SUMIFS(İndirimler!$D$2:$D$110,İndirimler!$A$2:$A$110,B470,İndirimler!$B$2:$B$110,C470)&gt;0,ROUND(G470*(1-SUMIFS(İndirimler!$D$2:$D$110,İndirimler!$A$2:$A$110,B470,İndirimler!$B$2:$B$110,C470)),2),"")</x:f>
        <x:v>#NAME?</x:v>
      </x:c>
      <x:c r="J470" s="30" t="s">
        <x:v>777</x:v>
      </x:c>
      <x:c r="K470" s="31"/>
    </x:row>
    <x:row r="471" ht="21.950000762939453" customHeight="1">
      <x:c r="A471" s="15" t="s">
        <x:v>778</x:v>
      </x:c>
      <x:c r="B471" s="12" t="s">
        <x:v>44</x:v>
      </x:c>
      <x:c r="C471" s="12" t="s">
        <x:v>76</x:v>
      </x:c>
      <x:c r="D471" s="12" t="s">
        <x:v>772</x:v>
      </x:c>
      <x:c r="E471" s="12" t="s">
        <x:v>60</x:v>
      </x:c>
      <x:c r="F471" s="12" t="s">
        <x:v>16</x:v>
      </x:c>
      <x:c r="G471" s="18">
        <x:v>274</x:v>
      </x:c>
      <x:c r="H471" s="21" t="e">
        <x:f>IF(SUMIFS(İndirimler!$C$2:$C$110,İndirimler!$A$2:$A$110,B471,İndirimler!$B$2:$B$110,C471)&gt;0,ROUND(G471*(1-SUMIFS(İndirimler!$C$2:$C$110,İndirimler!$A$2:$A$110,B471,İndirimler!$B$2:$B$110,C471)),2),"")</x:f>
        <x:v>#NAME?</x:v>
      </x:c>
      <x:c r="I471" s="24" t="e">
        <x:f>IF(SUMIFS(İndirimler!$D$2:$D$110,İndirimler!$A$2:$A$110,B471,İndirimler!$B$2:$B$110,C471)&gt;0,ROUND(G471*(1-SUMIFS(İndirimler!$D$2:$D$110,İndirimler!$A$2:$A$110,B471,İndirimler!$B$2:$B$110,C471)),2),"")</x:f>
        <x:v>#NAME?</x:v>
      </x:c>
      <x:c r="J471" s="12" t="s">
        <x:v>779</x:v>
      </x:c>
      <x:c r="K471" s="31"/>
    </x:row>
    <x:row r="472" ht="21.950000762939453" customHeight="1">
      <x:c r="A472" s="15" t="s">
        <x:v>780</x:v>
      </x:c>
      <x:c r="B472" s="12" t="s">
        <x:v>50</x:v>
      </x:c>
      <x:c r="C472" s="12" t="s">
        <x:v>76</x:v>
      </x:c>
      <x:c r="D472" s="12" t="s">
        <x:v>772</x:v>
      </x:c>
      <x:c r="E472" s="12" t="s">
        <x:v>69</x:v>
      </x:c>
      <x:c r="F472" s="12" t="s">
        <x:v>16</x:v>
      </x:c>
      <x:c r="G472" s="18">
        <x:v>563</x:v>
      </x:c>
      <x:c r="H472" s="21" t="e">
        <x:f>IF(SUMIFS(İndirimler!$C$2:$C$110,İndirimler!$A$2:$A$110,B472,İndirimler!$B$2:$B$110,C472)&gt;0,ROUND(G472*(1-SUMIFS(İndirimler!$C$2:$C$110,İndirimler!$A$2:$A$110,B472,İndirimler!$B$2:$B$110,C472)),2),"")</x:f>
        <x:v>#NAME?</x:v>
      </x:c>
      <x:c r="I472" s="24" t="e">
        <x:f>IF(SUMIFS(İndirimler!$D$2:$D$110,İndirimler!$A$2:$A$110,B472,İndirimler!$B$2:$B$110,C472)&gt;0,ROUND(G472*(1-SUMIFS(İndirimler!$D$2:$D$110,İndirimler!$A$2:$A$110,B472,İndirimler!$B$2:$B$110,C472)),2),"")</x:f>
        <x:v>#NAME?</x:v>
      </x:c>
      <x:c r="J472" s="12"/>
      <x:c r="K472" s="31"/>
    </x:row>
    <x:row r="473" ht="21.950000762939453" customHeight="1">
      <x:c r="A473" s="15" t="s">
        <x:v>781</x:v>
      </x:c>
      <x:c r="B473" s="12" t="s">
        <x:v>38</x:v>
      </x:c>
      <x:c r="C473" s="12" t="s">
        <x:v>76</x:v>
      </x:c>
      <x:c r="D473" s="12" t="s">
        <x:v>772</x:v>
      </x:c>
      <x:c r="E473" s="12" t="s">
        <x:v>69</x:v>
      </x:c>
      <x:c r="F473" s="12" t="s">
        <x:v>16</x:v>
      </x:c>
      <x:c r="G473" s="18">
        <x:v>345</x:v>
      </x:c>
      <x:c r="H473" s="21" t="e">
        <x:f>IF(SUMIFS(İndirimler!$C$2:$C$110,İndirimler!$A$2:$A$110,B473,İndirimler!$B$2:$B$110,C473)&gt;0,ROUND(G473*(1-SUMIFS(İndirimler!$C$2:$C$110,İndirimler!$A$2:$A$110,B473,İndirimler!$B$2:$B$110,C473)),2),"")</x:f>
        <x:v>#NAME?</x:v>
      </x:c>
      <x:c r="I473" s="24" t="e">
        <x:f>IF(SUMIFS(İndirimler!$D$2:$D$110,İndirimler!$A$2:$A$110,B473,İndirimler!$B$2:$B$110,C473)&gt;0,ROUND(G473*(1-SUMIFS(İndirimler!$D$2:$D$110,İndirimler!$A$2:$A$110,B473,İndirimler!$B$2:$B$110,C473)),2),"")</x:f>
        <x:v>#NAME?</x:v>
      </x:c>
      <x:c r="J473" s="12" t="s">
        <x:v>782</x:v>
      </x:c>
      <x:c r="K473" s="31"/>
    </x:row>
    <x:row r="474" ht="21.950000762939453" customHeight="1">
      <x:c r="A474" s="15" t="s">
        <x:v>783</x:v>
      </x:c>
      <x:c r="B474" s="12" t="s">
        <x:v>72</x:v>
      </x:c>
      <x:c r="C474" s="12" t="s">
        <x:v>101</x:v>
      </x:c>
      <x:c r="D474" s="12" t="s">
        <x:v>772</x:v>
      </x:c>
      <x:c r="E474" s="12" t="s">
        <x:v>104</x:v>
      </x:c>
      <x:c r="F474" s="12" t="s">
        <x:v>42</x:v>
      </x:c>
      <x:c r="G474" s="18"/>
      <x:c r="H474" s="21" t="e">
        <x:f>IF(SUMIFS(İndirimler!$C$2:$C$110,İndirimler!$A$2:$A$110,B474,İndirimler!$B$2:$B$110,C474)&gt;0,ROUND(G474*(1-SUMIFS(İndirimler!$C$2:$C$110,İndirimler!$A$2:$A$110,B474,İndirimler!$B$2:$B$110,C474)),2),"")</x:f>
        <x:v>#NAME?</x:v>
      </x:c>
      <x:c r="I474" s="24" t="e">
        <x:f>IF(SUMIFS(İndirimler!$D$2:$D$110,İndirimler!$A$2:$A$110,B474,İndirimler!$B$2:$B$110,C474)&gt;0,ROUND(G474*(1-SUMIFS(İndirimler!$D$2:$D$110,İndirimler!$A$2:$A$110,B474,İndirimler!$B$2:$B$110,C474)),2),"")</x:f>
        <x:v>#NAME?</x:v>
      </x:c>
      <x:c r="J474" s="12"/>
      <x:c r="K474" s="31"/>
    </x:row>
    <x:row r="475" ht="21.950000762939453" customHeight="1">
      <x:c r="A475" s="15" t="s">
        <x:v>784</x:v>
      </x:c>
      <x:c r="B475" s="12" t="s">
        <x:v>23</x:v>
      </x:c>
      <x:c r="C475" s="12" t="s">
        <x:v>101</x:v>
      </x:c>
      <x:c r="D475" s="12" t="s">
        <x:v>772</x:v>
      </x:c>
      <x:c r="E475" s="12"/>
      <x:c r="F475" s="12" t="s">
        <x:v>42</x:v>
      </x:c>
      <x:c r="G475" s="18">
        <x:v>338</x:v>
      </x:c>
      <x:c r="H475" s="21" t="e">
        <x:f>IF(SUMIFS(İndirimler!$C$2:$C$110,İndirimler!$A$2:$A$110,B475,İndirimler!$B$2:$B$110,C475)&gt;0,ROUND(G475*(1-SUMIFS(İndirimler!$C$2:$C$110,İndirimler!$A$2:$A$110,B475,İndirimler!$B$2:$B$110,C475)),2),"")</x:f>
        <x:v>#NAME?</x:v>
      </x:c>
      <x:c r="I475" s="24" t="e">
        <x:f>IF(SUMIFS(İndirimler!$D$2:$D$110,İndirimler!$A$2:$A$110,B475,İndirimler!$B$2:$B$110,C475)&gt;0,ROUND(G475*(1-SUMIFS(İndirimler!$D$2:$D$110,İndirimler!$A$2:$A$110,B475,İndirimler!$B$2:$B$110,C475)),2),"")</x:f>
        <x:v>#NAME?</x:v>
      </x:c>
      <x:c r="J475" s="12" t="s">
        <x:v>785</x:v>
      </x:c>
      <x:c r="K475" s="31"/>
    </x:row>
    <x:row r="476" ht="21.950000762939453" customHeight="1">
      <x:c r="A476" s="15" t="s">
        <x:v>786</x:v>
      </x:c>
      <x:c r="B476" s="12" t="s">
        <x:v>55</x:v>
      </x:c>
      <x:c r="C476" s="12" t="s">
        <x:v>101</x:v>
      </x:c>
      <x:c r="D476" s="12" t="s">
        <x:v>772</x:v>
      </x:c>
      <x:c r="E476" s="12"/>
      <x:c r="F476" s="12" t="s">
        <x:v>16</x:v>
      </x:c>
      <x:c r="G476" s="18">
        <x:v>256</x:v>
      </x:c>
      <x:c r="H476" s="21" t="e">
        <x:f>IF(SUMIFS(İndirimler!$C$2:$C$110,İndirimler!$A$2:$A$110,B476,İndirimler!$B$2:$B$110,C476)&gt;0,ROUND(G476*(1-SUMIFS(İndirimler!$C$2:$C$110,İndirimler!$A$2:$A$110,B476,İndirimler!$B$2:$B$110,C476)),2),"")</x:f>
        <x:v>#NAME?</x:v>
      </x:c>
      <x:c r="I476" s="24" t="e">
        <x:f>IF(SUMIFS(İndirimler!$D$2:$D$110,İndirimler!$A$2:$A$110,B476,İndirimler!$B$2:$B$110,C476)&gt;0,ROUND(G476*(1-SUMIFS(İndirimler!$D$2:$D$110,İndirimler!$A$2:$A$110,B476,İndirimler!$B$2:$B$110,C476)),2),"")</x:f>
        <x:v>#NAME?</x:v>
      </x:c>
      <x:c r="J476" s="12"/>
      <x:c r="K476" s="31"/>
    </x:row>
    <x:row r="477" ht="21.950000762939453" customHeight="1">
      <x:c r="A477" s="15" t="s">
        <x:v>787</x:v>
      </x:c>
      <x:c r="B477" s="12" t="s">
        <x:v>18</x:v>
      </x:c>
      <x:c r="C477" s="12" t="s">
        <x:v>101</x:v>
      </x:c>
      <x:c r="D477" s="12" t="s">
        <x:v>772</x:v>
      </x:c>
      <x:c r="E477" s="12"/>
      <x:c r="F477" s="12" t="s">
        <x:v>16</x:v>
      </x:c>
      <x:c r="G477" s="18"/>
      <x:c r="H477" s="21" t="e">
        <x:f>IF(SUMIFS(İndirimler!$C$2:$C$110,İndirimler!$A$2:$A$110,B477,İndirimler!$B$2:$B$110,C477)&gt;0,ROUND(G477*(1-SUMIFS(İndirimler!$C$2:$C$110,İndirimler!$A$2:$A$110,B477,İndirimler!$B$2:$B$110,C477)),2),"")</x:f>
        <x:v>#NAME?</x:v>
      </x:c>
      <x:c r="I477" s="24" t="e">
        <x:f>IF(SUMIFS(İndirimler!$D$2:$D$110,İndirimler!$A$2:$A$110,B477,İndirimler!$B$2:$B$110,C477)&gt;0,ROUND(G477*(1-SUMIFS(İndirimler!$D$2:$D$110,İndirimler!$A$2:$A$110,B477,İndirimler!$B$2:$B$110,C477)),2),"")</x:f>
        <x:v>#NAME?</x:v>
      </x:c>
      <x:c r="J477" s="12"/>
      <x:c r="K477" s="31"/>
    </x:row>
    <x:row r="478" ht="21.950000762939453" customHeight="1">
      <x:c r="A478" s="15" t="s">
        <x:v>788</x:v>
      </x:c>
      <x:c r="B478" s="12" t="s">
        <x:v>50</x:v>
      </x:c>
      <x:c r="C478" s="12" t="s">
        <x:v>101</x:v>
      </x:c>
      <x:c r="D478" s="12" t="s">
        <x:v>772</x:v>
      </x:c>
      <x:c r="E478" s="12" t="s">
        <x:v>69</x:v>
      </x:c>
      <x:c r="F478" s="12" t="s">
        <x:v>16</x:v>
      </x:c>
      <x:c r="G478" s="18">
        <x:v>493</x:v>
      </x:c>
      <x:c r="H478" s="21" t="e">
        <x:f>IF(SUMIFS(İndirimler!$C$2:$C$110,İndirimler!$A$2:$A$110,B478,İndirimler!$B$2:$B$110,C478)&gt;0,ROUND(G478*(1-SUMIFS(İndirimler!$C$2:$C$110,İndirimler!$A$2:$A$110,B478,İndirimler!$B$2:$B$110,C478)),2),"")</x:f>
        <x:v>#NAME?</x:v>
      </x:c>
      <x:c r="I478" s="24" t="e">
        <x:f>IF(SUMIFS(İndirimler!$D$2:$D$110,İndirimler!$A$2:$A$110,B478,İndirimler!$B$2:$B$110,C478)&gt;0,ROUND(G478*(1-SUMIFS(İndirimler!$D$2:$D$110,İndirimler!$A$2:$A$110,B478,İndirimler!$B$2:$B$110,C478)),2),"")</x:f>
        <x:v>#NAME?</x:v>
      </x:c>
      <x:c r="J478" s="12"/>
      <x:c r="K478" s="31"/>
    </x:row>
    <x:row r="479" ht="21.950000762939453" customHeight="1">
      <x:c r="A479" s="15" t="s">
        <x:v>789</x:v>
      </x:c>
      <x:c r="B479" s="12" t="s">
        <x:v>38</x:v>
      </x:c>
      <x:c r="C479" s="12" t="s">
        <x:v>101</x:v>
      </x:c>
      <x:c r="D479" s="12" t="s">
        <x:v>772</x:v>
      </x:c>
      <x:c r="E479" s="12"/>
      <x:c r="F479" s="12" t="s">
        <x:v>16</x:v>
      </x:c>
      <x:c r="G479" s="18"/>
      <x:c r="H479" s="21" t="e">
        <x:f>IF(SUMIFS(İndirimler!$C$2:$C$110,İndirimler!$A$2:$A$110,B479,İndirimler!$B$2:$B$110,C479)&gt;0,ROUND(G479*(1-SUMIFS(İndirimler!$C$2:$C$110,İndirimler!$A$2:$A$110,B479,İndirimler!$B$2:$B$110,C479)),2),"")</x:f>
        <x:v>#NAME?</x:v>
      </x:c>
      <x:c r="I479" s="24" t="e">
        <x:f>IF(SUMIFS(İndirimler!$D$2:$D$110,İndirimler!$A$2:$A$110,B479,İndirimler!$B$2:$B$110,C479)&gt;0,ROUND(G479*(1-SUMIFS(İndirimler!$D$2:$D$110,İndirimler!$A$2:$A$110,B479,İndirimler!$B$2:$B$110,C479)),2),"")</x:f>
        <x:v>#NAME?</x:v>
      </x:c>
      <x:c r="J479" s="12"/>
      <x:c r="K479" s="31"/>
    </x:row>
    <x:row r="480" ht="21.950000762939453" customHeight="1">
      <x:c r="A480" s="15" t="s">
        <x:v>790</x:v>
      </x:c>
      <x:c r="B480" s="12" t="s">
        <x:v>72</x:v>
      </x:c>
      <x:c r="C480" s="12" t="s">
        <x:v>101</x:v>
      </x:c>
      <x:c r="D480" s="12" t="s">
        <x:v>772</x:v>
      </x:c>
      <x:c r="E480" s="12"/>
      <x:c r="F480" s="12" t="s">
        <x:v>73</x:v>
      </x:c>
      <x:c r="G480" s="18"/>
      <x:c r="H480" s="21" t="e">
        <x:f>IF(SUMIFS(İndirimler!$C$2:$C$110,İndirimler!$A$2:$A$110,B480,İndirimler!$B$2:$B$110,C480)&gt;0,ROUND(G480*(1-SUMIFS(İndirimler!$C$2:$C$110,İndirimler!$A$2:$A$110,B480,İndirimler!$B$2:$B$110,C480)),2),"")</x:f>
        <x:v>#NAME?</x:v>
      </x:c>
      <x:c r="I480" s="24" t="e">
        <x:f>IF(SUMIFS(İndirimler!$D$2:$D$110,İndirimler!$A$2:$A$110,B480,İndirimler!$B$2:$B$110,C480)&gt;0,ROUND(G480*(1-SUMIFS(İndirimler!$D$2:$D$110,İndirimler!$A$2:$A$110,B480,İndirimler!$B$2:$B$110,C480)),2),"")</x:f>
        <x:v>#NAME?</x:v>
      </x:c>
      <x:c r="J480" s="12"/>
      <x:c r="K480" s="31"/>
    </x:row>
    <x:row r="481" ht="21.950000762939453" customHeight="1">
      <x:c r="A481" s="15" t="s">
        <x:v>791</x:v>
      </x:c>
      <x:c r="B481" s="12" t="s">
        <x:v>63</x:v>
      </x:c>
      <x:c r="C481" s="12" t="s">
        <x:v>13</x:v>
      </x:c>
      <x:c r="D481" s="12" t="s">
        <x:v>792</x:v>
      </x:c>
      <x:c r="E481" s="12"/>
      <x:c r="F481" s="12" t="s">
        <x:v>16</x:v>
      </x:c>
      <x:c r="G481" s="18">
        <x:v>429</x:v>
      </x:c>
      <x:c r="H481" s="21" t="e">
        <x:f>IF(SUMIFS(İndirimler!$C$2:$C$110,İndirimler!$A$2:$A$110,B481,İndirimler!$B$2:$B$110,C481)&gt;0,ROUND(G481*(1-SUMIFS(İndirimler!$C$2:$C$110,İndirimler!$A$2:$A$110,B481,İndirimler!$B$2:$B$110,C481)),2),"")</x:f>
        <x:v>#NAME?</x:v>
      </x:c>
      <x:c r="I481" s="24" t="e">
        <x:f>IF(SUMIFS(İndirimler!$D$2:$D$110,İndirimler!$A$2:$A$110,B481,İndirimler!$B$2:$B$110,C481)&gt;0,ROUND(G481*(1-SUMIFS(İndirimler!$D$2:$D$110,İndirimler!$A$2:$A$110,B481,İndirimler!$B$2:$B$110,C481)),2),"")</x:f>
        <x:v>#NAME?</x:v>
      </x:c>
      <x:c r="J481" s="12"/>
      <x:c r="K481" s="31"/>
    </x:row>
    <x:row r="482" ht="21.950000762939453" customHeight="1">
      <x:c r="A482" s="15" t="s">
        <x:v>793</x:v>
      </x:c>
      <x:c r="B482" s="12" t="s">
        <x:v>794</x:v>
      </x:c>
      <x:c r="C482" s="12" t="s">
        <x:v>33</x:v>
      </x:c>
      <x:c r="D482" s="12" t="s">
        <x:v>795</x:v>
      </x:c>
      <x:c r="E482" s="12"/>
      <x:c r="F482" s="12" t="s">
        <x:v>42</x:v>
      </x:c>
      <x:c r="G482" s="18"/>
      <x:c r="H482" s="21" t="e">
        <x:f>IF(SUMIFS(İndirimler!$C$2:$C$110,İndirimler!$A$2:$A$110,B482,İndirimler!$B$2:$B$110,C482)&gt;0,ROUND(G482*(1-SUMIFS(İndirimler!$C$2:$C$110,İndirimler!$A$2:$A$110,B482,İndirimler!$B$2:$B$110,C482)),2),"")</x:f>
        <x:v>#NAME?</x:v>
      </x:c>
      <x:c r="I482" s="24" t="e">
        <x:f>IF(SUMIFS(İndirimler!$D$2:$D$110,İndirimler!$A$2:$A$110,B482,İndirimler!$B$2:$B$110,C482)&gt;0,ROUND(G482*(1-SUMIFS(İndirimler!$D$2:$D$110,İndirimler!$A$2:$A$110,B482,İndirimler!$B$2:$B$110,C482)),2),"")</x:f>
        <x:v>#NAME?</x:v>
      </x:c>
      <x:c r="J482" s="12"/>
      <x:c r="K482" s="31"/>
    </x:row>
    <x:row r="483" ht="21.950000762939453" customHeight="1">
      <x:c r="A483" s="15" t="s">
        <x:v>796</x:v>
      </x:c>
      <x:c r="B483" s="12" t="s">
        <x:v>794</x:v>
      </x:c>
      <x:c r="C483" s="12" t="s">
        <x:v>33</x:v>
      </x:c>
      <x:c r="D483" s="12" t="s">
        <x:v>795</x:v>
      </x:c>
      <x:c r="E483" s="12"/>
      <x:c r="F483" s="12" t="s">
        <x:v>16</x:v>
      </x:c>
      <x:c r="G483" s="18"/>
      <x:c r="H483" s="21" t="e">
        <x:f>IF(SUMIFS(İndirimler!$C$2:$C$110,İndirimler!$A$2:$A$110,B483,İndirimler!$B$2:$B$110,C483)&gt;0,ROUND(G483*(1-SUMIFS(İndirimler!$C$2:$C$110,İndirimler!$A$2:$A$110,B483,İndirimler!$B$2:$B$110,C483)),2),"")</x:f>
        <x:v>#NAME?</x:v>
      </x:c>
      <x:c r="I483" s="24" t="e">
        <x:f>IF(SUMIFS(İndirimler!$D$2:$D$110,İndirimler!$A$2:$A$110,B483,İndirimler!$B$2:$B$110,C483)&gt;0,ROUND(G483*(1-SUMIFS(İndirimler!$D$2:$D$110,İndirimler!$A$2:$A$110,B483,İndirimler!$B$2:$B$110,C483)),2),"")</x:f>
        <x:v>#NAME?</x:v>
      </x:c>
      <x:c r="J483" s="12"/>
      <x:c r="K483" s="31"/>
    </x:row>
    <x:row r="484" ht="21.950000762939453" customHeight="1">
      <x:c r="A484" s="15" t="s">
        <x:v>797</x:v>
      </x:c>
      <x:c r="B484" s="12" t="s">
        <x:v>18</x:v>
      </x:c>
      <x:c r="C484" s="12" t="s">
        <x:v>33</x:v>
      </x:c>
      <x:c r="D484" s="12" t="s">
        <x:v>795</x:v>
      </x:c>
      <x:c r="E484" s="12"/>
      <x:c r="F484" s="12" t="s">
        <x:v>798</x:v>
      </x:c>
      <x:c r="G484" s="18">
        <x:v>159</x:v>
      </x:c>
      <x:c r="H484" s="21" t="e">
        <x:f>IF(SUMIFS(İndirimler!$C$2:$C$110,İndirimler!$A$2:$A$110,B484,İndirimler!$B$2:$B$110,C484)&gt;0,ROUND(G484*(1-SUMIFS(İndirimler!$C$2:$C$110,İndirimler!$A$2:$A$110,B484,İndirimler!$B$2:$B$110,C484)),2),"")</x:f>
        <x:v>#NAME?</x:v>
      </x:c>
      <x:c r="I484" s="24" t="e">
        <x:f>IF(SUMIFS(İndirimler!$D$2:$D$110,İndirimler!$A$2:$A$110,B484,İndirimler!$B$2:$B$110,C484)&gt;0,ROUND(G484*(1-SUMIFS(İndirimler!$D$2:$D$110,İndirimler!$A$2:$A$110,B484,İndirimler!$B$2:$B$110,C484)),2),"")</x:f>
        <x:v>#NAME?</x:v>
      </x:c>
      <x:c r="J484" s="12"/>
      <x:c r="K484" s="31"/>
    </x:row>
    <x:row r="485" ht="21.950000762939453" customHeight="1">
      <x:c r="A485" s="15" t="s">
        <x:v>799</x:v>
      </x:c>
      <x:c r="B485" s="12" t="s">
        <x:v>794</x:v>
      </x:c>
      <x:c r="C485" s="12" t="s">
        <x:v>76</x:v>
      </x:c>
      <x:c r="D485" s="12" t="s">
        <x:v>795</x:v>
      </x:c>
      <x:c r="E485" s="12"/>
      <x:c r="F485" s="12" t="s">
        <x:v>42</x:v>
      </x:c>
      <x:c r="G485" s="18"/>
      <x:c r="H485" s="21" t="e">
        <x:f>IF(SUMIFS(İndirimler!$C$2:$C$110,İndirimler!$A$2:$A$110,B485,İndirimler!$B$2:$B$110,C485)&gt;0,ROUND(G485*(1-SUMIFS(İndirimler!$C$2:$C$110,İndirimler!$A$2:$A$110,B485,İndirimler!$B$2:$B$110,C485)),2),"")</x:f>
        <x:v>#NAME?</x:v>
      </x:c>
      <x:c r="I485" s="24" t="e">
        <x:f>IF(SUMIFS(İndirimler!$D$2:$D$110,İndirimler!$A$2:$A$110,B485,İndirimler!$B$2:$B$110,C485)&gt;0,ROUND(G485*(1-SUMIFS(İndirimler!$D$2:$D$110,İndirimler!$A$2:$A$110,B485,İndirimler!$B$2:$B$110,C485)),2),"")</x:f>
        <x:v>#NAME?</x:v>
      </x:c>
      <x:c r="J485" s="12"/>
      <x:c r="K485" s="31"/>
    </x:row>
    <x:row r="486" ht="21.950000762939453" customHeight="1">
      <x:c r="A486" s="15" t="s">
        <x:v>800</x:v>
      </x:c>
      <x:c r="B486" s="12" t="s">
        <x:v>794</x:v>
      </x:c>
      <x:c r="C486" s="12" t="s">
        <x:v>76</x:v>
      </x:c>
      <x:c r="D486" s="12" t="s">
        <x:v>795</x:v>
      </x:c>
      <x:c r="E486" s="12"/>
      <x:c r="F486" s="12" t="s">
        <x:v>16</x:v>
      </x:c>
      <x:c r="G486" s="18"/>
      <x:c r="H486" s="21" t="e">
        <x:f>IF(SUMIFS(İndirimler!$C$2:$C$110,İndirimler!$A$2:$A$110,B486,İndirimler!$B$2:$B$110,C486)&gt;0,ROUND(G486*(1-SUMIFS(İndirimler!$C$2:$C$110,İndirimler!$A$2:$A$110,B486,İndirimler!$B$2:$B$110,C486)),2),"")</x:f>
        <x:v>#NAME?</x:v>
      </x:c>
      <x:c r="I486" s="24" t="e">
        <x:f>IF(SUMIFS(İndirimler!$D$2:$D$110,İndirimler!$A$2:$A$110,B486,İndirimler!$B$2:$B$110,C486)&gt;0,ROUND(G486*(1-SUMIFS(İndirimler!$D$2:$D$110,İndirimler!$A$2:$A$110,B486,İndirimler!$B$2:$B$110,C486)),2),"")</x:f>
        <x:v>#NAME?</x:v>
      </x:c>
      <x:c r="J486" s="12"/>
      <x:c r="K486" s="31"/>
    </x:row>
    <x:row r="487" ht="21.950000762939453" customHeight="1">
      <x:c r="A487" s="15" t="s">
        <x:v>801</x:v>
      </x:c>
      <x:c r="B487" s="12" t="s">
        <x:v>50</x:v>
      </x:c>
      <x:c r="C487" s="12" t="s">
        <x:v>33</x:v>
      </x:c>
      <x:c r="D487" s="12" t="s">
        <x:v>802</x:v>
      </x:c>
      <x:c r="E487" s="12" t="s">
        <x:v>69</x:v>
      </x:c>
      <x:c r="F487" s="12" t="s">
        <x:v>16</x:v>
      </x:c>
      <x:c r="G487" s="18">
        <x:v>282</x:v>
      </x:c>
      <x:c r="H487" s="21" t="e">
        <x:f>IF(SUMIFS(İndirimler!$C$2:$C$110,İndirimler!$A$2:$A$110,B487,İndirimler!$B$2:$B$110,C487)&gt;0,ROUND(G487*(1-SUMIFS(İndirimler!$C$2:$C$110,İndirimler!$A$2:$A$110,B487,İndirimler!$B$2:$B$110,C487)),2),"")</x:f>
        <x:v>#NAME?</x:v>
      </x:c>
      <x:c r="I487" s="24" t="e">
        <x:f>IF(SUMIFS(İndirimler!$D$2:$D$110,İndirimler!$A$2:$A$110,B487,İndirimler!$B$2:$B$110,C487)&gt;0,ROUND(G487*(1-SUMIFS(İndirimler!$D$2:$D$110,İndirimler!$A$2:$A$110,B487,İndirimler!$B$2:$B$110,C487)),2),"")</x:f>
        <x:v>#NAME?</x:v>
      </x:c>
      <x:c r="J487" s="12"/>
      <x:c r="K487" s="31"/>
    </x:row>
    <x:row r="488" ht="21.950000762939453" customHeight="1">
      <x:c r="A488" s="16" t="s">
        <x:v>803</x:v>
      </x:c>
      <x:c r="B488" s="13" t="s">
        <x:v>50</x:v>
      </x:c>
      <x:c r="C488" s="13" t="s">
        <x:v>76</x:v>
      </x:c>
      <x:c r="D488" s="13" t="s">
        <x:v>802</x:v>
      </x:c>
      <x:c r="E488" s="13" t="s">
        <x:v>69</x:v>
      </x:c>
      <x:c r="F488" s="13" t="s">
        <x:v>16</x:v>
      </x:c>
      <x:c r="G488" s="19">
        <x:v>282</x:v>
      </x:c>
      <x:c r="H488" s="22" t="e">
        <x:f>IF(SUMIFS(İndirimler!$C$2:$C$110,İndirimler!$A$2:$A$110,B488,İndirimler!$B$2:$B$110,C488)&gt;0,ROUND(G488*(1-SUMIFS(İndirimler!$C$2:$C$110,İndirimler!$A$2:$A$110,B488,İndirimler!$B$2:$B$110,C488)),2),"")</x:f>
        <x:v>#NAME?</x:v>
      </x:c>
      <x:c r="I488" s="25" t="e">
        <x:f>IF(SUMIFS(İndirimler!$D$2:$D$110,İndirimler!$A$2:$A$110,B488,İndirimler!$B$2:$B$110,C488)&gt;0,ROUND(G488*(1-SUMIFS(İndirimler!$D$2:$D$110,İndirimler!$A$2:$A$110,B488,İndirimler!$B$2:$B$110,C488)),2),"")</x:f>
        <x:v>#NAME?</x:v>
      </x:c>
      <x:c r="J488" s="13"/>
      <x:c r="K488" s="31"/>
    </x:row>
  </x:sheetData>
  <x:hyperlinks>
    <x:hyperlink xmlns:r="http://schemas.openxmlformats.org/officeDocument/2006/relationships" ref="J9" r:id="Ra8b67e8a81354fd7"/>
    <x:hyperlink xmlns:r="http://schemas.openxmlformats.org/officeDocument/2006/relationships" ref="J10" r:id="R8c5cf00ff194490e"/>
    <x:hyperlink xmlns:r="http://schemas.openxmlformats.org/officeDocument/2006/relationships" ref="J17" r:id="R725be37277c543f3"/>
    <x:hyperlink xmlns:r="http://schemas.openxmlformats.org/officeDocument/2006/relationships" ref="J20" r:id="Ra593d1ddc2fc4882"/>
    <x:hyperlink xmlns:r="http://schemas.openxmlformats.org/officeDocument/2006/relationships" ref="J25" r:id="R6509f43898a04599"/>
    <x:hyperlink xmlns:r="http://schemas.openxmlformats.org/officeDocument/2006/relationships" ref="J32" r:id="R215bf2246fd841bd"/>
    <x:hyperlink xmlns:r="http://schemas.openxmlformats.org/officeDocument/2006/relationships" ref="J59" r:id="R4c04e84133a94f8b"/>
    <x:hyperlink xmlns:r="http://schemas.openxmlformats.org/officeDocument/2006/relationships" ref="J61" r:id="Rbb2734d666d543df"/>
    <x:hyperlink xmlns:r="http://schemas.openxmlformats.org/officeDocument/2006/relationships" ref="J62" r:id="R9e50211ab0cb4730"/>
    <x:hyperlink xmlns:r="http://schemas.openxmlformats.org/officeDocument/2006/relationships" ref="J64" r:id="R2e678d0f34bb4a1b"/>
    <x:hyperlink xmlns:r="http://schemas.openxmlformats.org/officeDocument/2006/relationships" ref="J70" r:id="R8c76c90be3034c77"/>
    <x:hyperlink xmlns:r="http://schemas.openxmlformats.org/officeDocument/2006/relationships" ref="J71" r:id="Ra2a6a84574f343f0"/>
    <x:hyperlink xmlns:r="http://schemas.openxmlformats.org/officeDocument/2006/relationships" ref="J76" r:id="R24153d84382a41c0"/>
    <x:hyperlink xmlns:r="http://schemas.openxmlformats.org/officeDocument/2006/relationships" ref="J87" r:id="R635ae4f039c9487f"/>
    <x:hyperlink xmlns:r="http://schemas.openxmlformats.org/officeDocument/2006/relationships" ref="J98" r:id="Redb89279cd0e485c"/>
    <x:hyperlink xmlns:r="http://schemas.openxmlformats.org/officeDocument/2006/relationships" ref="J128" r:id="Rdbb00d72b4c84839"/>
    <x:hyperlink xmlns:r="http://schemas.openxmlformats.org/officeDocument/2006/relationships" ref="J129" r:id="Re83fc8638c124ce1"/>
    <x:hyperlink xmlns:r="http://schemas.openxmlformats.org/officeDocument/2006/relationships" ref="J179" r:id="Rd1ccfb348218407e"/>
    <x:hyperlink xmlns:r="http://schemas.openxmlformats.org/officeDocument/2006/relationships" ref="J181" r:id="Re0a6ea2c8e54482e"/>
    <x:hyperlink xmlns:r="http://schemas.openxmlformats.org/officeDocument/2006/relationships" ref="J188" r:id="Rf313729fe30e4795"/>
    <x:hyperlink xmlns:r="http://schemas.openxmlformats.org/officeDocument/2006/relationships" ref="J189" r:id="R46ebd285693e4d75"/>
    <x:hyperlink xmlns:r="http://schemas.openxmlformats.org/officeDocument/2006/relationships" ref="J194" r:id="Rba62afe623364400"/>
    <x:hyperlink xmlns:r="http://schemas.openxmlformats.org/officeDocument/2006/relationships" ref="J200" r:id="R626d8dbed8eb40c1"/>
    <x:hyperlink xmlns:r="http://schemas.openxmlformats.org/officeDocument/2006/relationships" ref="J210" r:id="R87d62b242cdc486e"/>
    <x:hyperlink xmlns:r="http://schemas.openxmlformats.org/officeDocument/2006/relationships" ref="J257" r:id="R4e548c3690be4ebc"/>
    <x:hyperlink xmlns:r="http://schemas.openxmlformats.org/officeDocument/2006/relationships" ref="J258" r:id="R6a04c76cbbc941e2"/>
    <x:hyperlink xmlns:r="http://schemas.openxmlformats.org/officeDocument/2006/relationships" ref="J259" r:id="R3c7123c9e44144bc"/>
    <x:hyperlink xmlns:r="http://schemas.openxmlformats.org/officeDocument/2006/relationships" ref="J262" r:id="Rf73cd085d5ba43fd"/>
    <x:hyperlink xmlns:r="http://schemas.openxmlformats.org/officeDocument/2006/relationships" ref="J266" r:id="R8386705a60ca4889"/>
    <x:hyperlink xmlns:r="http://schemas.openxmlformats.org/officeDocument/2006/relationships" ref="J267" r:id="R5e74deb9eea44f86"/>
    <x:hyperlink xmlns:r="http://schemas.openxmlformats.org/officeDocument/2006/relationships" ref="J270" r:id="R9537430d9bca428d"/>
    <x:hyperlink xmlns:r="http://schemas.openxmlformats.org/officeDocument/2006/relationships" ref="J276" r:id="R8151916a3e244916"/>
    <x:hyperlink xmlns:r="http://schemas.openxmlformats.org/officeDocument/2006/relationships" ref="J286" r:id="R0b2e0e1d5f104d82"/>
    <x:hyperlink xmlns:r="http://schemas.openxmlformats.org/officeDocument/2006/relationships" ref="J304" r:id="R5c6601b0895b41e5"/>
    <x:hyperlink xmlns:r="http://schemas.openxmlformats.org/officeDocument/2006/relationships" ref="J324" r:id="Rb8a8df9a658947c8"/>
    <x:hyperlink xmlns:r="http://schemas.openxmlformats.org/officeDocument/2006/relationships" ref="J329" r:id="Reb6a853e1e4742ef"/>
    <x:hyperlink xmlns:r="http://schemas.openxmlformats.org/officeDocument/2006/relationships" ref="J332" r:id="R4d4bf19c2c5b4ca3"/>
    <x:hyperlink xmlns:r="http://schemas.openxmlformats.org/officeDocument/2006/relationships" ref="J333" r:id="R120c72a0715446ad"/>
    <x:hyperlink xmlns:r="http://schemas.openxmlformats.org/officeDocument/2006/relationships" ref="J338" r:id="R204f8e6cf97a46c5"/>
    <x:hyperlink xmlns:r="http://schemas.openxmlformats.org/officeDocument/2006/relationships" ref="J343" r:id="R689aae3ee0324e46"/>
    <x:hyperlink xmlns:r="http://schemas.openxmlformats.org/officeDocument/2006/relationships" ref="J352" r:id="Re74a224ed1624358"/>
    <x:hyperlink xmlns:r="http://schemas.openxmlformats.org/officeDocument/2006/relationships" ref="J387" r:id="R2f45e80e886d442b"/>
    <x:hyperlink xmlns:r="http://schemas.openxmlformats.org/officeDocument/2006/relationships" ref="J393" r:id="Rd28b7aede8f64e8c"/>
    <x:hyperlink xmlns:r="http://schemas.openxmlformats.org/officeDocument/2006/relationships" ref="J405" r:id="Rc56d741c5c964a2f"/>
    <x:hyperlink xmlns:r="http://schemas.openxmlformats.org/officeDocument/2006/relationships" ref="J425" r:id="Rd14db475bb504c0d"/>
    <x:hyperlink xmlns:r="http://schemas.openxmlformats.org/officeDocument/2006/relationships" ref="J429" r:id="R1550de81fb724024"/>
    <x:hyperlink xmlns:r="http://schemas.openxmlformats.org/officeDocument/2006/relationships" ref="J431" r:id="R993139d7d9184734"/>
    <x:hyperlink xmlns:r="http://schemas.openxmlformats.org/officeDocument/2006/relationships" ref="J439" r:id="Re611f794205c4f87"/>
    <x:hyperlink xmlns:r="http://schemas.openxmlformats.org/officeDocument/2006/relationships" ref="J458" r:id="R749489d8afa04074"/>
    <x:hyperlink xmlns:r="http://schemas.openxmlformats.org/officeDocument/2006/relationships" ref="J470" r:id="Rc72dc4c170b94d2a"/>
  </x:hyperlinks>
  <x:pageMargins left="0.7" right="0.7" top="0.75" bottom="0.75" header="0.3" footer="0.3"/>
  <x:tableParts count="1">
    <x:tablePart xmlns:r="http://schemas.openxmlformats.org/officeDocument/2006/relationships" r:id="Reb2340301db948f0"/>
  </x:tableParts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4.25"/>
  <x:cols>
    <x:col min="1" max="1" width="23.375" customWidth="1"/>
    <x:col min="2" max="2" width="9.625" customWidth="1"/>
    <x:col min="3" max="3" width="14" customWidth="1"/>
    <x:col min="4" max="4" width="19" customWidth="1"/>
  </x:cols>
  <x:sheetData>
    <x:row r="1" ht="24" customHeight="1">
      <x:c r="A1" s="2" t="s">
        <x:v>1</x:v>
      </x:c>
      <x:c r="B1" s="2" t="s">
        <x:v>2</x:v>
      </x:c>
      <x:c r="C1" s="2" t="s">
        <x:v>804</x:v>
      </x:c>
      <x:c r="D1" s="2" t="s">
        <x:v>805</x:v>
      </x:c>
    </x:row>
    <x:row r="2" ht="24" customHeight="1">
      <x:c r="A2" s="3" t="s">
        <x:v>55</x:v>
      </x:c>
      <x:c r="B2" s="3" t="s">
        <x:v>76</x:v>
      </x:c>
      <x:c r="C2" s="6">
        <x:v>0.15</x:v>
      </x:c>
      <x:c r="D2" s="6">
        <x:v>0.3</x:v>
      </x:c>
    </x:row>
    <x:row r="3" ht="24" customHeight="1">
      <x:c r="A3" s="4" t="s">
        <x:v>55</x:v>
      </x:c>
      <x:c r="B3" s="4" t="s">
        <x:v>101</x:v>
      </x:c>
      <x:c r="C3" s="7">
        <x:v>0.15</x:v>
      </x:c>
      <x:c r="D3" s="7">
        <x:v>0.3</x:v>
      </x:c>
    </x:row>
    <x:row r="4" ht="24" customHeight="1">
      <x:c r="A4" s="4" t="s">
        <x:v>55</x:v>
      </x:c>
      <x:c r="B4" s="4" t="s">
        <x:v>33</x:v>
      </x:c>
      <x:c r="C4" s="6">
        <x:v>0.15</x:v>
      </x:c>
      <x:c r="D4" s="6">
        <x:v>0.3</x:v>
      </x:c>
    </x:row>
    <x:row r="5" ht="24" customHeight="1">
      <x:c r="A5" s="4" t="s">
        <x:v>120</x:v>
      </x:c>
      <x:c r="B5" s="4" t="s">
        <x:v>76</x:v>
      </x:c>
      <x:c r="C5" s="7">
        <x:v>0.15</x:v>
      </x:c>
      <x:c r="D5" s="7">
        <x:v>0.3</x:v>
      </x:c>
    </x:row>
    <x:row r="6" ht="24" customHeight="1">
      <x:c r="A6" s="4" t="s">
        <x:v>120</x:v>
      </x:c>
      <x:c r="B6" s="4" t="s">
        <x:v>101</x:v>
      </x:c>
      <x:c r="C6" s="6">
        <x:v>0.15</x:v>
      </x:c>
      <x:c r="D6" s="6">
        <x:v>0.3</x:v>
      </x:c>
    </x:row>
    <x:row r="7" ht="24" customHeight="1">
      <x:c r="A7" s="4" t="s">
        <x:v>120</x:v>
      </x:c>
      <x:c r="B7" s="4" t="s">
        <x:v>249</x:v>
      </x:c>
      <x:c r="C7" s="7">
        <x:v>0.15</x:v>
      </x:c>
      <x:c r="D7" s="7">
        <x:v>0.3</x:v>
      </x:c>
    </x:row>
    <x:row r="8" ht="24" customHeight="1">
      <x:c r="A8" s="4" t="s">
        <x:v>120</x:v>
      </x:c>
      <x:c r="B8" s="4" t="s">
        <x:v>33</x:v>
      </x:c>
      <x:c r="C8" s="6">
        <x:v>0.15</x:v>
      </x:c>
      <x:c r="D8" s="6">
        <x:v>0.3</x:v>
      </x:c>
    </x:row>
    <x:row r="9" ht="24" customHeight="1">
      <x:c r="A9" s="4" t="s">
        <x:v>120</x:v>
      </x:c>
      <x:c r="B9" s="4" t="s">
        <x:v>13</x:v>
      </x:c>
      <x:c r="C9" s="7">
        <x:v>0.15</x:v>
      </x:c>
      <x:c r="D9" s="7">
        <x:v>0.3</x:v>
      </x:c>
    </x:row>
    <x:row r="10" ht="24" customHeight="1">
      <x:c r="A10" s="4" t="s">
        <x:v>124</x:v>
      </x:c>
      <x:c r="B10" s="4" t="s">
        <x:v>76</x:v>
      </x:c>
      <x:c r="C10" s="6">
        <x:v>0.15</x:v>
      </x:c>
      <x:c r="D10" s="6">
        <x:v>0.3</x:v>
      </x:c>
    </x:row>
    <x:row r="11" ht="24" customHeight="1">
      <x:c r="A11" s="4" t="s">
        <x:v>124</x:v>
      </x:c>
      <x:c r="B11" s="4" t="s">
        <x:v>101</x:v>
      </x:c>
      <x:c r="C11" s="7">
        <x:v>0.15</x:v>
      </x:c>
      <x:c r="D11" s="7">
        <x:v>0.3</x:v>
      </x:c>
    </x:row>
    <x:row r="12" ht="24" customHeight="1">
      <x:c r="A12" s="4" t="s">
        <x:v>124</x:v>
      </x:c>
      <x:c r="B12" s="4" t="s">
        <x:v>33</x:v>
      </x:c>
      <x:c r="C12" s="6">
        <x:v>0.15</x:v>
      </x:c>
      <x:c r="D12" s="6">
        <x:v>0.3</x:v>
      </x:c>
    </x:row>
    <x:row r="13" ht="24" customHeight="1">
      <x:c r="A13" s="4" t="s">
        <x:v>124</x:v>
      </x:c>
      <x:c r="B13" s="4" t="s">
        <x:v>13</x:v>
      </x:c>
      <x:c r="C13" s="7">
        <x:v>0.15</x:v>
      </x:c>
      <x:c r="D13" s="7">
        <x:v>0.3</x:v>
      </x:c>
    </x:row>
    <x:row r="14" ht="24" customHeight="1">
      <x:c r="A14" s="4" t="s">
        <x:v>794</x:v>
      </x:c>
      <x:c r="B14" s="4" t="s">
        <x:v>76</x:v>
      </x:c>
      <x:c r="C14" s="6">
        <x:v>0.15</x:v>
      </x:c>
      <x:c r="D14" s="6">
        <x:v>0.3</x:v>
      </x:c>
    </x:row>
    <x:row r="15" ht="24" customHeight="1">
      <x:c r="A15" s="4" t="s">
        <x:v>794</x:v>
      </x:c>
      <x:c r="B15" s="4" t="s">
        <x:v>33</x:v>
      </x:c>
      <x:c r="C15" s="7">
        <x:v>0.15</x:v>
      </x:c>
      <x:c r="D15" s="7">
        <x:v>0.3</x:v>
      </x:c>
    </x:row>
    <x:row r="16" ht="24" customHeight="1">
      <x:c r="A16" s="4" t="s">
        <x:v>12</x:v>
      </x:c>
      <x:c r="B16" s="4" t="s">
        <x:v>13</x:v>
      </x:c>
      <x:c r="C16" s="6">
        <x:v>0.15</x:v>
      </x:c>
      <x:c r="D16" s="6">
        <x:v>0.3</x:v>
      </x:c>
    </x:row>
    <x:row r="17" ht="24" customHeight="1">
      <x:c r="A17" s="4" t="s">
        <x:v>139</x:v>
      </x:c>
      <x:c r="B17" s="4" t="s">
        <x:v>76</x:v>
      </x:c>
      <x:c r="C17" s="7">
        <x:v>0.15</x:v>
      </x:c>
      <x:c r="D17" s="7">
        <x:v>0.3</x:v>
      </x:c>
    </x:row>
    <x:row r="18" ht="24" customHeight="1">
      <x:c r="A18" s="4" t="s">
        <x:v>139</x:v>
      </x:c>
      <x:c r="B18" s="4" t="s">
        <x:v>101</x:v>
      </x:c>
      <x:c r="C18" s="6">
        <x:v>0.15</x:v>
      </x:c>
      <x:c r="D18" s="6">
        <x:v>0.3</x:v>
      </x:c>
    </x:row>
    <x:row r="19" ht="24" customHeight="1">
      <x:c r="A19" s="4" t="s">
        <x:v>139</x:v>
      </x:c>
      <x:c r="B19" s="4" t="s">
        <x:v>249</x:v>
      </x:c>
      <x:c r="C19" s="7">
        <x:v>0.15</x:v>
      </x:c>
      <x:c r="D19" s="7">
        <x:v>0.3</x:v>
      </x:c>
    </x:row>
    <x:row r="20" ht="24" customHeight="1">
      <x:c r="A20" s="4" t="s">
        <x:v>139</x:v>
      </x:c>
      <x:c r="B20" s="4" t="s">
        <x:v>33</x:v>
      </x:c>
      <x:c r="C20" s="6">
        <x:v>0.15</x:v>
      </x:c>
      <x:c r="D20" s="6">
        <x:v>0.3</x:v>
      </x:c>
    </x:row>
    <x:row r="21" ht="24" customHeight="1">
      <x:c r="A21" s="4" t="s">
        <x:v>139</x:v>
      </x:c>
      <x:c r="B21" s="4" t="s">
        <x:v>13</x:v>
      </x:c>
      <x:c r="C21" s="7">
        <x:v>0.15</x:v>
      </x:c>
      <x:c r="D21" s="7">
        <x:v>0.3</x:v>
      </x:c>
    </x:row>
    <x:row r="22" ht="24" customHeight="1">
      <x:c r="A22" s="4" t="s">
        <x:v>653</x:v>
      </x:c>
      <x:c r="B22" s="4" t="s">
        <x:v>76</x:v>
      </x:c>
      <x:c r="C22" s="6">
        <x:v>0.15</x:v>
      </x:c>
      <x:c r="D22" s="6">
        <x:v>0.3</x:v>
      </x:c>
    </x:row>
    <x:row r="23" ht="24" customHeight="1">
      <x:c r="A23" s="4" t="s">
        <x:v>653</x:v>
      </x:c>
      <x:c r="B23" s="4" t="s">
        <x:v>101</x:v>
      </x:c>
      <x:c r="C23" s="7">
        <x:v>0.15</x:v>
      </x:c>
      <x:c r="D23" s="7">
        <x:v>0.3</x:v>
      </x:c>
    </x:row>
    <x:row r="24" ht="24" customHeight="1">
      <x:c r="A24" s="4" t="s">
        <x:v>653</x:v>
      </x:c>
      <x:c r="B24" s="4" t="s">
        <x:v>33</x:v>
      </x:c>
      <x:c r="C24" s="6">
        <x:v>0.15</x:v>
      </x:c>
      <x:c r="D24" s="6">
        <x:v>0.3</x:v>
      </x:c>
    </x:row>
    <x:row r="25" ht="24" customHeight="1">
      <x:c r="A25" s="4" t="s">
        <x:v>18</x:v>
      </x:c>
      <x:c r="B25" s="4" t="s">
        <x:v>76</x:v>
      </x:c>
      <x:c r="C25" s="7">
        <x:v>0.15</x:v>
      </x:c>
      <x:c r="D25" s="7">
        <x:v>0.3</x:v>
      </x:c>
    </x:row>
    <x:row r="26" ht="24" customHeight="1">
      <x:c r="A26" s="4" t="s">
        <x:v>18</x:v>
      </x:c>
      <x:c r="B26" s="4" t="s">
        <x:v>101</x:v>
      </x:c>
      <x:c r="C26" s="6">
        <x:v>0.15</x:v>
      </x:c>
      <x:c r="D26" s="6">
        <x:v>0.3</x:v>
      </x:c>
    </x:row>
    <x:row r="27" ht="24" customHeight="1">
      <x:c r="A27" s="4" t="s">
        <x:v>18</x:v>
      </x:c>
      <x:c r="B27" s="4" t="s">
        <x:v>33</x:v>
      </x:c>
      <x:c r="C27" s="7">
        <x:v>0.15</x:v>
      </x:c>
      <x:c r="D27" s="7">
        <x:v>0.3</x:v>
      </x:c>
    </x:row>
    <x:row r="28" ht="24" customHeight="1">
      <x:c r="A28" s="4" t="s">
        <x:v>18</x:v>
      </x:c>
      <x:c r="B28" s="4" t="s">
        <x:v>13</x:v>
      </x:c>
      <x:c r="C28" s="6">
        <x:v>0.15</x:v>
      </x:c>
      <x:c r="D28" s="6">
        <x:v>0.3</x:v>
      </x:c>
    </x:row>
    <x:row r="29" ht="24" customHeight="1">
      <x:c r="A29" s="4" t="s">
        <x:v>541</x:v>
      </x:c>
      <x:c r="B29" s="4" t="s">
        <x:v>76</x:v>
      </x:c>
      <x:c r="C29" s="7">
        <x:v>0.15</x:v>
      </x:c>
      <x:c r="D29" s="7">
        <x:v>0.3</x:v>
      </x:c>
    </x:row>
    <x:row r="30" ht="24" customHeight="1">
      <x:c r="A30" s="4" t="s">
        <x:v>541</x:v>
      </x:c>
      <x:c r="B30" s="4" t="s">
        <x:v>101</x:v>
      </x:c>
      <x:c r="C30" s="6">
        <x:v>0.15</x:v>
      </x:c>
      <x:c r="D30" s="6">
        <x:v>0.3</x:v>
      </x:c>
    </x:row>
    <x:row r="31" ht="24" customHeight="1">
      <x:c r="A31" s="4" t="s">
        <x:v>541</x:v>
      </x:c>
      <x:c r="B31" s="4" t="s">
        <x:v>33</x:v>
      </x:c>
      <x:c r="C31" s="7">
        <x:v>0.15</x:v>
      </x:c>
      <x:c r="D31" s="7">
        <x:v>0.3</x:v>
      </x:c>
    </x:row>
    <x:row r="32" ht="24" customHeight="1">
      <x:c r="A32" s="4" t="s">
        <x:v>541</x:v>
      </x:c>
      <x:c r="B32" s="4" t="s">
        <x:v>13</x:v>
      </x:c>
      <x:c r="C32" s="6">
        <x:v>0.15</x:v>
      </x:c>
      <x:c r="D32" s="6">
        <x:v>0.3</x:v>
      </x:c>
    </x:row>
    <x:row r="33" ht="24" customHeight="1">
      <x:c r="A33" s="4" t="s">
        <x:v>709</x:v>
      </x:c>
      <x:c r="B33" s="4" t="s">
        <x:v>76</x:v>
      </x:c>
      <x:c r="C33" s="7">
        <x:v>0.15</x:v>
      </x:c>
      <x:c r="D33" s="7">
        <x:v>0.3</x:v>
      </x:c>
    </x:row>
    <x:row r="34" ht="24" customHeight="1">
      <x:c r="A34" s="4" t="s">
        <x:v>709</x:v>
      </x:c>
      <x:c r="B34" s="4" t="s">
        <x:v>101</x:v>
      </x:c>
      <x:c r="C34" s="6">
        <x:v>0.15</x:v>
      </x:c>
      <x:c r="D34" s="6">
        <x:v>0.3</x:v>
      </x:c>
    </x:row>
    <x:row r="35" ht="24" customHeight="1">
      <x:c r="A35" s="4" t="s">
        <x:v>709</x:v>
      </x:c>
      <x:c r="B35" s="4" t="s">
        <x:v>33</x:v>
      </x:c>
      <x:c r="C35" s="7">
        <x:v>0.15</x:v>
      </x:c>
      <x:c r="D35" s="7">
        <x:v>0.3</x:v>
      </x:c>
    </x:row>
    <x:row r="36" ht="24" customHeight="1">
      <x:c r="A36" s="4" t="s">
        <x:v>709</x:v>
      </x:c>
      <x:c r="B36" s="4" t="s">
        <x:v>13</x:v>
      </x:c>
      <x:c r="C36" s="6">
        <x:v>0.15</x:v>
      </x:c>
      <x:c r="D36" s="6">
        <x:v>0.3</x:v>
      </x:c>
    </x:row>
    <x:row r="37" ht="24" customHeight="1">
      <x:c r="A37" s="4" t="s">
        <x:v>38</x:v>
      </x:c>
      <x:c r="B37" s="4" t="s">
        <x:v>76</x:v>
      </x:c>
      <x:c r="C37" s="7">
        <x:v>0.15</x:v>
      </x:c>
      <x:c r="D37" s="7">
        <x:v>0.3</x:v>
      </x:c>
    </x:row>
    <x:row r="38" ht="24" customHeight="1">
      <x:c r="A38" s="4" t="s">
        <x:v>38</x:v>
      </x:c>
      <x:c r="B38" s="4" t="s">
        <x:v>101</x:v>
      </x:c>
      <x:c r="C38" s="6">
        <x:v>0.15</x:v>
      </x:c>
      <x:c r="D38" s="6">
        <x:v>0.3</x:v>
      </x:c>
    </x:row>
    <x:row r="39" ht="24" customHeight="1">
      <x:c r="A39" s="4" t="s">
        <x:v>38</x:v>
      </x:c>
      <x:c r="B39" s="4" t="s">
        <x:v>249</x:v>
      </x:c>
      <x:c r="C39" s="7">
        <x:v>0.15</x:v>
      </x:c>
      <x:c r="D39" s="7">
        <x:v>0.3</x:v>
      </x:c>
    </x:row>
    <x:row r="40" ht="24" customHeight="1">
      <x:c r="A40" s="4" t="s">
        <x:v>38</x:v>
      </x:c>
      <x:c r="B40" s="4" t="s">
        <x:v>33</x:v>
      </x:c>
      <x:c r="C40" s="6">
        <x:v>0.15</x:v>
      </x:c>
      <x:c r="D40" s="6">
        <x:v>0.3</x:v>
      </x:c>
    </x:row>
    <x:row r="41" ht="24" customHeight="1">
      <x:c r="A41" s="4" t="s">
        <x:v>38</x:v>
      </x:c>
      <x:c r="B41" s="4" t="s">
        <x:v>13</x:v>
      </x:c>
      <x:c r="C41" s="7">
        <x:v>0.15</x:v>
      </x:c>
      <x:c r="D41" s="7">
        <x:v>0.3</x:v>
      </x:c>
    </x:row>
    <x:row r="42" ht="24" customHeight="1">
      <x:c r="A42" s="4" t="s">
        <x:v>21</x:v>
      </x:c>
      <x:c r="B42" s="4" t="s">
        <x:v>13</x:v>
      </x:c>
      <x:c r="C42" s="6">
        <x:v>0.15</x:v>
      </x:c>
      <x:c r="D42" s="6">
        <x:v>0.3</x:v>
      </x:c>
    </x:row>
    <x:row r="43" ht="24" customHeight="1">
      <x:c r="A43" s="4" t="s">
        <x:v>334</x:v>
      </x:c>
      <x:c r="B43" s="4" t="s">
        <x:v>76</x:v>
      </x:c>
      <x:c r="C43" s="7">
        <x:v>0.15</x:v>
      </x:c>
      <x:c r="D43" s="7">
        <x:v>0.3</x:v>
      </x:c>
    </x:row>
    <x:row r="44" ht="24" customHeight="1">
      <x:c r="A44" s="4" t="s">
        <x:v>334</x:v>
      </x:c>
      <x:c r="B44" s="4" t="s">
        <x:v>101</x:v>
      </x:c>
      <x:c r="C44" s="6">
        <x:v>0.15</x:v>
      </x:c>
      <x:c r="D44" s="6">
        <x:v>0.3</x:v>
      </x:c>
    </x:row>
    <x:row r="45" ht="24" customHeight="1">
      <x:c r="A45" s="4" t="s">
        <x:v>334</x:v>
      </x:c>
      <x:c r="B45" s="4" t="s">
        <x:v>33</x:v>
      </x:c>
      <x:c r="C45" s="7">
        <x:v>0.15</x:v>
      </x:c>
      <x:c r="D45" s="7">
        <x:v>0.3</x:v>
      </x:c>
    </x:row>
    <x:row r="46" ht="24" customHeight="1">
      <x:c r="A46" s="4" t="s">
        <x:v>334</x:v>
      </x:c>
      <x:c r="B46" s="4" t="s">
        <x:v>13</x:v>
      </x:c>
      <x:c r="C46" s="6">
        <x:v>0.15</x:v>
      </x:c>
      <x:c r="D46" s="6">
        <x:v>0.3</x:v>
      </x:c>
    </x:row>
    <x:row r="47" ht="24" customHeight="1">
      <x:c r="A47" s="4" t="s">
        <x:v>44</x:v>
      </x:c>
      <x:c r="B47" s="4" t="s">
        <x:v>76</x:v>
      </x:c>
      <x:c r="C47" s="7">
        <x:v>0.15</x:v>
      </x:c>
      <x:c r="D47" s="7">
        <x:v>0.3</x:v>
      </x:c>
    </x:row>
    <x:row r="48" ht="24" customHeight="1">
      <x:c r="A48" s="4" t="s">
        <x:v>44</x:v>
      </x:c>
      <x:c r="B48" s="4" t="s">
        <x:v>33</x:v>
      </x:c>
      <x:c r="C48" s="6">
        <x:v>0.15</x:v>
      </x:c>
      <x:c r="D48" s="6">
        <x:v>0.3</x:v>
      </x:c>
    </x:row>
    <x:row r="49" ht="24" customHeight="1">
      <x:c r="A49" s="4" t="s">
        <x:v>72</x:v>
      </x:c>
      <x:c r="B49" s="4" t="s">
        <x:v>76</x:v>
      </x:c>
      <x:c r="C49" s="7">
        <x:v>0.15</x:v>
      </x:c>
      <x:c r="D49" s="7">
        <x:v>0.3</x:v>
      </x:c>
    </x:row>
    <x:row r="50" ht="24" customHeight="1">
      <x:c r="A50" s="4" t="s">
        <x:v>72</x:v>
      </x:c>
      <x:c r="B50" s="4" t="s">
        <x:v>101</x:v>
      </x:c>
      <x:c r="C50" s="6">
        <x:v>0.15</x:v>
      </x:c>
      <x:c r="D50" s="6">
        <x:v>0.3</x:v>
      </x:c>
    </x:row>
    <x:row r="51" ht="24" customHeight="1">
      <x:c r="A51" s="4" t="s">
        <x:v>72</x:v>
      </x:c>
      <x:c r="B51" s="4" t="s">
        <x:v>33</x:v>
      </x:c>
      <x:c r="C51" s="7">
        <x:v>0.15</x:v>
      </x:c>
      <x:c r="D51" s="7">
        <x:v>0.3</x:v>
      </x:c>
    </x:row>
    <x:row r="52" ht="24" customHeight="1">
      <x:c r="A52" s="4" t="s">
        <x:v>227</x:v>
      </x:c>
      <x:c r="B52" s="4" t="s">
        <x:v>101</x:v>
      </x:c>
      <x:c r="C52" s="6">
        <x:v>0.15</x:v>
      </x:c>
      <x:c r="D52" s="6">
        <x:v>0.3</x:v>
      </x:c>
    </x:row>
    <x:row r="53" ht="24" customHeight="1">
      <x:c r="A53" s="4" t="s">
        <x:v>307</x:v>
      </x:c>
      <x:c r="B53" s="4" t="s">
        <x:v>76</x:v>
      </x:c>
      <x:c r="C53" s="7">
        <x:v>0.15</x:v>
      </x:c>
      <x:c r="D53" s="7">
        <x:v>0.3</x:v>
      </x:c>
    </x:row>
    <x:row r="54" ht="24" customHeight="1">
      <x:c r="A54" s="4" t="s">
        <x:v>307</x:v>
      </x:c>
      <x:c r="B54" s="4" t="s">
        <x:v>101</x:v>
      </x:c>
      <x:c r="C54" s="6">
        <x:v>0.15</x:v>
      </x:c>
      <x:c r="D54" s="6">
        <x:v>0.3</x:v>
      </x:c>
    </x:row>
    <x:row r="55" ht="24" customHeight="1">
      <x:c r="A55" s="4" t="s">
        <x:v>307</x:v>
      </x:c>
      <x:c r="B55" s="4" t="s">
        <x:v>33</x:v>
      </x:c>
      <x:c r="C55" s="7">
        <x:v>0.15</x:v>
      </x:c>
      <x:c r="D55" s="7">
        <x:v>0.3</x:v>
      </x:c>
    </x:row>
    <x:row r="56" ht="24" customHeight="1">
      <x:c r="A56" s="4" t="s">
        <x:v>307</x:v>
      </x:c>
      <x:c r="B56" s="4" t="s">
        <x:v>13</x:v>
      </x:c>
      <x:c r="C56" s="6">
        <x:v>0.15</x:v>
      </x:c>
      <x:c r="D56" s="6">
        <x:v>0.3</x:v>
      </x:c>
    </x:row>
    <x:row r="57" ht="24" customHeight="1">
      <x:c r="A57" s="4" t="s">
        <x:v>167</x:v>
      </x:c>
      <x:c r="B57" s="4" t="s">
        <x:v>76</x:v>
      </x:c>
      <x:c r="C57" s="7">
        <x:v>0.15</x:v>
      </x:c>
      <x:c r="D57" s="7">
        <x:v>0.3</x:v>
      </x:c>
    </x:row>
    <x:row r="58" ht="24" customHeight="1">
      <x:c r="A58" s="4" t="s">
        <x:v>167</x:v>
      </x:c>
      <x:c r="B58" s="4" t="s">
        <x:v>101</x:v>
      </x:c>
      <x:c r="C58" s="6">
        <x:v>0.15</x:v>
      </x:c>
      <x:c r="D58" s="6">
        <x:v>0.3</x:v>
      </x:c>
    </x:row>
    <x:row r="59" ht="24" customHeight="1">
      <x:c r="A59" s="4" t="s">
        <x:v>167</x:v>
      </x:c>
      <x:c r="B59" s="4" t="s">
        <x:v>33</x:v>
      </x:c>
      <x:c r="C59" s="7">
        <x:v>0.15</x:v>
      </x:c>
      <x:c r="D59" s="7">
        <x:v>0.3</x:v>
      </x:c>
    </x:row>
    <x:row r="60" ht="24" customHeight="1">
      <x:c r="A60" s="4" t="s">
        <x:v>167</x:v>
      </x:c>
      <x:c r="B60" s="4" t="s">
        <x:v>13</x:v>
      </x:c>
      <x:c r="C60" s="6">
        <x:v>0.15</x:v>
      </x:c>
      <x:c r="D60" s="6">
        <x:v>0.3</x:v>
      </x:c>
    </x:row>
    <x:row r="61" ht="24" customHeight="1">
      <x:c r="A61" s="4" t="s">
        <x:v>63</x:v>
      </x:c>
      <x:c r="B61" s="4" t="s">
        <x:v>76</x:v>
      </x:c>
      <x:c r="C61" s="7">
        <x:v>0.15</x:v>
      </x:c>
      <x:c r="D61" s="7">
        <x:v>0.3</x:v>
      </x:c>
    </x:row>
    <x:row r="62" ht="24" customHeight="1">
      <x:c r="A62" s="4" t="s">
        <x:v>63</x:v>
      </x:c>
      <x:c r="B62" s="4" t="s">
        <x:v>101</x:v>
      </x:c>
      <x:c r="C62" s="6">
        <x:v>0.15</x:v>
      </x:c>
      <x:c r="D62" s="6">
        <x:v>0.3</x:v>
      </x:c>
    </x:row>
    <x:row r="63" ht="24" customHeight="1">
      <x:c r="A63" s="4" t="s">
        <x:v>63</x:v>
      </x:c>
      <x:c r="B63" s="4" t="s">
        <x:v>33</x:v>
      </x:c>
      <x:c r="C63" s="7">
        <x:v>0.15</x:v>
      </x:c>
      <x:c r="D63" s="7">
        <x:v>0.3</x:v>
      </x:c>
    </x:row>
    <x:row r="64" ht="24" customHeight="1">
      <x:c r="A64" s="4" t="s">
        <x:v>63</x:v>
      </x:c>
      <x:c r="B64" s="4" t="s">
        <x:v>13</x:v>
      </x:c>
      <x:c r="C64" s="6">
        <x:v>0.15</x:v>
      </x:c>
      <x:c r="D64" s="6">
        <x:v>0.3</x:v>
      </x:c>
    </x:row>
    <x:row r="65" ht="24" customHeight="1">
      <x:c r="A65" s="4" t="s">
        <x:v>23</x:v>
      </x:c>
      <x:c r="B65" s="4" t="s">
        <x:v>76</x:v>
      </x:c>
      <x:c r="C65" s="7">
        <x:v>0.15</x:v>
      </x:c>
      <x:c r="D65" s="7">
        <x:v>0.3</x:v>
      </x:c>
    </x:row>
    <x:row r="66" ht="24" customHeight="1">
      <x:c r="A66" s="4" t="s">
        <x:v>23</x:v>
      </x:c>
      <x:c r="B66" s="4" t="s">
        <x:v>101</x:v>
      </x:c>
      <x:c r="C66" s="6">
        <x:v>0.15</x:v>
      </x:c>
      <x:c r="D66" s="6">
        <x:v>0.3</x:v>
      </x:c>
    </x:row>
    <x:row r="67" ht="24" customHeight="1">
      <x:c r="A67" s="4" t="s">
        <x:v>23</x:v>
      </x:c>
      <x:c r="B67" s="4" t="s">
        <x:v>33</x:v>
      </x:c>
      <x:c r="C67" s="7">
        <x:v>0.15</x:v>
      </x:c>
      <x:c r="D67" s="7">
        <x:v>0.3</x:v>
      </x:c>
    </x:row>
    <x:row r="68" ht="24" customHeight="1">
      <x:c r="A68" s="4" t="s">
        <x:v>23</x:v>
      </x:c>
      <x:c r="B68" s="4" t="s">
        <x:v>13</x:v>
      </x:c>
      <x:c r="C68" s="6">
        <x:v>0.15</x:v>
      </x:c>
      <x:c r="D68" s="6">
        <x:v>0.3</x:v>
      </x:c>
    </x:row>
    <x:row r="69" ht="24" customHeight="1">
      <x:c r="A69" s="4" t="s">
        <x:v>25</x:v>
      </x:c>
      <x:c r="B69" s="4" t="s">
        <x:v>76</x:v>
      </x:c>
      <x:c r="C69" s="7">
        <x:v>0.15</x:v>
      </x:c>
      <x:c r="D69" s="7">
        <x:v>0.3</x:v>
      </x:c>
    </x:row>
    <x:row r="70" ht="24" customHeight="1">
      <x:c r="A70" s="4" t="s">
        <x:v>25</x:v>
      </x:c>
      <x:c r="B70" s="4" t="s">
        <x:v>101</x:v>
      </x:c>
      <x:c r="C70" s="6">
        <x:v>0.15</x:v>
      </x:c>
      <x:c r="D70" s="6">
        <x:v>0.3</x:v>
      </x:c>
    </x:row>
    <x:row r="71" ht="24" customHeight="1">
      <x:c r="A71" s="4" t="s">
        <x:v>25</x:v>
      </x:c>
      <x:c r="B71" s="4" t="s">
        <x:v>249</x:v>
      </x:c>
      <x:c r="C71" s="7">
        <x:v>0.15</x:v>
      </x:c>
      <x:c r="D71" s="7">
        <x:v>0.3</x:v>
      </x:c>
    </x:row>
    <x:row r="72" ht="24" customHeight="1">
      <x:c r="A72" s="4" t="s">
        <x:v>25</x:v>
      </x:c>
      <x:c r="B72" s="4" t="s">
        <x:v>33</x:v>
      </x:c>
      <x:c r="C72" s="6">
        <x:v>0.15</x:v>
      </x:c>
      <x:c r="D72" s="6">
        <x:v>0.3</x:v>
      </x:c>
    </x:row>
    <x:row r="73" ht="24" customHeight="1">
      <x:c r="A73" s="4" t="s">
        <x:v>25</x:v>
      </x:c>
      <x:c r="B73" s="4" t="s">
        <x:v>13</x:v>
      </x:c>
      <x:c r="C73" s="7">
        <x:v>0.15</x:v>
      </x:c>
      <x:c r="D73" s="7">
        <x:v>0.3</x:v>
      </x:c>
    </x:row>
    <x:row r="74" ht="24" customHeight="1">
      <x:c r="A74" s="4" t="s">
        <x:v>50</x:v>
      </x:c>
      <x:c r="B74" s="4" t="s">
        <x:v>76</x:v>
      </x:c>
      <x:c r="C74" s="6">
        <x:v>0.15</x:v>
      </x:c>
      <x:c r="D74" s="6">
        <x:v>0.3</x:v>
      </x:c>
    </x:row>
    <x:row r="75" ht="24" customHeight="1">
      <x:c r="A75" s="4" t="s">
        <x:v>50</x:v>
      </x:c>
      <x:c r="B75" s="4" t="s">
        <x:v>101</x:v>
      </x:c>
      <x:c r="C75" s="7">
        <x:v>0.15</x:v>
      </x:c>
      <x:c r="D75" s="7">
        <x:v>0.3</x:v>
      </x:c>
    </x:row>
    <x:row r="76" ht="24" customHeight="1">
      <x:c r="A76" s="4" t="s">
        <x:v>50</x:v>
      </x:c>
      <x:c r="B76" s="4" t="s">
        <x:v>249</x:v>
      </x:c>
      <x:c r="C76" s="6">
        <x:v>0.15</x:v>
      </x:c>
      <x:c r="D76" s="6">
        <x:v>0.3</x:v>
      </x:c>
    </x:row>
    <x:row r="77" ht="24" customHeight="1">
      <x:c r="A77" s="4" t="s">
        <x:v>50</x:v>
      </x:c>
      <x:c r="B77" s="4" t="s">
        <x:v>33</x:v>
      </x:c>
      <x:c r="C77" s="7">
        <x:v>0.15</x:v>
      </x:c>
      <x:c r="D77" s="7">
        <x:v>0.3</x:v>
      </x:c>
    </x:row>
    <x:row r="78" ht="24" customHeight="1">
      <x:c r="A78" s="4" t="s">
        <x:v>50</x:v>
      </x:c>
      <x:c r="B78" s="4" t="s">
        <x:v>13</x:v>
      </x:c>
      <x:c r="C78" s="6">
        <x:v>0.15</x:v>
      </x:c>
      <x:c r="D78" s="6">
        <x:v>0.3</x:v>
      </x:c>
    </x:row>
    <x:row r="79" ht="24" customHeight="1">
      <x:c r="A79" s="4" t="s">
        <x:v>444</x:v>
      </x:c>
      <x:c r="B79" s="4" t="s">
        <x:v>76</x:v>
      </x:c>
      <x:c r="C79" s="7">
        <x:v>0.15</x:v>
      </x:c>
      <x:c r="D79" s="7">
        <x:v>0.3</x:v>
      </x:c>
    </x:row>
    <x:row r="80" ht="24" customHeight="1">
      <x:c r="A80" s="4" t="s">
        <x:v>444</x:v>
      </x:c>
      <x:c r="B80" s="4" t="s">
        <x:v>101</x:v>
      </x:c>
      <x:c r="C80" s="6">
        <x:v>0.15</x:v>
      </x:c>
      <x:c r="D80" s="6">
        <x:v>0.3</x:v>
      </x:c>
    </x:row>
    <x:row r="81" ht="24" customHeight="1">
      <x:c r="A81" s="4" t="s">
        <x:v>444</x:v>
      </x:c>
      <x:c r="B81" s="4" t="s">
        <x:v>33</x:v>
      </x:c>
      <x:c r="C81" s="7">
        <x:v>0.15</x:v>
      </x:c>
      <x:c r="D81" s="7">
        <x:v>0.3</x:v>
      </x:c>
    </x:row>
    <x:row r="82" ht="24" customHeight="1">
      <x:c r="A82" s="4" t="s">
        <x:v>444</x:v>
      </x:c>
      <x:c r="B82" s="4" t="s">
        <x:v>13</x:v>
      </x:c>
      <x:c r="C82" s="6">
        <x:v>0.15</x:v>
      </x:c>
      <x:c r="D82" s="6">
        <x:v>0.3</x:v>
      </x:c>
    </x:row>
    <x:row r="83" ht="24" customHeight="1">
      <x:c r="A83" s="4" t="s">
        <x:v>427</x:v>
      </x:c>
      <x:c r="B83" s="4" t="s">
        <x:v>76</x:v>
      </x:c>
      <x:c r="C83" s="7">
        <x:v>0.15</x:v>
      </x:c>
      <x:c r="D83" s="7">
        <x:v>0.3</x:v>
      </x:c>
    </x:row>
    <x:row r="84" ht="24" customHeight="1">
      <x:c r="A84" s="4" t="s">
        <x:v>427</x:v>
      </x:c>
      <x:c r="B84" s="4" t="s">
        <x:v>101</x:v>
      </x:c>
      <x:c r="C84" s="6">
        <x:v>0.15</x:v>
      </x:c>
      <x:c r="D84" s="6">
        <x:v>0.3</x:v>
      </x:c>
    </x:row>
    <x:row r="85" ht="24" customHeight="1">
      <x:c r="A85" s="4" t="s">
        <x:v>427</x:v>
      </x:c>
      <x:c r="B85" s="4" t="s">
        <x:v>249</x:v>
      </x:c>
      <x:c r="C85" s="7">
        <x:v>0.15</x:v>
      </x:c>
      <x:c r="D85" s="7">
        <x:v>0.3</x:v>
      </x:c>
    </x:row>
    <x:row r="86" ht="24" customHeight="1">
      <x:c r="A86" s="4" t="s">
        <x:v>427</x:v>
      </x:c>
      <x:c r="B86" s="4" t="s">
        <x:v>33</x:v>
      </x:c>
      <x:c r="C86" s="6">
        <x:v>0.15</x:v>
      </x:c>
      <x:c r="D86" s="6">
        <x:v>0.3</x:v>
      </x:c>
    </x:row>
    <x:row r="87" ht="24" customHeight="1">
      <x:c r="A87" s="4" t="s">
        <x:v>427</x:v>
      </x:c>
      <x:c r="B87" s="4" t="s">
        <x:v>13</x:v>
      </x:c>
      <x:c r="C87" s="7">
        <x:v>0.15</x:v>
      </x:c>
      <x:c r="D87" s="7">
        <x:v>0.3</x:v>
      </x:c>
    </x:row>
    <x:row r="88" ht="24" customHeight="1">
      <x:c r="A88" s="4" t="s">
        <x:v>129</x:v>
      </x:c>
      <x:c r="B88" s="4" t="s">
        <x:v>76</x:v>
      </x:c>
      <x:c r="C88" s="6">
        <x:v>0.15</x:v>
      </x:c>
      <x:c r="D88" s="6">
        <x:v>0.3</x:v>
      </x:c>
    </x:row>
    <x:row r="89" ht="24" customHeight="1">
      <x:c r="A89" s="4" t="s">
        <x:v>129</x:v>
      </x:c>
      <x:c r="B89" s="4" t="s">
        <x:v>101</x:v>
      </x:c>
      <x:c r="C89" s="7">
        <x:v>0.15</x:v>
      </x:c>
      <x:c r="D89" s="7">
        <x:v>0.3</x:v>
      </x:c>
    </x:row>
    <x:row r="90" ht="24" customHeight="1">
      <x:c r="A90" s="4" t="s">
        <x:v>129</x:v>
      </x:c>
      <x:c r="B90" s="4" t="s">
        <x:v>249</x:v>
      </x:c>
      <x:c r="C90" s="6">
        <x:v>0.15</x:v>
      </x:c>
      <x:c r="D90" s="6">
        <x:v>0.3</x:v>
      </x:c>
    </x:row>
    <x:row r="91" ht="24" customHeight="1">
      <x:c r="A91" s="4" t="s">
        <x:v>129</x:v>
      </x:c>
      <x:c r="B91" s="4" t="s">
        <x:v>33</x:v>
      </x:c>
      <x:c r="C91" s="7">
        <x:v>0.15</x:v>
      </x:c>
      <x:c r="D91" s="7">
        <x:v>0.3</x:v>
      </x:c>
    </x:row>
    <x:row r="92" ht="24" customHeight="1">
      <x:c r="A92" s="4" t="s">
        <x:v>129</x:v>
      </x:c>
      <x:c r="B92" s="4" t="s">
        <x:v>13</x:v>
      </x:c>
      <x:c r="C92" s="6">
        <x:v>0.15</x:v>
      </x:c>
      <x:c r="D92" s="6">
        <x:v>0.3</x:v>
      </x:c>
    </x:row>
    <x:row r="93" ht="24" customHeight="1">
      <x:c r="A93" s="4" t="s">
        <x:v>326</x:v>
      </x:c>
      <x:c r="B93" s="4" t="s">
        <x:v>76</x:v>
      </x:c>
      <x:c r="C93" s="7">
        <x:v>0.15</x:v>
      </x:c>
      <x:c r="D93" s="7">
        <x:v>0.3</x:v>
      </x:c>
    </x:row>
    <x:row r="94" ht="24" customHeight="1">
      <x:c r="A94" s="4" t="s">
        <x:v>326</x:v>
      </x:c>
      <x:c r="B94" s="4" t="s">
        <x:v>249</x:v>
      </x:c>
      <x:c r="C94" s="6">
        <x:v>0.15</x:v>
      </x:c>
      <x:c r="D94" s="6">
        <x:v>0.3</x:v>
      </x:c>
    </x:row>
    <x:row r="95" ht="24" customHeight="1">
      <x:c r="A95" s="4" t="s">
        <x:v>326</x:v>
      </x:c>
      <x:c r="B95" s="4" t="s">
        <x:v>33</x:v>
      </x:c>
      <x:c r="C95" s="7">
        <x:v>0.15</x:v>
      </x:c>
      <x:c r="D95" s="7">
        <x:v>0.3</x:v>
      </x:c>
    </x:row>
    <x:row r="96" ht="24" customHeight="1">
      <x:c r="A96" s="4" t="s">
        <x:v>289</x:v>
      </x:c>
      <x:c r="B96" s="4" t="s">
        <x:v>13</x:v>
      </x:c>
      <x:c r="C96" s="6">
        <x:v>0</x:v>
      </x:c>
      <x:c r="D96" s="6">
        <x:v>0</x:v>
      </x:c>
    </x:row>
    <x:row r="97" ht="24" customHeight="1">
      <x:c r="A97" s="4" t="s">
        <x:v>571</x:v>
      </x:c>
      <x:c r="B97" s="4" t="s">
        <x:v>76</x:v>
      </x:c>
      <x:c r="C97" s="7">
        <x:v>0.15</x:v>
      </x:c>
      <x:c r="D97" s="7">
        <x:v>0.3</x:v>
      </x:c>
    </x:row>
    <x:row r="98" ht="24" customHeight="1">
      <x:c r="A98" s="4" t="s">
        <x:v>571</x:v>
      </x:c>
      <x:c r="B98" s="4" t="s">
        <x:v>101</x:v>
      </x:c>
      <x:c r="C98" s="6">
        <x:v>0.15</x:v>
      </x:c>
      <x:c r="D98" s="6">
        <x:v>0.3</x:v>
      </x:c>
    </x:row>
    <x:row r="99" ht="24" customHeight="1">
      <x:c r="A99" s="4" t="s">
        <x:v>571</x:v>
      </x:c>
      <x:c r="B99" s="4" t="s">
        <x:v>33</x:v>
      </x:c>
      <x:c r="C99" s="7">
        <x:v>0.15</x:v>
      </x:c>
      <x:c r="D99" s="7">
        <x:v>0.3</x:v>
      </x:c>
    </x:row>
    <x:row r="100" ht="24" customHeight="1">
      <x:c r="A100" s="4" t="s">
        <x:v>53</x:v>
      </x:c>
      <x:c r="B100" s="4" t="s">
        <x:v>76</x:v>
      </x:c>
      <x:c r="C100" s="6">
        <x:v>0.15</x:v>
      </x:c>
      <x:c r="D100" s="6">
        <x:v>0.3</x:v>
      </x:c>
    </x:row>
    <x:row r="101" ht="24" customHeight="1">
      <x:c r="A101" s="4" t="s">
        <x:v>53</x:v>
      </x:c>
      <x:c r="B101" s="4" t="s">
        <x:v>101</x:v>
      </x:c>
      <x:c r="C101" s="7">
        <x:v>0.15</x:v>
      </x:c>
      <x:c r="D101" s="7">
        <x:v>0.3</x:v>
      </x:c>
    </x:row>
    <x:row r="102" ht="24" customHeight="1">
      <x:c r="A102" s="4" t="s">
        <x:v>53</x:v>
      </x:c>
      <x:c r="B102" s="4" t="s">
        <x:v>33</x:v>
      </x:c>
      <x:c r="C102" s="6">
        <x:v>0.15</x:v>
      </x:c>
      <x:c r="D102" s="6">
        <x:v>0.3</x:v>
      </x:c>
    </x:row>
    <x:row r="103" ht="24" customHeight="1">
      <x:c r="A103" s="4" t="s">
        <x:v>32</x:v>
      </x:c>
      <x:c r="B103" s="4" t="s">
        <x:v>76</x:v>
      </x:c>
      <x:c r="C103" s="7">
        <x:v>0.15</x:v>
      </x:c>
      <x:c r="D103" s="7">
        <x:v>0.3</x:v>
      </x:c>
    </x:row>
    <x:row r="104" ht="24" customHeight="1">
      <x:c r="A104" s="4" t="s">
        <x:v>32</x:v>
      </x:c>
      <x:c r="B104" s="4" t="s">
        <x:v>33</x:v>
      </x:c>
      <x:c r="C104" s="6">
        <x:v>0.15</x:v>
      </x:c>
      <x:c r="D104" s="6">
        <x:v>0.3</x:v>
      </x:c>
    </x:row>
    <x:row r="105" ht="24" customHeight="1">
      <x:c r="A105" s="4" t="s">
        <x:v>285</x:v>
      </x:c>
      <x:c r="B105" s="4" t="s">
        <x:v>13</x:v>
      </x:c>
      <x:c r="C105" s="7">
        <x:v>0.15</x:v>
      </x:c>
      <x:c r="D105" s="7">
        <x:v>0.3</x:v>
      </x:c>
    </x:row>
    <x:row r="106" ht="24" customHeight="1">
      <x:c r="A106" s="4" t="s">
        <x:v>135</x:v>
      </x:c>
      <x:c r="B106" s="4" t="s">
        <x:v>76</x:v>
      </x:c>
      <x:c r="C106" s="6">
        <x:v>0.15</x:v>
      </x:c>
      <x:c r="D106" s="6">
        <x:v>0.3</x:v>
      </x:c>
    </x:row>
    <x:row r="107" ht="24" customHeight="1">
      <x:c r="A107" s="4" t="s">
        <x:v>135</x:v>
      </x:c>
      <x:c r="B107" s="4" t="s">
        <x:v>101</x:v>
      </x:c>
      <x:c r="C107" s="7">
        <x:v>0.15</x:v>
      </x:c>
      <x:c r="D107" s="7">
        <x:v>0.3</x:v>
      </x:c>
    </x:row>
    <x:row r="108" ht="24" customHeight="1">
      <x:c r="A108" s="4" t="s">
        <x:v>135</x:v>
      </x:c>
      <x:c r="B108" s="4" t="s">
        <x:v>249</x:v>
      </x:c>
      <x:c r="C108" s="6">
        <x:v>0.15</x:v>
      </x:c>
      <x:c r="D108" s="6">
        <x:v>0.3</x:v>
      </x:c>
    </x:row>
    <x:row r="109" ht="24" customHeight="1">
      <x:c r="A109" s="4" t="s">
        <x:v>135</x:v>
      </x:c>
      <x:c r="B109" s="4" t="s">
        <x:v>33</x:v>
      </x:c>
      <x:c r="C109" s="7">
        <x:v>0.15</x:v>
      </x:c>
      <x:c r="D109" s="7">
        <x:v>0.3</x:v>
      </x:c>
    </x:row>
    <x:row r="110" ht="24" customHeight="1">
      <x:c r="A110" s="5" t="s">
        <x:v>135</x:v>
      </x:c>
      <x:c r="B110" s="5" t="s">
        <x:v>13</x:v>
      </x:c>
      <x:c r="C110" s="6">
        <x:v>0.15</x:v>
      </x:c>
      <x:c r="D110" s="6">
        <x:v>0.3</x:v>
      </x:c>
    </x:row>
  </x:sheetData>
  <x:dataValidations count="1">
    <x:dataValidation type="decimal" sqref="C2:D110">
      <x:formula1>0</x:formula1>
      <x:formula2>1</x:formula2>
    </x:dataValidation>
  </x:dataValidations>
  <x:pageMargins left="0.7" right="0.7" top="0.75" bottom="0.75" header="0.3" footer="0.3"/>
  <x:tableParts count="1">
    <x:tablePart xmlns:r="http://schemas.openxmlformats.org/officeDocument/2006/relationships" r:id="Rd100b30ec8fc4ed8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4.25"/>
  <x:cols>
    <x:col min="1" max="1" width="22" customWidth="1"/>
    <x:col min="2" max="2" width="78" customWidth="1"/>
  </x:cols>
  <x:sheetData>
    <x:row r="1" ht="30" customHeight="1">
      <x:c r="A1" s="1" t="s">
        <x:v>806</x:v>
      </x:c>
      <x:c r="B1" s="1" t="s">
        <x:v>807</x:v>
      </x:c>
    </x:row>
    <x:row r="2" ht="30" customHeight="1">
      <x:c r="A2" s="28" t="s">
        <x:v>808</x:v>
      </x:c>
      <x:c r="B2" s="29" t="s">
        <x:v>809</x:v>
      </x:c>
    </x:row>
    <x:row r="3" ht="30" customHeight="1">
      <x:c r="A3" s="28" t="s">
        <x:v>810</x:v>
      </x:c>
      <x:c r="B3" s="29" t="s">
        <x:v>811</x:v>
      </x:c>
    </x:row>
    <x:row r="4" ht="30" customHeight="1">
      <x:c r="A4" s="28" t="s">
        <x:v>812</x:v>
      </x:c>
      <x:c r="B4" s="29" t="s">
        <x:v>813</x:v>
      </x:c>
    </x:row>
    <x:row r="5" ht="30" customHeight="1">
      <x:c r="A5" s="28" t="s">
        <x:v>814</x:v>
      </x:c>
      <x:c r="B5" s="29" t="s">
        <x:v>815</x:v>
      </x:c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4.25"/>
  <x:cols>
    <x:col min="1" max="1" width="16" customWidth="1"/>
    <x:col min="2" max="2" width="82" customWidth="1"/>
  </x:cols>
  <x:sheetData>
    <x:row r="1" ht="42" customHeight="1">
      <x:c r="A1" s="52" t="s">
        <x:v>816</x:v>
      </x:c>
      <x:c r="B1" s="52"/>
      <x:c r="C1" s="52"/>
      <x:c r="D1" s="52"/>
      <x:c r="E1" s="52"/>
      <x:c r="F1" s="52"/>
    </x:row>
    <x:row r="3" ht="33.95000076293945" customHeight="1">
      <x:c r="A3" s="26" t="s">
        <x:v>817</x:v>
      </x:c>
      <x:c r="B3" s="26"/>
    </x:row>
    <x:row r="4" ht="33.95000076293945" customHeight="1">
      <x:c r="A4" s="27" t="s">
        <x:v>818</x:v>
      </x:c>
      <x:c r="B4" s="27" t="s">
        <x:v>819</x:v>
      </x:c>
    </x:row>
    <x:row r="5" ht="33.95000076293945" customHeight="1">
      <x:c r="A5" s="27" t="s">
        <x:v>820</x:v>
      </x:c>
      <x:c r="B5" s="27" t="s">
        <x:v>821</x:v>
      </x:c>
    </x:row>
    <x:row r="6" ht="33.95000076293945" customHeight="1">
      <x:c r="A6" s="27" t="s">
        <x:v>822</x:v>
      </x:c>
      <x:c r="B6" s="27" t="s">
        <x:v>823</x:v>
      </x:c>
    </x:row>
    <x:row r="7" ht="33.95000076293945" customHeight="1">
      <x:c r="A7" s="27" t="s">
        <x:v>824</x:v>
      </x:c>
      <x:c r="B7" s="27" t="s">
        <x:v>825</x:v>
      </x:c>
    </x:row>
    <x:row r="8" ht="33.95000076293945" customHeight="1">
      <x:c r="A8" s="27" t="s">
        <x:v>826</x:v>
      </x:c>
      <x:c r="B8" s="27" t="s">
        <x:v>827</x:v>
      </x:c>
    </x:row>
    <x:row r="9" ht="33.95000076293945" customHeight="1">
      <x:c r="A9" s="27" t="s">
        <x:v>828</x:v>
      </x:c>
      <x:c r="B9" s="27" t="s">
        <x:v>829</x:v>
      </x:c>
    </x:row>
    <x:row r="10" ht="39.95000076293945" customHeight="1">
      <x:c r="A10" s="27" t="s">
        <x:v>830</x:v>
      </x:c>
      <x:c r="B10" s="27" t="s">
        <x:v>831</x:v>
      </x:c>
    </x:row>
    <x:row r="11" ht="39.95000076293945" customHeight="1">
      <x:c r="A11" s="27" t="s">
        <x:v>832</x:v>
      </x:c>
      <x:c r="B11" s="27" t="s">
        <x:v>833</x:v>
      </x:c>
    </x:row>
  </x:sheetData>
  <x:mergeCells>
    <x:mergeCell ref="A1:F1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4.25"/>
  <x:cols>
    <x:col min="1" max="2" width="18" customWidth="1"/>
    <x:col min="4" max="4" width="20" customWidth="1"/>
    <x:col min="5" max="5" width="34" customWidth="1"/>
    <x:col min="7" max="7" width="34" customWidth="1"/>
    <x:col min="8" max="8" width="20" customWidth="1"/>
  </x:cols>
  <x:sheetData>
    <x:row r="1" ht="32.099998474121094" customHeight="1">
      <x:c r="A1" s="53" t="str">
        <x:v>Sınıf Ayarları</x:v>
      </x:c>
      <x:c r="B1" s="53"/>
      <x:c r="C1"/>
      <x:c r="D1" s="53" t="str">
        <x:v>Kitabevi Listesi</x:v>
      </x:c>
      <x:c r="E1" s="53"/>
      <x:c r="F1"/>
      <x:c r="G1" s="54" t="str">
        <x:v>Yayınevi - Kitabevi Eşleştirmesi</x:v>
      </x:c>
      <x:c r="H1" s="54"/>
    </x:row>
    <x:row r="2" ht="24" customHeight="1">
      <x:c r="A2"/>
      <x:c r="B2"/>
      <x:c r="C2"/>
      <x:c r="D2"/>
      <x:c r="E2"/>
      <x:c r="F2"/>
      <x:c r="G2"/>
      <x:c r="H2"/>
    </x:row>
    <x:row r="3" ht="24" customHeight="1">
      <x:c r="A3" s="32" t="str">
        <x:v>Sınıf</x:v>
      </x:c>
      <x:c r="B3" s="32" t="str">
        <x:v>Kademe</x:v>
      </x:c>
      <x:c r="C3"/>
      <x:c r="D3" s="32" t="str">
        <x:v>Kitabevi Kodu</x:v>
      </x:c>
      <x:c r="E3" s="32" t="str">
        <x:v>Kitabevi Adı</x:v>
      </x:c>
      <x:c r="F3"/>
      <x:c r="G3" s="47" t="str">
        <x:v>Yayınevi</x:v>
      </x:c>
      <x:c r="H3" s="47" t="str">
        <x:v>Kitabevi Kodu</x:v>
      </x:c>
    </x:row>
    <x:row r="4" ht="24" customHeight="1">
      <x:c r="A4" s="33" t="str">
        <x:v>5. Sınıf</x:v>
      </x:c>
      <x:c r="B4" s="33" t="str">
        <x:v>Ortaokul</x:v>
      </x:c>
      <x:c r="C4"/>
      <x:c r="D4" s="36" t="str">
        <x:v>kitabevi-1</x:v>
      </x:c>
      <x:c r="E4" s="36" t="str">
        <x:v>İşler Kitabevi</x:v>
      </x:c>
      <x:c r="F4"/>
      <x:c r="G4" s="3" t="str">
        <x:v>4K</x:v>
      </x:c>
      <x:c r="H4" s="50" t="str">
        <x:v>kitabevi-2</x:v>
      </x:c>
    </x:row>
    <x:row r="5" ht="24" customHeight="1">
      <x:c r="A5" s="34" t="str">
        <x:v>6. Sınıf</x:v>
      </x:c>
      <x:c r="B5" s="34" t="str">
        <x:v>Ortaokul</x:v>
      </x:c>
      <x:c r="C5"/>
      <x:c r="D5" s="37" t="str">
        <x:v>kitabevi-2</x:v>
      </x:c>
      <x:c r="E5" s="37" t="str">
        <x:v>Mega Kitabevi</x:v>
      </x:c>
      <x:c r="F5"/>
      <x:c r="G5" s="4" t="str">
        <x:v>Acil Yayınları</x:v>
      </x:c>
      <x:c r="H5" s="51" t="str">
        <x:v>kitabevi-1</x:v>
      </x:c>
    </x:row>
    <x:row r="6" ht="24" customHeight="1">
      <x:c r="A6" s="34" t="str">
        <x:v>7. Sınıf</x:v>
      </x:c>
      <x:c r="B6" s="34" t="str">
        <x:v>Ortaokul</x:v>
      </x:c>
      <x:c r="C6"/>
      <x:c r="D6" s="37"/>
      <x:c r="E6" s="37"/>
      <x:c r="F6"/>
      <x:c r="G6" s="4" t="str">
        <x:v>Aktif Öğrenme Yayınları</x:v>
      </x:c>
      <x:c r="H6" s="51" t="str">
        <x:v>kitabevi-1</x:v>
      </x:c>
    </x:row>
    <x:row r="7" ht="24" customHeight="1">
      <x:c r="A7" s="34" t="str">
        <x:v>8. Sınıf</x:v>
      </x:c>
      <x:c r="B7" s="34" t="str">
        <x:v>Ortaokul</x:v>
      </x:c>
      <x:c r="C7"/>
      <x:c r="D7" s="37"/>
      <x:c r="E7" s="37"/>
      <x:c r="F7"/>
      <x:c r="G7" s="4" t="str">
        <x:v>Alan Yayınları</x:v>
      </x:c>
      <x:c r="H7" s="51" t="str">
        <x:v>kitabevi-1</x:v>
      </x:c>
    </x:row>
    <x:row r="8" ht="24" customHeight="1">
      <x:c r="A8" s="34" t="str">
        <x:v>9. Sınıf</x:v>
      </x:c>
      <x:c r="B8" s="34" t="str">
        <x:v>Lise</x:v>
      </x:c>
      <x:c r="C8"/>
      <x:c r="D8" s="37"/>
      <x:c r="E8" s="37"/>
      <x:c r="F8"/>
      <x:c r="G8" s="4" t="str">
        <x:v>Apotemi Yayınları</x:v>
      </x:c>
      <x:c r="H8" s="51" t="str">
        <x:v>kitabevi-1</x:v>
      </x:c>
    </x:row>
    <x:row r="9" ht="24" customHeight="1">
      <x:c r="A9" s="34" t="str">
        <x:v>10. Sınıf</x:v>
      </x:c>
      <x:c r="B9" s="34" t="str">
        <x:v>Lise</x:v>
      </x:c>
      <x:c r="C9"/>
      <x:c r="D9" s="37"/>
      <x:c r="E9" s="37"/>
      <x:c r="F9"/>
      <x:c r="G9" s="4" t="str">
        <x:v>Aydın</x:v>
      </x:c>
      <x:c r="H9" s="51" t="str">
        <x:v>kitabevi-2</x:v>
      </x:c>
    </x:row>
    <x:row r="10" ht="24" customHeight="1">
      <x:c r="A10" s="34" t="str">
        <x:v>11. Sınıf</x:v>
      </x:c>
      <x:c r="B10" s="34" t="str">
        <x:v>Lise</x:v>
      </x:c>
      <x:c r="C10"/>
      <x:c r="D10" s="37"/>
      <x:c r="E10" s="37"/>
      <x:c r="F10"/>
      <x:c r="G10" s="4" t="str">
        <x:v>Bilgi Arşivi Yayınları</x:v>
      </x:c>
      <x:c r="H10" s="51" t="str">
        <x:v>kitabevi-1</x:v>
      </x:c>
    </x:row>
    <x:row r="11" ht="24" customHeight="1">
      <x:c r="A11" s="34" t="str">
        <x:v>12. Sınıf</x:v>
      </x:c>
      <x:c r="B11" s="34" t="str">
        <x:v>Lise</x:v>
      </x:c>
      <x:c r="C11"/>
      <x:c r="D11" s="37"/>
      <x:c r="E11" s="37"/>
      <x:c r="F11"/>
      <x:c r="G11" s="4" t="str">
        <x:v>Bilgi Sarmal Yayınları</x:v>
      </x:c>
      <x:c r="H11" s="51" t="str">
        <x:v>kitabevi-1</x:v>
      </x:c>
    </x:row>
    <x:row r="12" ht="24" customHeight="1">
      <x:c r="A12" s="35" t="str">
        <x:v>Maarif TYT</x:v>
      </x:c>
      <x:c r="B12" s="35" t="str">
        <x:v>Lise</x:v>
      </x:c>
      <x:c r="C12"/>
      <x:c r="D12" s="37"/>
      <x:c r="E12" s="37"/>
      <x:c r="F12"/>
      <x:c r="G12" s="4" t="str">
        <x:v>Biyotik Yayınları</x:v>
      </x:c>
      <x:c r="H12" s="51" t="str">
        <x:v>kitabevi-1</x:v>
      </x:c>
    </x:row>
    <x:row r="13" ht="24" customHeight="1">
      <x:c r="A13"/>
      <x:c r="B13"/>
      <x:c r="C13"/>
      <x:c r="D13" s="37"/>
      <x:c r="E13" s="37"/>
      <x:c r="F13"/>
      <x:c r="G13" s="4" t="str">
        <x:v>Coğrafya Gurmesi Yayınları</x:v>
      </x:c>
      <x:c r="H13" s="51" t="str">
        <x:v>kitabevi-1</x:v>
      </x:c>
    </x:row>
    <x:row r="14" ht="24" customHeight="1">
      <x:c r="A14"/>
      <x:c r="B14"/>
      <x:c r="C14"/>
      <x:c r="D14" s="37"/>
      <x:c r="E14" s="37"/>
      <x:c r="F14"/>
      <x:c r="G14" s="4" t="str">
        <x:v>Çap Yayınları</x:v>
      </x:c>
      <x:c r="H14" s="51" t="str">
        <x:v>kitabevi-1</x:v>
      </x:c>
    </x:row>
    <x:row r="15" ht="24" customHeight="1">
      <x:c r="A15"/>
      <x:c r="B15"/>
      <x:c r="C15"/>
      <x:c r="D15" s="37"/>
      <x:c r="E15" s="37"/>
      <x:c r="F15"/>
      <x:c r="G15" s="4" t="str">
        <x:v>Edebiyat Sokağı Yayınları</x:v>
      </x:c>
      <x:c r="H15" s="51" t="str">
        <x:v>kitabevi-1</x:v>
      </x:c>
    </x:row>
    <x:row r="16" ht="24" customHeight="1">
      <x:c r="A16"/>
      <x:c r="B16"/>
      <x:c r="C16"/>
      <x:c r="D16" s="37"/>
      <x:c r="E16" s="37"/>
      <x:c r="F16"/>
      <x:c r="G16" s="4" t="str">
        <x:v>Egzersiz Yayınları</x:v>
      </x:c>
      <x:c r="H16" s="51" t="str">
        <x:v>kitabevi-1</x:v>
      </x:c>
    </x:row>
    <x:row r="17" ht="24" customHeight="1">
      <x:c r="A17"/>
      <x:c r="B17"/>
      <x:c r="C17"/>
      <x:c r="D17" s="37"/>
      <x:c r="E17" s="37"/>
      <x:c r="F17"/>
      <x:c r="G17" s="4" t="str">
        <x:v>Eğitim Vadisi</x:v>
      </x:c>
      <x:c r="H17" s="51" t="str">
        <x:v>kitabevi-2</x:v>
      </x:c>
    </x:row>
    <x:row r="18" ht="24" customHeight="1">
      <x:c r="A18"/>
      <x:c r="B18"/>
      <x:c r="C18"/>
      <x:c r="D18" s="37"/>
      <x:c r="E18" s="37"/>
      <x:c r="F18"/>
      <x:c r="G18" s="4" t="str">
        <x:v>ENS Yayınları</x:v>
      </x:c>
      <x:c r="H18" s="51" t="str">
        <x:v>kitabevi-1</x:v>
      </x:c>
    </x:row>
    <x:row r="19" ht="24" customHeight="1">
      <x:c r="A19"/>
      <x:c r="B19"/>
      <x:c r="C19"/>
      <x:c r="D19" s="37"/>
      <x:c r="E19" s="37"/>
      <x:c r="F19"/>
      <x:c r="G19" s="4" t="str">
        <x:v>Etkili Matematik Yayınları</x:v>
      </x:c>
      <x:c r="H19" s="51" t="str">
        <x:v>kitabevi-1</x:v>
      </x:c>
    </x:row>
    <x:row r="20" ht="24" customHeight="1">
      <x:c r="A20"/>
      <x:c r="B20"/>
      <x:c r="C20"/>
      <x:c r="D20" s="38"/>
      <x:c r="E20" s="38"/>
      <x:c r="F20"/>
      <x:c r="G20" s="4" t="str">
        <x:v>Fizik Pedia Yayınları</x:v>
      </x:c>
      <x:c r="H20" s="51" t="str">
        <x:v>kitabevi-1</x:v>
      </x:c>
    </x:row>
    <x:row r="21" ht="24" customHeight="1">
      <x:c r="A21"/>
      <x:c r="B21"/>
      <x:c r="C21"/>
      <x:c r="D21"/>
      <x:c r="E21"/>
      <x:c r="F21"/>
      <x:c r="G21" s="4" t="str">
        <x:v>Full Matematik Yayınları</x:v>
      </x:c>
      <x:c r="H21" s="51" t="str">
        <x:v>kitabevi-1</x:v>
      </x:c>
    </x:row>
    <x:row r="22" ht="24" customHeight="1">
      <x:c r="A22"/>
      <x:c r="B22"/>
      <x:c r="C22"/>
      <x:c r="D22"/>
      <x:c r="E22"/>
      <x:c r="F22"/>
      <x:c r="G22" s="4" t="str">
        <x:v>Hız ve Renk Yayınları</x:v>
      </x:c>
      <x:c r="H22" s="51" t="str">
        <x:v>kitabevi-1</x:v>
      </x:c>
    </x:row>
    <x:row r="23" ht="24" customHeight="1">
      <x:c r="A23"/>
      <x:c r="B23"/>
      <x:c r="C23"/>
      <x:c r="D23"/>
      <x:c r="E23"/>
      <x:c r="F23"/>
      <x:c r="G23" s="4" t="str">
        <x:v>Limit</x:v>
      </x:c>
      <x:c r="H23" s="51" t="str">
        <x:v>kitabevi-2</x:v>
      </x:c>
    </x:row>
    <x:row r="24" ht="24" customHeight="1">
      <x:c r="A24"/>
      <x:c r="B24"/>
      <x:c r="C24"/>
      <x:c r="D24"/>
      <x:c r="E24"/>
      <x:c r="F24"/>
      <x:c r="G24" s="4" t="str">
        <x:v>Mikro Orijinal Yayınları</x:v>
      </x:c>
      <x:c r="H24" s="51" t="str">
        <x:v>kitabevi-1</x:v>
      </x:c>
    </x:row>
    <x:row r="25" ht="24" customHeight="1">
      <x:c r="A25"/>
      <x:c r="B25"/>
      <x:c r="C25"/>
      <x:c r="D25"/>
      <x:c r="E25"/>
      <x:c r="F25"/>
      <x:c r="G25" s="4" t="str">
        <x:v>Miray</x:v>
      </x:c>
      <x:c r="H25" s="51" t="str">
        <x:v>kitabevi-2</x:v>
      </x:c>
    </x:row>
    <x:row r="26" ht="24" customHeight="1">
      <x:c r="A26"/>
      <x:c r="B26"/>
      <x:c r="C26"/>
      <x:c r="D26"/>
      <x:c r="E26"/>
      <x:c r="F26"/>
      <x:c r="G26" s="4" t="str">
        <x:v>Oktet Yayınları</x:v>
      </x:c>
      <x:c r="H26" s="51" t="str">
        <x:v>kitabevi-1</x:v>
      </x:c>
    </x:row>
    <x:row r="27" ht="24" customHeight="1">
      <x:c r="A27"/>
      <x:c r="B27"/>
      <x:c r="C27"/>
      <x:c r="D27"/>
      <x:c r="E27"/>
      <x:c r="F27"/>
      <x:c r="G27" s="4" t="str">
        <x:v>Orbital Yayınları</x:v>
      </x:c>
      <x:c r="H27" s="51" t="str">
        <x:v>kitabevi-1</x:v>
      </x:c>
    </x:row>
    <x:row r="28" ht="24" customHeight="1">
      <x:c r="A28"/>
      <x:c r="B28"/>
      <x:c r="C28"/>
      <x:c r="D28"/>
      <x:c r="E28"/>
      <x:c r="F28"/>
      <x:c r="G28" s="4" t="str">
        <x:v>Orijinal Matematik Yayınları</x:v>
      </x:c>
      <x:c r="H28" s="51" t="str">
        <x:v>kitabevi-1</x:v>
      </x:c>
    </x:row>
    <x:row r="29" ht="24" customHeight="1">
      <x:c r="A29"/>
      <x:c r="B29"/>
      <x:c r="C29"/>
      <x:c r="D29"/>
      <x:c r="E29"/>
      <x:c r="F29"/>
      <x:c r="G29" s="4" t="str">
        <x:v>Profizik</x:v>
      </x:c>
      <x:c r="H29" s="51" t="str">
        <x:v>kitabevi-2</x:v>
      </x:c>
    </x:row>
    <x:row r="30" ht="24" customHeight="1">
      <x:c r="A30"/>
      <x:c r="B30"/>
      <x:c r="C30"/>
      <x:c r="D30"/>
      <x:c r="E30"/>
      <x:c r="F30"/>
      <x:c r="G30" s="4" t="str">
        <x:v>Rehber Matematik Yayınları</x:v>
      </x:c>
      <x:c r="H30" s="51" t="str">
        <x:v>kitabevi-1</x:v>
      </x:c>
    </x:row>
    <x:row r="31" ht="24" customHeight="1">
      <x:c r="A31"/>
      <x:c r="B31"/>
      <x:c r="C31"/>
      <x:c r="D31"/>
      <x:c r="E31"/>
      <x:c r="F31"/>
      <x:c r="G31" s="4" t="str">
        <x:v>Ritim Biyoloji Yayınları</x:v>
      </x:c>
      <x:c r="H31" s="51" t="str">
        <x:v>kitabevi-1</x:v>
      </x:c>
    </x:row>
    <x:row r="32" ht="24" customHeight="1">
      <x:c r="A32"/>
      <x:c r="B32"/>
      <x:c r="C32"/>
      <x:c r="D32"/>
      <x:c r="E32"/>
      <x:c r="F32"/>
      <x:c r="G32" s="4" t="str">
        <x:v>Süre Yayınları</x:v>
      </x:c>
      <x:c r="H32" s="51" t="str">
        <x:v>kitabevi-1</x:v>
      </x:c>
    </x:row>
    <x:row r="33" ht="24" customHeight="1">
      <x:c r="A33"/>
      <x:c r="B33"/>
      <x:c r="C33"/>
      <x:c r="D33"/>
      <x:c r="E33"/>
      <x:c r="F33"/>
      <x:c r="G33" s="4" t="str">
        <x:v>Ulti Yayınları</x:v>
      </x:c>
      <x:c r="H33" s="51" t="str">
        <x:v>kitabevi-1</x:v>
      </x:c>
    </x:row>
    <x:row r="34" ht="24" customHeight="1">
      <x:c r="A34"/>
      <x:c r="B34"/>
      <x:c r="C34"/>
      <x:c r="D34"/>
      <x:c r="E34"/>
      <x:c r="F34"/>
      <x:c r="G34" s="4" t="str">
        <x:v>Viral Yayınları</x:v>
      </x:c>
      <x:c r="H34" s="51" t="str">
        <x:v>kitabevi-1</x:v>
      </x:c>
    </x:row>
    <x:row r="35" ht="24" customHeight="1">
      <x:c r="A35"/>
      <x:c r="B35"/>
      <x:c r="C35"/>
      <x:c r="D35"/>
      <x:c r="E35"/>
      <x:c r="F35"/>
      <x:c r="G35" s="4" t="str">
        <x:v>Yarıçap Yayınları</x:v>
      </x:c>
      <x:c r="H35" s="51" t="str">
        <x:v>kitabevi-1</x:v>
      </x:c>
    </x:row>
  </x:sheetData>
  <x:mergeCells>
    <x:mergeCell ref="A1:B1"/>
    <x:mergeCell ref="D1:E1"/>
    <x:mergeCell ref="G1:H1"/>
  </x:mergeCells>
  <x:dataValidations count="1">
    <x:dataValidation type="list" sqref="H4:H35">
      <x:formula1>$D$4:$D$25</x:formula1>
    </x:dataValidation>
  </x:dataValidations>
  <x:pageMargins left="0.7" right="0.7" top="0.75" bottom="0.75" header="0.3" footer="0.3"/>
  <x:tableParts count="2">
    <x:tablePart xmlns:r="http://schemas.openxmlformats.org/officeDocument/2006/relationships" r:id="R43b3f84bf12d4d25"/>
    <x:tablePart xmlns:r="http://schemas.openxmlformats.org/officeDocument/2006/relationships" r:id="Raa22a70df890427e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4.25"/>
  <x:cols>
    <x:col min="1" max="1" width="18" customWidth="1"/>
    <x:col min="2" max="2" width="16" customWidth="1"/>
    <x:col min="3" max="3" width="30" customWidth="1"/>
    <x:col min="4" max="4" width="52" customWidth="1"/>
    <x:col min="5" max="6" width="16" customWidth="1"/>
    <x:col min="7" max="8" width="17" customWidth="1"/>
    <x:col min="9" max="9" width="46" customWidth="1"/>
    <x:col min="10" max="10" width="28" hidden="0" customWidth="1"/>
  </x:cols>
  <x:sheetData>
    <x:row r="1" ht="24" customHeight="1">
      <x:c r="A1" s="39" t="str">
        <x:v>Kitabevi Kodu</x:v>
      </x:c>
      <x:c r="B1" s="39" t="str">
        <x:v>Kademe</x:v>
      </x:c>
      <x:c r="C1" s="39" t="str">
        <x:v>Sayfa Başlığı</x:v>
      </x:c>
      <x:c r="D1" s="39" t="str">
        <x:v>Açıklama</x:v>
      </x:c>
      <x:c r="E1" s="39" t="str">
        <x:v>Ana Renk</x:v>
      </x:c>
      <x:c r="F1" s="39" t="str">
        <x:v>Vurgu Rengi</x:v>
      </x:c>
      <x:c r="G1" s="39" t="str">
        <x:v>Aktif</x:v>
      </x:c>
      <x:c r="H1" s="39" t="str">
        <x:v>Ana Sayfa Sırası</x:v>
      </x:c>
      <x:c r="I1" s="48" t="str">
        <x:v>Logo Linki</x:v>
      </x:c>
      <x:c r="J1" s="59" t="str">
        <x:v>Gösterilecek Diğer Liste</x:v>
      </x:c>
    </x:row>
    <x:row r="2" ht="24" customHeight="1">
      <x:c r="A2" s="40" t="str">
        <x:v>kitabevi-1</x:v>
      </x:c>
      <x:c r="B2" s="40" t="str">
        <x:v>Ortaokul</x:v>
      </x:c>
      <x:c r="C2" s="40"/>
      <x:c r="D2" s="40" t="str">
        <x:v>Ortaokul kitapları ve güncel fiyat listesi</x:v>
      </x:c>
      <x:c r="E2" s="40" t="str">
        <x:v>#8B1E2D</x:v>
      </x:c>
      <x:c r="F2" s="40" t="str">
        <x:v>#F2B134</x:v>
      </x:c>
      <x:c r="G2" s="40" t="str">
        <x:v>Evet</x:v>
      </x:c>
      <x:c r="H2" s="40" t="n">
        <x:v>1</x:v>
      </x:c>
      <x:c r="I2" s="49" t="str">
        <x:v>assets/logos/isler-kitabevi.png</x:v>
      </x:c>
      <x:c r="J2" s="60" t="str">
        <x:v>kitabevi-2 | Ortaokul</x:v>
      </x:c>
    </x:row>
    <x:row r="3" ht="24" customHeight="1">
      <x:c r="A3" s="41" t="str">
        <x:v>kitabevi-1</x:v>
      </x:c>
      <x:c r="B3" s="41" t="str">
        <x:v>Lise</x:v>
      </x:c>
      <x:c r="C3" s="41"/>
      <x:c r="D3" s="41" t="str">
        <x:v>Lise kitapları ve güncel fiyat listesi</x:v>
      </x:c>
      <x:c r="E3" s="41" t="str">
        <x:v>#8B1E2D</x:v>
      </x:c>
      <x:c r="F3" s="41" t="str">
        <x:v>#F2B134</x:v>
      </x:c>
      <x:c r="G3" s="41" t="str">
        <x:v>Evet</x:v>
      </x:c>
      <x:c r="H3" s="41" t="n">
        <x:v>2</x:v>
      </x:c>
      <x:c r="I3" s="49" t="str">
        <x:v>assets/logos/isler-kitabevi.png</x:v>
      </x:c>
      <x:c r="J3" s="60" t="str">
        <x:v>kitabevi-2 | Lise</x:v>
      </x:c>
    </x:row>
    <x:row r="4" ht="24" customHeight="1">
      <x:c r="A4" s="41" t="str">
        <x:v>kitabevi-2</x:v>
      </x:c>
      <x:c r="B4" s="41" t="str">
        <x:v>Ortaokul</x:v>
      </x:c>
      <x:c r="C4" s="41"/>
      <x:c r="D4" s="41" t="str">
        <x:v>Ortaokul kitapları ve güncel fiyat listesi</x:v>
      </x:c>
      <x:c r="E4" s="41" t="str">
        <x:v>#211F20</x:v>
      </x:c>
      <x:c r="F4" s="41" t="str">
        <x:v>#F6B500</x:v>
      </x:c>
      <x:c r="G4" s="41" t="str">
        <x:v>Evet</x:v>
      </x:c>
      <x:c r="H4" s="41" t="n">
        <x:v>3</x:v>
      </x:c>
      <x:c r="I4" s="49" t="str">
        <x:v>assets/logos/mega-kitabevi.png</x:v>
      </x:c>
      <x:c r="J4" s="60" t="str">
        <x:v>kitabevi-1 | Ortaokul</x:v>
      </x:c>
    </x:row>
    <x:row r="5" ht="24" customHeight="1">
      <x:c r="A5" s="41" t="str">
        <x:v>kitabevi-2</x:v>
      </x:c>
      <x:c r="B5" s="41" t="str">
        <x:v>Lise</x:v>
      </x:c>
      <x:c r="C5" s="41"/>
      <x:c r="D5" s="41" t="str">
        <x:v>Lise kitapları ve güncel fiyat listesi</x:v>
      </x:c>
      <x:c r="E5" s="41" t="str">
        <x:v>#211F20</x:v>
      </x:c>
      <x:c r="F5" s="41" t="str">
        <x:v>#F6B500</x:v>
      </x:c>
      <x:c r="G5" s="41" t="str">
        <x:v>Evet</x:v>
      </x:c>
      <x:c r="H5" s="41" t="n">
        <x:v>4</x:v>
      </x:c>
      <x:c r="I5" s="49" t="str">
        <x:v>assets/logos/mega-kitabevi.png</x:v>
      </x:c>
      <x:c r="J5" s="60" t="str">
        <x:v>kitabevi-1 | Lise</x:v>
      </x:c>
    </x:row>
    <x:row r="6" ht="27.950000762939453" customHeight="1">
      <x:c r="A6" s="41"/>
      <x:c r="B6" s="41"/>
      <x:c r="C6" s="41"/>
      <x:c r="D6" s="41"/>
      <x:c r="E6" s="41"/>
      <x:c r="F6" s="41"/>
      <x:c r="G6" s="41"/>
      <x:c r="H6" s="41"/>
    </x:row>
    <x:row r="7" ht="27.950000762939453" customHeight="1">
      <x:c r="A7" s="41"/>
      <x:c r="B7" s="41"/>
      <x:c r="C7" s="41"/>
      <x:c r="D7" s="41"/>
      <x:c r="E7" s="41"/>
      <x:c r="F7" s="41"/>
      <x:c r="G7" s="41"/>
      <x:c r="H7" s="41"/>
    </x:row>
    <x:row r="8" ht="27.950000762939453" customHeight="1">
      <x:c r="A8" s="41"/>
      <x:c r="B8" s="41"/>
      <x:c r="C8" s="41"/>
      <x:c r="D8" s="41"/>
      <x:c r="E8" s="41"/>
      <x:c r="F8" s="41"/>
      <x:c r="G8" s="41"/>
      <x:c r="H8" s="41"/>
    </x:row>
    <x:row r="9" ht="27.950000762939453" customHeight="1">
      <x:c r="A9" s="41"/>
      <x:c r="B9" s="41"/>
      <x:c r="C9" s="41"/>
      <x:c r="D9" s="41"/>
      <x:c r="E9" s="41"/>
      <x:c r="F9" s="41"/>
      <x:c r="G9" s="41"/>
      <x:c r="H9" s="41"/>
    </x:row>
    <x:row r="10" ht="27.950000762939453" customHeight="1">
      <x:c r="A10" s="41"/>
      <x:c r="B10" s="41"/>
      <x:c r="C10" s="41"/>
      <x:c r="D10" s="41"/>
      <x:c r="E10" s="41"/>
      <x:c r="F10" s="41"/>
      <x:c r="G10" s="41"/>
      <x:c r="H10" s="41"/>
    </x:row>
    <x:row r="11" ht="27.950000762939453" customHeight="1">
      <x:c r="A11" s="41"/>
      <x:c r="B11" s="41"/>
      <x:c r="C11" s="41"/>
      <x:c r="D11" s="41"/>
      <x:c r="E11" s="41"/>
      <x:c r="F11" s="41"/>
      <x:c r="G11" s="41"/>
      <x:c r="H11" s="41"/>
    </x:row>
    <x:row r="12" ht="27.950000762939453" customHeight="1">
      <x:c r="A12" s="41"/>
      <x:c r="B12" s="41"/>
      <x:c r="C12" s="41"/>
      <x:c r="D12" s="41"/>
      <x:c r="E12" s="41"/>
      <x:c r="F12" s="41"/>
      <x:c r="G12" s="41"/>
      <x:c r="H12" s="41"/>
    </x:row>
    <x:row r="13" ht="27.950000762939453" customHeight="1">
      <x:c r="A13" s="41"/>
      <x:c r="B13" s="41"/>
      <x:c r="C13" s="41"/>
      <x:c r="D13" s="41"/>
      <x:c r="E13" s="41"/>
      <x:c r="F13" s="41"/>
      <x:c r="G13" s="41"/>
      <x:c r="H13" s="41"/>
    </x:row>
    <x:row r="14" ht="27.950000762939453" customHeight="1">
      <x:c r="A14" s="41"/>
      <x:c r="B14" s="41"/>
      <x:c r="C14" s="41"/>
      <x:c r="D14" s="41"/>
      <x:c r="E14" s="41"/>
      <x:c r="F14" s="41"/>
      <x:c r="G14" s="41"/>
      <x:c r="H14" s="41"/>
    </x:row>
    <x:row r="15" ht="27.950000762939453" customHeight="1">
      <x:c r="A15" s="41"/>
      <x:c r="B15" s="41"/>
      <x:c r="C15" s="41"/>
      <x:c r="D15" s="41"/>
      <x:c r="E15" s="41"/>
      <x:c r="F15" s="41"/>
      <x:c r="G15" s="41"/>
      <x:c r="H15" s="41"/>
    </x:row>
    <x:row r="16" ht="27.950000762939453" customHeight="1">
      <x:c r="A16" s="41"/>
      <x:c r="B16" s="41"/>
      <x:c r="C16" s="41"/>
      <x:c r="D16" s="41"/>
      <x:c r="E16" s="41"/>
      <x:c r="F16" s="41"/>
      <x:c r="G16" s="41"/>
      <x:c r="H16" s="41"/>
    </x:row>
    <x:row r="17" ht="27.950000762939453" customHeight="1">
      <x:c r="A17" s="41"/>
      <x:c r="B17" s="41"/>
      <x:c r="C17" s="41"/>
      <x:c r="D17" s="41"/>
      <x:c r="E17" s="41"/>
      <x:c r="F17" s="41"/>
      <x:c r="G17" s="41"/>
      <x:c r="H17" s="41"/>
    </x:row>
    <x:row r="18" ht="27.950000762939453" customHeight="1">
      <x:c r="A18" s="41"/>
      <x:c r="B18" s="41"/>
      <x:c r="C18" s="41"/>
      <x:c r="D18" s="41"/>
      <x:c r="E18" s="41"/>
      <x:c r="F18" s="41"/>
      <x:c r="G18" s="41"/>
      <x:c r="H18" s="41"/>
    </x:row>
    <x:row r="19" ht="27.950000762939453" customHeight="1">
      <x:c r="A19" s="41"/>
      <x:c r="B19" s="41"/>
      <x:c r="C19" s="41"/>
      <x:c r="D19" s="41"/>
      <x:c r="E19" s="41"/>
      <x:c r="F19" s="41"/>
      <x:c r="G19" s="41"/>
      <x:c r="H19" s="41"/>
    </x:row>
    <x:row r="20" ht="27.950000762939453" customHeight="1">
      <x:c r="A20" s="42"/>
      <x:c r="B20" s="42"/>
      <x:c r="C20" s="42"/>
      <x:c r="D20" s="42"/>
      <x:c r="E20" s="42"/>
      <x:c r="F20" s="42"/>
      <x:c r="G20" s="42"/>
      <x:c r="H20" s="42"/>
    </x:row>
  </x:sheetData>
  <x:dataValidations count="3">
    <x:dataValidation type="list" sqref="G2:G20">
      <x:formula1>"Evet,Hayır"</x:formula1>
    </x:dataValidation>
    <x:dataValidation type="list" sqref="B2:B20">
      <x:formula1>"Ortaokul,Lise"</x:formula1>
    </x:dataValidation>
    <x:dataValidation type="list" sqref="J2:J100">
      <x:formula1>"Yok,kitabevi-1 | Ortaokul,kitabevi-1 | Lise,kitabevi-2 | Ortaokul,kitabevi-2 | Lise"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8753ffe177cc4b7d"/>
  </x:tableParts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4.25"/>
  <x:cols>
    <x:col min="1" max="1" width="18" customWidth="1"/>
    <x:col min="2" max="2" width="16" customWidth="1"/>
    <x:col min="3" max="3" width="30" customWidth="1"/>
    <x:col min="4" max="4" width="22" customWidth="1"/>
    <x:col min="5" max="5" width="16" customWidth="1"/>
  </x:cols>
  <x:sheetData>
    <x:row r="1" ht="32.099998474121094" customHeight="1">
      <x:c r="A1" s="43" t="s">
        <x:v>834</x:v>
      </x:c>
      <x:c r="B1" s="43" t="s">
        <x:v>835</x:v>
      </x:c>
      <x:c r="C1" s="43" t="s">
        <x:v>836</x:v>
      </x:c>
      <x:c r="D1" s="43" t="s">
        <x:v>837</x:v>
      </x:c>
      <x:c r="E1" s="43" t="s">
        <x:v>838</x:v>
      </x:c>
    </x:row>
    <x:row r="2" ht="26.100000381469727" customHeight="1">
      <x:c r="A2" s="40" t="s">
        <x:v>839</x:v>
      </x:c>
      <x:c r="B2" s="40" t="s">
        <x:v>840</x:v>
      </x:c>
      <x:c r="C2" s="40" t="s">
        <x:v>841</x:v>
      </x:c>
      <x:c r="D2" s="44" t="s">
        <x:v>842</x:v>
      </x:c>
      <x:c r="E2" s="40" t="s">
        <x:v>843</x:v>
      </x:c>
    </x:row>
    <x:row r="3" ht="26.100000381469727" customHeight="1">
      <x:c r="A3" s="41" t="s">
        <x:v>839</x:v>
      </x:c>
      <x:c r="B3" s="41" t="s">
        <x:v>840</x:v>
      </x:c>
      <x:c r="C3" s="41" t="s">
        <x:v>844</x:v>
      </x:c>
      <x:c r="D3" s="45" t="s">
        <x:v>845</x:v>
      </x:c>
      <x:c r="E3" s="41" t="s">
        <x:v>843</x:v>
      </x:c>
    </x:row>
    <x:row r="4" ht="26.100000381469727" customHeight="1">
      <x:c r="A4" s="41" t="s">
        <x:v>839</x:v>
      </x:c>
      <x:c r="B4" s="41" t="s">
        <x:v>846</x:v>
      </x:c>
      <x:c r="C4" s="40" t="s">
        <x:v>841</x:v>
      </x:c>
      <x:c r="D4" s="44" t="s">
        <x:v>842</x:v>
      </x:c>
      <x:c r="E4" s="41" t="s">
        <x:v>843</x:v>
      </x:c>
    </x:row>
    <x:row r="5" ht="26.100000381469727" customHeight="1">
      <x:c r="A5" s="41" t="s">
        <x:v>839</x:v>
      </x:c>
      <x:c r="B5" s="41" t="s">
        <x:v>846</x:v>
      </x:c>
      <x:c r="C5" s="41" t="s">
        <x:v>844</x:v>
      </x:c>
      <x:c r="D5" s="45" t="s">
        <x:v>845</x:v>
      </x:c>
      <x:c r="E5" s="41" t="s">
        <x:v>843</x:v>
      </x:c>
    </x:row>
    <x:row r="6" ht="26.100000381469727" customHeight="1">
      <x:c r="A6" s="41" t="s">
        <x:v>847</x:v>
      </x:c>
      <x:c r="B6" s="41" t="s">
        <x:v>840</x:v>
      </x:c>
      <x:c r="C6" s="41" t="s">
        <x:v>848</x:v>
      </x:c>
      <x:c r="D6" s="45" t="s">
        <x:v>849</x:v>
      </x:c>
      <x:c r="E6" s="41" t="s">
        <x:v>843</x:v>
      </x:c>
    </x:row>
    <x:row r="7" ht="26.100000381469727" customHeight="1">
      <x:c r="A7" s="41" t="s">
        <x:v>847</x:v>
      </x:c>
      <x:c r="B7" s="41" t="s">
        <x:v>840</x:v>
      </x:c>
      <x:c r="C7" s="41"/>
      <x:c r="D7" s="45"/>
      <x:c r="E7" s="41" t="s">
        <x:v>843</x:v>
      </x:c>
    </x:row>
    <x:row r="8" ht="26.100000381469727" customHeight="1">
      <x:c r="A8" s="41" t="s">
        <x:v>847</x:v>
      </x:c>
      <x:c r="B8" s="41" t="s">
        <x:v>846</x:v>
      </x:c>
      <x:c r="C8" s="41" t="s">
        <x:v>848</x:v>
      </x:c>
      <x:c r="D8" s="45" t="s">
        <x:v>849</x:v>
      </x:c>
      <x:c r="E8" s="41" t="s">
        <x:v>843</x:v>
      </x:c>
    </x:row>
    <x:row r="9" ht="26.100000381469727" customHeight="1">
      <x:c r="A9" s="41" t="s">
        <x:v>847</x:v>
      </x:c>
      <x:c r="B9" s="41" t="s">
        <x:v>846</x:v>
      </x:c>
      <x:c r="C9" s="41"/>
      <x:c r="D9" s="45"/>
      <x:c r="E9" s="41" t="s">
        <x:v>843</x:v>
      </x:c>
    </x:row>
    <x:row r="10" ht="26.100000381469727" customHeight="1">
      <x:c r="A10" s="41"/>
      <x:c r="B10" s="41"/>
      <x:c r="C10" s="41"/>
      <x:c r="D10" s="45"/>
      <x:c r="E10" s="41"/>
    </x:row>
    <x:row r="11" ht="26.100000381469727" customHeight="1">
      <x:c r="A11" s="41"/>
      <x:c r="B11" s="41"/>
      <x:c r="C11" s="41"/>
      <x:c r="D11" s="45"/>
      <x:c r="E11" s="41"/>
    </x:row>
    <x:row r="12" ht="26.100000381469727" customHeight="1">
      <x:c r="A12" s="41"/>
      <x:c r="B12" s="41"/>
      <x:c r="C12" s="41"/>
      <x:c r="D12" s="45"/>
      <x:c r="E12" s="41"/>
    </x:row>
    <x:row r="13" ht="26.100000381469727" customHeight="1">
      <x:c r="A13" s="41"/>
      <x:c r="B13" s="41"/>
      <x:c r="C13" s="41"/>
      <x:c r="D13" s="45"/>
      <x:c r="E13" s="41"/>
    </x:row>
    <x:row r="14" ht="26.100000381469727" customHeight="1">
      <x:c r="A14" s="41"/>
      <x:c r="B14" s="41"/>
      <x:c r="C14" s="41"/>
      <x:c r="D14" s="45"/>
      <x:c r="E14" s="41"/>
    </x:row>
    <x:row r="15" ht="26.100000381469727" customHeight="1">
      <x:c r="A15" s="41"/>
      <x:c r="B15" s="41"/>
      <x:c r="C15" s="41"/>
      <x:c r="D15" s="45"/>
      <x:c r="E15" s="41"/>
    </x:row>
    <x:row r="16" ht="26.100000381469727" customHeight="1">
      <x:c r="A16" s="41"/>
      <x:c r="B16" s="41"/>
      <x:c r="C16" s="41"/>
      <x:c r="D16" s="45"/>
      <x:c r="E16" s="41"/>
    </x:row>
    <x:row r="17" ht="26.100000381469727" customHeight="1">
      <x:c r="A17" s="41"/>
      <x:c r="B17" s="41"/>
      <x:c r="C17" s="41"/>
      <x:c r="D17" s="45"/>
      <x:c r="E17" s="41"/>
    </x:row>
    <x:row r="18" ht="26.100000381469727" customHeight="1">
      <x:c r="A18" s="41"/>
      <x:c r="B18" s="41"/>
      <x:c r="C18" s="41"/>
      <x:c r="D18" s="45"/>
      <x:c r="E18" s="41"/>
    </x:row>
    <x:row r="19" ht="26.100000381469727" customHeight="1">
      <x:c r="A19" s="41"/>
      <x:c r="B19" s="41"/>
      <x:c r="C19" s="41"/>
      <x:c r="D19" s="45"/>
      <x:c r="E19" s="41"/>
    </x:row>
    <x:row r="20" ht="26.100000381469727" customHeight="1">
      <x:c r="A20" s="41"/>
      <x:c r="B20" s="41"/>
      <x:c r="C20" s="41"/>
      <x:c r="D20" s="45"/>
      <x:c r="E20" s="41"/>
    </x:row>
    <x:row r="21" ht="26.100000381469727" customHeight="1">
      <x:c r="A21" s="41"/>
      <x:c r="B21" s="41"/>
      <x:c r="C21" s="41"/>
      <x:c r="D21" s="45"/>
      <x:c r="E21" s="41"/>
    </x:row>
    <x:row r="22" ht="26.100000381469727" customHeight="1">
      <x:c r="A22" s="41"/>
      <x:c r="B22" s="41"/>
      <x:c r="C22" s="41"/>
      <x:c r="D22" s="45"/>
      <x:c r="E22" s="41"/>
    </x:row>
    <x:row r="23" ht="26.100000381469727" customHeight="1">
      <x:c r="A23" s="41"/>
      <x:c r="B23" s="41"/>
      <x:c r="C23" s="41"/>
      <x:c r="D23" s="45"/>
      <x:c r="E23" s="41"/>
    </x:row>
    <x:row r="24" ht="26.100000381469727" customHeight="1">
      <x:c r="A24" s="41"/>
      <x:c r="B24" s="41"/>
      <x:c r="C24" s="41"/>
      <x:c r="D24" s="45"/>
      <x:c r="E24" s="41"/>
    </x:row>
    <x:row r="25" ht="26.100000381469727" customHeight="1">
      <x:c r="A25" s="41"/>
      <x:c r="B25" s="41"/>
      <x:c r="C25" s="41"/>
      <x:c r="D25" s="45"/>
      <x:c r="E25" s="41"/>
    </x:row>
    <x:row r="26" ht="26.100000381469727" customHeight="1">
      <x:c r="A26" s="41"/>
      <x:c r="B26" s="41"/>
      <x:c r="C26" s="41"/>
      <x:c r="D26" s="45"/>
      <x:c r="E26" s="41"/>
    </x:row>
    <x:row r="27" ht="26.100000381469727" customHeight="1">
      <x:c r="A27" s="41"/>
      <x:c r="B27" s="41"/>
      <x:c r="C27" s="41"/>
      <x:c r="D27" s="45"/>
      <x:c r="E27" s="41"/>
    </x:row>
    <x:row r="28" ht="26.100000381469727" customHeight="1">
      <x:c r="A28" s="41"/>
      <x:c r="B28" s="41"/>
      <x:c r="C28" s="41"/>
      <x:c r="D28" s="45"/>
      <x:c r="E28" s="41"/>
    </x:row>
    <x:row r="29" ht="26.100000381469727" customHeight="1">
      <x:c r="A29" s="41"/>
      <x:c r="B29" s="41"/>
      <x:c r="C29" s="41"/>
      <x:c r="D29" s="45"/>
      <x:c r="E29" s="41"/>
    </x:row>
    <x:row r="30" ht="26.100000381469727" customHeight="1">
      <x:c r="A30" s="41"/>
      <x:c r="B30" s="41"/>
      <x:c r="C30" s="41"/>
      <x:c r="D30" s="45"/>
      <x:c r="E30" s="41"/>
    </x:row>
    <x:row r="31" ht="26.100000381469727" customHeight="1">
      <x:c r="A31" s="41"/>
      <x:c r="B31" s="41"/>
      <x:c r="C31" s="41"/>
      <x:c r="D31" s="45"/>
      <x:c r="E31" s="41"/>
    </x:row>
    <x:row r="32" ht="26.100000381469727" customHeight="1">
      <x:c r="A32" s="41"/>
      <x:c r="B32" s="41"/>
      <x:c r="C32" s="41"/>
      <x:c r="D32" s="45"/>
      <x:c r="E32" s="41"/>
    </x:row>
    <x:row r="33" ht="26.100000381469727" customHeight="1">
      <x:c r="A33" s="41"/>
      <x:c r="B33" s="41"/>
      <x:c r="C33" s="41"/>
      <x:c r="D33" s="45"/>
      <x:c r="E33" s="41"/>
    </x:row>
    <x:row r="34" ht="26.100000381469727" customHeight="1">
      <x:c r="A34" s="41"/>
      <x:c r="B34" s="41"/>
      <x:c r="C34" s="41"/>
      <x:c r="D34" s="45"/>
      <x:c r="E34" s="41"/>
    </x:row>
    <x:row r="35" ht="26.100000381469727" customHeight="1">
      <x:c r="A35" s="41"/>
      <x:c r="B35" s="41"/>
      <x:c r="C35" s="41"/>
      <x:c r="D35" s="45"/>
      <x:c r="E35" s="41"/>
    </x:row>
    <x:row r="36" ht="26.100000381469727" customHeight="1">
      <x:c r="A36" s="41"/>
      <x:c r="B36" s="41"/>
      <x:c r="C36" s="41"/>
      <x:c r="D36" s="45"/>
      <x:c r="E36" s="41"/>
    </x:row>
    <x:row r="37" ht="26.100000381469727" customHeight="1">
      <x:c r="A37" s="41"/>
      <x:c r="B37" s="41"/>
      <x:c r="C37" s="41"/>
      <x:c r="D37" s="45"/>
      <x:c r="E37" s="41"/>
    </x:row>
    <x:row r="38" ht="26.100000381469727" customHeight="1">
      <x:c r="A38" s="41"/>
      <x:c r="B38" s="41"/>
      <x:c r="C38" s="41"/>
      <x:c r="D38" s="45"/>
      <x:c r="E38" s="41"/>
    </x:row>
    <x:row r="39" ht="26.100000381469727" customHeight="1">
      <x:c r="A39" s="41"/>
      <x:c r="B39" s="41"/>
      <x:c r="C39" s="41"/>
      <x:c r="D39" s="45"/>
      <x:c r="E39" s="41"/>
    </x:row>
    <x:row r="40" ht="26.100000381469727" customHeight="1">
      <x:c r="A40" s="42"/>
      <x:c r="B40" s="42"/>
      <x:c r="C40" s="42"/>
      <x:c r="D40" s="46"/>
      <x:c r="E40" s="42"/>
    </x:row>
  </x:sheetData>
  <x:dataValidations count="2">
    <x:dataValidation type="list" sqref="B2:B40">
      <x:formula1>"Ortaokul,Lise"</x:formula1>
    </x:dataValidation>
    <x:dataValidation type="list" sqref="E2:E40">
      <x:formula1>"Evet,Hayır"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5b37a75beed14015"/>
  </x:tableParts>
</x:worksheet>
</file>