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FE7D5626-20CC-4B0A-B07B-B50BCC445D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08" i="1" l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H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H491" i="1"/>
  <c r="I490" i="1"/>
  <c r="H490" i="1"/>
  <c r="I489" i="1"/>
  <c r="H489" i="1"/>
  <c r="I488" i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<sst xmlns="http://schemas.openxmlformats.org/spreadsheetml/2006/main" count="3075" uniqueCount="676">
  <si>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</si>
  <si>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</si>
  <si>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</si>
  <si>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</si>
  <si>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</si>
  <si>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</si>
  <si>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</si>
  <si>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</si>
  <si>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</si>
  <si>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</si>
  <si>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</si>
  <si>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</si>
  <si>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</si>
  <si>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</si>
  <si>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</si>
  <si>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</si>
  <si>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</si>
  <si>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</si>
  <si>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</si>
  <si>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</si>
  <si>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</si>
  <si>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</si>
  <si>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</si>
  <si>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</si>
  <si>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</si>
  <si>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</si>
  <si>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</si>
  <si>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</si>
  <si>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</si>
  <si>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</si>
  <si>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</si>
  <si>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</si>
  <si>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</si>
  <si>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</si>
  <si>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9786256040229</t>
  </si>
  <si>
    <t>Çap Yayınları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</si>
  <si>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</si>
  <si>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</si>
  <si>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</si>
  <si>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</si>
  <si>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</si>
  <si>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</si>
  <si>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</si>
  <si>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</si>
  <si>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</si>
  <si>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</si>
  <si>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</si>
  <si>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</si>
  <si>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</si>
  <si>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</si>
  <si>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</si>
  <si>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</si>
  <si>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</si>
  <si>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</si>
  <si>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</si>
  <si>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</si>
  <si>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</si>
  <si>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</si>
  <si>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</si>
  <si>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9786052756782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</si>
  <si>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</si>
  <si>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</si>
  <si>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</si>
  <si>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</si>
  <si>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</si>
  <si>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</si>
  <si>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</si>
  <si>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</si>
  <si>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</si>
  <si>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9786256040977</t>
  </si>
  <si>
    <t>ORNEK00000040</t>
  </si>
  <si>
    <t>9786256911680</t>
  </si>
  <si>
    <t>https://app.karakok.net/spShowFlip/2166</t>
  </si>
  <si>
    <t>9786052757567</t>
  </si>
  <si>
    <t>9786256142176</t>
  </si>
  <si>
    <t>9786256921740</t>
  </si>
  <si>
    <t>https://app.karakok.net/spShowFlip/1917</t>
  </si>
  <si>
    <t>9786256712409</t>
  </si>
  <si>
    <t>9786256457256</t>
  </si>
  <si>
    <t>https://app.karakok.net/spShowFlip/2167</t>
  </si>
  <si>
    <t>9786257532914</t>
  </si>
  <si>
    <t>9786052757574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</si>
  <si>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</si>
  <si>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</si>
  <si>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</si>
  <si>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</si>
  <si>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</si>
  <si>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</si>
  <si>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</si>
  <si>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</si>
  <si>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</si>
  <si>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</si>
  <si>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9786256142664</t>
  </si>
  <si>
    <t>9786256921962</t>
  </si>
  <si>
    <t>ORNEK00000024</t>
  </si>
  <si>
    <t>ORNEK00000095</t>
  </si>
  <si>
    <t>9786052753781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</si>
  <si>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</si>
  <si>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</si>
  <si>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</si>
  <si>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</si>
  <si>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</si>
  <si>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</si>
  <si>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</si>
  <si>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</si>
  <si>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</si>
  <si>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</si>
  <si>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</si>
  <si>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</si>
  <si>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</si>
  <si>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 / Mikro</t>
  </si>
  <si>
    <t>9786255708076</t>
  </si>
  <si>
    <t>Orijinal Matematik Yayınları</t>
  </si>
  <si>
    <t>ODF</t>
  </si>
  <si>
    <t>9786256531536</t>
  </si>
  <si>
    <t>ODF-KDT</t>
  </si>
  <si>
    <t>9786259205762</t>
  </si>
  <si>
    <t>9786057997326</t>
  </si>
  <si>
    <t>Yarıçap Yayınları</t>
  </si>
  <si>
    <t>9786256040328</t>
  </si>
  <si>
    <t>9786256142121</t>
  </si>
  <si>
    <t>Aydın</t>
  </si>
  <si>
    <t>Tematik / Ders İşleyiş Modülleri</t>
  </si>
  <si>
    <t>9786256630420</t>
  </si>
  <si>
    <t>Tematik / TAK Tam Anlatım Kitabı</t>
  </si>
  <si>
    <t>https://app.karakok.net/spShowFlip/1549</t>
  </si>
  <si>
    <t>9786052756706</t>
  </si>
  <si>
    <t>9786052757048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</si>
  <si>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</si>
  <si>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</si>
  <si>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</si>
  <si>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</si>
  <si>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</si>
  <si>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</si>
  <si>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</si>
  <si>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</si>
  <si>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9786259800943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</si>
  <si>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</si>
  <si>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</si>
  <si>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</si>
  <si>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</si>
  <si>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</si>
  <si>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</si>
  <si>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</si>
  <si>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9786052756775</t>
  </si>
  <si>
    <t>ORNEK00000254</t>
  </si>
  <si>
    <t>9786256142008</t>
  </si>
  <si>
    <t>9786256531765</t>
  </si>
  <si>
    <t>9786057997319</t>
  </si>
  <si>
    <t>9786256040489</t>
  </si>
  <si>
    <t>9786258160871</t>
  </si>
  <si>
    <t>9786255811042</t>
  </si>
  <si>
    <t>ORNEK00000010</t>
  </si>
  <si>
    <t>9786256531826</t>
  </si>
  <si>
    <t>9786255708083</t>
  </si>
  <si>
    <t>9786259052618</t>
  </si>
  <si>
    <t>9786057997432</t>
  </si>
  <si>
    <t>9786255801005</t>
  </si>
  <si>
    <t>9786256142138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</si>
  <si>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</si>
  <si>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</si>
  <si>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</si>
  <si>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</si>
  <si>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</si>
  <si>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</si>
  <si>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</si>
  <si>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</si>
  <si>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</si>
  <si>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9786256712430</t>
  </si>
  <si>
    <t>9786256712454</t>
  </si>
  <si>
    <t>9786256911314</t>
  </si>
  <si>
    <t>https://app.karakok.net/spShowFlip/2250</t>
  </si>
  <si>
    <t>9786259399805</t>
  </si>
  <si>
    <t>9786257532945</t>
  </si>
  <si>
    <t>9786052757598</t>
  </si>
  <si>
    <t>ORNEK00000255</t>
  </si>
  <si>
    <t>9786256142169</t>
  </si>
  <si>
    <t>9786256531772</t>
  </si>
  <si>
    <t>9786057997449</t>
  </si>
  <si>
    <t>9786255801173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</si>
  <si>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</si>
  <si>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</si>
  <si>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</si>
  <si>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</si>
  <si>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</si>
  <si>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</si>
  <si>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</si>
  <si>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9786258139129</t>
  </si>
  <si>
    <t>Anadolu</t>
  </si>
  <si>
    <t>9786258139433</t>
  </si>
  <si>
    <t>Fen Lisesi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</si>
  <si>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</si>
  <si>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</si>
  <si>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</si>
  <si>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</si>
  <si>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</si>
  <si>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</si>
  <si>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9786256142640</t>
  </si>
  <si>
    <t>9786256921924</t>
  </si>
  <si>
    <t>ORNEK00000002</t>
  </si>
  <si>
    <t>ORNEK00000003</t>
  </si>
  <si>
    <t>9786057710116</t>
  </si>
  <si>
    <t>ORNEK00000022</t>
  </si>
  <si>
    <t>9786057328762</t>
  </si>
  <si>
    <t>ORNEK00000088</t>
  </si>
  <si>
    <t>ORNEK00000098</t>
  </si>
  <si>
    <t>9786052753972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</si>
  <si>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</si>
  <si>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</si>
  <si>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</si>
  <si>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</si>
  <si>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</si>
  <si>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</si>
  <si>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</si>
  <si>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</si>
  <si>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</si>
  <si>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</si>
  <si>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</si>
  <si>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</si>
  <si>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9786258139440</t>
  </si>
  <si>
    <t>9786258104318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</si>
  <si>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</si>
  <si>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</si>
  <si>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</si>
  <si>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</si>
  <si>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</si>
  <si>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</si>
  <si>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</si>
  <si>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</si>
  <si>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</si>
  <si>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</si>
  <si>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</si>
  <si>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</si>
  <si>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</si>
  <si>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</si>
  <si>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</si>
  <si>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</si>
  <si>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</si>
  <si>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</si>
  <si>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Mikro / 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</si>
  <si>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</si>
  <si>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</si>
  <si>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</si>
  <si>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</si>
  <si>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</si>
  <si>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</si>
  <si>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</si>
  <si>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</si>
  <si>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</si>
  <si>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</si>
  <si>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</si>
  <si>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</si>
  <si>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</si>
  <si>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</si>
  <si>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</si>
  <si>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</si>
  <si>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</si>
  <si>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</si>
  <si>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</si>
  <si>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</si>
  <si>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</si>
  <si>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</si>
  <si>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</si>
  <si>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</si>
  <si>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</si>
  <si>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</si>
  <si>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</si>
  <si>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</si>
  <si>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</si>
  <si>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</si>
  <si>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</si>
  <si>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9786256040250</t>
  </si>
  <si>
    <t>9786256142237</t>
  </si>
  <si>
    <t>Ders İşleyiş Modülleri</t>
  </si>
  <si>
    <t>ORNEK00000033</t>
  </si>
  <si>
    <t>9786256630437</t>
  </si>
  <si>
    <t>https://app.karakok.net/spShowFlip/1547</t>
  </si>
  <si>
    <t>9786052756676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</si>
  <si>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</si>
  <si>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</si>
  <si>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</si>
  <si>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</si>
  <si>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</si>
  <si>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</si>
  <si>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9786256712164</t>
  </si>
  <si>
    <t>9786259429755</t>
  </si>
  <si>
    <t>Egzersiz Yayınları</t>
  </si>
  <si>
    <t>9786256630499</t>
  </si>
  <si>
    <t>https://app.karakok.net/spShowFlip/1554</t>
  </si>
  <si>
    <t>9786259695433</t>
  </si>
  <si>
    <t>ORNEK00000285</t>
  </si>
  <si>
    <t>9786258160444</t>
  </si>
  <si>
    <t>9786052756744</t>
  </si>
  <si>
    <t>9786256412774</t>
  </si>
  <si>
    <t>9786256040595</t>
  </si>
  <si>
    <t>9786258160628</t>
  </si>
  <si>
    <t>9786259066929</t>
  </si>
  <si>
    <t>9786259794778</t>
  </si>
  <si>
    <t>9786255708137</t>
  </si>
  <si>
    <t>9786259205779</t>
  </si>
  <si>
    <t>9786256040960</t>
  </si>
  <si>
    <t>9786256142220</t>
  </si>
  <si>
    <t>ORNEK00000037</t>
  </si>
  <si>
    <t>9786256457287</t>
  </si>
  <si>
    <t>https://app.karakok.net/spShowFlip/2168</t>
  </si>
  <si>
    <t>9786052757642</t>
  </si>
  <si>
    <t>9786256142183</t>
  </si>
  <si>
    <t>9786259626819</t>
  </si>
  <si>
    <t>9786256921696</t>
  </si>
  <si>
    <t>https://app.karakok.net/spShowFlip/1919</t>
  </si>
  <si>
    <t>9786256142213</t>
  </si>
  <si>
    <t>9786256712362</t>
  </si>
  <si>
    <t>9786259429762</t>
  </si>
  <si>
    <t>9786259429786</t>
  </si>
  <si>
    <t>9786256911949</t>
  </si>
  <si>
    <t>https://app.karakok.net/spShowFlip/2169</t>
  </si>
  <si>
    <t>9786259695440</t>
  </si>
  <si>
    <t>ORNEK00000286</t>
  </si>
  <si>
    <t>9786257532921</t>
  </si>
  <si>
    <t>9786052757659</t>
  </si>
  <si>
    <t>9786256142206</t>
  </si>
  <si>
    <t>9786256040816</t>
  </si>
  <si>
    <t>9786258160833</t>
  </si>
  <si>
    <t>9786256531901</t>
  </si>
  <si>
    <t>ORNEK00000106</t>
  </si>
  <si>
    <t>ORNEK00000056</t>
  </si>
  <si>
    <t>9786057710192</t>
  </si>
  <si>
    <t>ORNEK00000042</t>
  </si>
  <si>
    <t>ORNEK00000074</t>
  </si>
  <si>
    <t>9786052754160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</si>
  <si>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</si>
  <si>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</si>
  <si>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</si>
  <si>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</si>
  <si>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</si>
  <si>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</si>
  <si>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</si>
  <si>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</si>
  <si>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9786052753996</t>
  </si>
  <si>
    <t>9786256142695</t>
  </si>
  <si>
    <t>ORNEK00000065</t>
  </si>
  <si>
    <t>ORNEK00000082</t>
  </si>
  <si>
    <t>9786256531321</t>
  </si>
  <si>
    <t>9786256531956</t>
  </si>
  <si>
    <t>9786257732499</t>
  </si>
  <si>
    <t>9786258139204</t>
  </si>
  <si>
    <t>9786258104493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</si>
  <si>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</si>
  <si>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</si>
  <si>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</si>
  <si>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</si>
  <si>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</si>
  <si>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</si>
  <si>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</si>
  <si>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</si>
  <si>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</si>
  <si>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</si>
  <si>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</si>
  <si>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</si>
  <si>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</si>
  <si>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</si>
  <si>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</si>
  <si>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</si>
  <si>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</si>
  <si>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9786259205724</t>
  </si>
  <si>
    <t>9786256040472</t>
  </si>
  <si>
    <t>9786256142053</t>
  </si>
  <si>
    <t>ORNEK00000034</t>
  </si>
  <si>
    <t>9786256630444</t>
  </si>
  <si>
    <t>https://app.karakok.net/spShowFlip/1548</t>
  </si>
  <si>
    <t>9786052756652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</si>
  <si>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</si>
  <si>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</si>
  <si>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</si>
  <si>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</si>
  <si>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</si>
  <si>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</si>
  <si>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9786259800929</t>
  </si>
  <si>
    <t>9786256630505</t>
  </si>
  <si>
    <t>https://app.karakok.net/spShowFlip/1555</t>
  </si>
  <si>
    <t>9786257532747</t>
  </si>
  <si>
    <t>9786052756720</t>
  </si>
  <si>
    <t>9786256412750</t>
  </si>
  <si>
    <t>9786259534107</t>
  </si>
  <si>
    <t>9786256040588</t>
  </si>
  <si>
    <t>9786258160840</t>
  </si>
  <si>
    <t>9786259677828</t>
  </si>
  <si>
    <t>9786259205717</t>
  </si>
  <si>
    <t>9786256040984</t>
  </si>
  <si>
    <t>9786256142060</t>
  </si>
  <si>
    <t>ORNEK00000038</t>
  </si>
  <si>
    <t>9786256457577</t>
  </si>
  <si>
    <t>https://app.karakok.net/spShowFlip/2158</t>
  </si>
  <si>
    <t>9786052757666</t>
  </si>
  <si>
    <t>9786256142084</t>
  </si>
  <si>
    <t>ORNEK00000102</t>
  </si>
  <si>
    <t>9786256921702</t>
  </si>
  <si>
    <t>https://app.karakok.net/spShowFlip/1920</t>
  </si>
  <si>
    <t>9786256142077</t>
  </si>
  <si>
    <t>9786256712393</t>
  </si>
  <si>
    <t>9786256911925</t>
  </si>
  <si>
    <t>https://app.karakok.net/spShowFlip/2164</t>
  </si>
  <si>
    <t>9786257532891</t>
  </si>
  <si>
    <t>9786052757673</t>
  </si>
  <si>
    <t>9786256142091</t>
  </si>
  <si>
    <t>9786259677811</t>
  </si>
  <si>
    <t>9786256040861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</si>
  <si>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</si>
  <si>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</si>
  <si>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</si>
  <si>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</si>
  <si>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</si>
  <si>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</si>
  <si>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</si>
  <si>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9786256142565</t>
  </si>
  <si>
    <t>ORNEK00000103</t>
  </si>
  <si>
    <t>9786256921986</t>
  </si>
  <si>
    <t>9786057710161</t>
  </si>
  <si>
    <t>ORNEK00000021</t>
  </si>
  <si>
    <t>ORNEK00000097</t>
  </si>
  <si>
    <t>9786052753989</t>
  </si>
  <si>
    <t>9786256142572</t>
  </si>
  <si>
    <t>ORNEK00000066</t>
  </si>
  <si>
    <t>ORNEK00000083</t>
  </si>
  <si>
    <t>9786257732574</t>
  </si>
  <si>
    <t>9786258139648</t>
  </si>
  <si>
    <t>9786258104486</t>
  </si>
  <si>
    <t>9786258104547</t>
  </si>
  <si>
    <t>9786057323408</t>
  </si>
  <si>
    <t>9786057323415</t>
  </si>
  <si>
    <t>9786256412453</t>
  </si>
  <si>
    <t>9786256142428</t>
  </si>
  <si>
    <t>9786256712577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</si>
  <si>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</si>
  <si>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</si>
  <si>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</si>
  <si>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</si>
  <si>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</si>
  <si>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</si>
  <si>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</si>
  <si>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9786256040298</t>
  </si>
  <si>
    <t>ORNEK00000035</t>
  </si>
  <si>
    <t>9786057361967</t>
  </si>
  <si>
    <t>Biyotik Yayınları</t>
  </si>
  <si>
    <t>9786259188904</t>
  </si>
  <si>
    <t>9786256630451</t>
  </si>
  <si>
    <t>https://app.karakok.net/spShowFlip/1544</t>
  </si>
  <si>
    <t>9786052756669</t>
  </si>
  <si>
    <t>9786256412781</t>
  </si>
  <si>
    <t>9786256921597</t>
  </si>
  <si>
    <t>https://app.karakok.net/spShowFlip/2138</t>
  </si>
  <si>
    <t>9786256412828</t>
  </si>
  <si>
    <t>9786259800936</t>
  </si>
  <si>
    <t>9786057361950</t>
  </si>
  <si>
    <t>9786259674773</t>
  </si>
  <si>
    <t>9786057361974</t>
  </si>
  <si>
    <t>İnteraktif</t>
  </si>
  <si>
    <t>9786259188928</t>
  </si>
  <si>
    <t>9786256630512</t>
  </si>
  <si>
    <t>https://app.karakok.net/spShowFlip/1551</t>
  </si>
  <si>
    <t>9786257532907</t>
  </si>
  <si>
    <t>9786052756737</t>
  </si>
  <si>
    <t>9786256412798</t>
  </si>
  <si>
    <t>9786259473925</t>
  </si>
  <si>
    <t>Ritim Biyoloji Yayınları</t>
  </si>
  <si>
    <t>9786256040625</t>
  </si>
  <si>
    <t>9786258160802</t>
  </si>
  <si>
    <t>9786259205793</t>
  </si>
  <si>
    <t>9786255801067</t>
  </si>
  <si>
    <t>ORNEK00000039</t>
  </si>
  <si>
    <t>9786057361998</t>
  </si>
  <si>
    <t>9786259188911</t>
  </si>
  <si>
    <t>9786256457300</t>
  </si>
  <si>
    <t>https://app.karakok.net/spShowFlip/2248</t>
  </si>
  <si>
    <t>9786052757680</t>
  </si>
  <si>
    <t>9786256142114</t>
  </si>
  <si>
    <t>9786256921719</t>
  </si>
  <si>
    <t>https://app.karakok.net/spShowFlip/1915</t>
  </si>
  <si>
    <t>9786256142107</t>
  </si>
  <si>
    <t>9786256712379</t>
  </si>
  <si>
    <t>9786057361981</t>
  </si>
  <si>
    <t>9786259674780</t>
  </si>
  <si>
    <t>9786259188935</t>
  </si>
  <si>
    <t>9786259674704</t>
  </si>
  <si>
    <t>9786256911789</t>
  </si>
  <si>
    <t>https://app.karakok.net/spShowFlip/2249</t>
  </si>
  <si>
    <t>9786257532938</t>
  </si>
  <si>
    <t>9786052757697</t>
  </si>
  <si>
    <t>9786256412378</t>
  </si>
  <si>
    <t>9786259473963</t>
  </si>
  <si>
    <t>9786255801029</t>
  </si>
  <si>
    <t>9786258160819</t>
  </si>
  <si>
    <t>ORNEK00000054</t>
  </si>
  <si>
    <t>9786258139532</t>
  </si>
  <si>
    <t>ORNEK00000044</t>
  </si>
  <si>
    <t>9786050644852</t>
  </si>
  <si>
    <t>ORNEK00000070</t>
  </si>
  <si>
    <t>9786052754191</t>
  </si>
  <si>
    <t>9786256142596</t>
  </si>
  <si>
    <t>9786256921948</t>
  </si>
  <si>
    <t>9786057710178</t>
  </si>
  <si>
    <t>9786258070323</t>
  </si>
  <si>
    <t>ORNEK00000017</t>
  </si>
  <si>
    <t>9786057361912</t>
  </si>
  <si>
    <t>9786259674797</t>
  </si>
  <si>
    <t>ORNEK00000093</t>
  </si>
  <si>
    <t>9786052754016</t>
  </si>
  <si>
    <t>9786256142558</t>
  </si>
  <si>
    <t>ORNEK00000110</t>
  </si>
  <si>
    <t>ORNEK00000061</t>
  </si>
  <si>
    <t>ORNEK00000078</t>
  </si>
  <si>
    <t>9786258225006</t>
  </si>
  <si>
    <t>9786258139518</t>
  </si>
  <si>
    <t>9786256412514</t>
  </si>
  <si>
    <t>9786259674766</t>
  </si>
  <si>
    <t>9786256142459</t>
  </si>
  <si>
    <t>9786256712560</t>
  </si>
  <si>
    <t>9786259674759</t>
  </si>
  <si>
    <t>9786052758939</t>
  </si>
  <si>
    <t>9786256142480</t>
  </si>
  <si>
    <t>9786259026305</t>
  </si>
  <si>
    <t>9786259052625</t>
  </si>
  <si>
    <t>Tarih</t>
  </si>
  <si>
    <t>9786256040441</t>
  </si>
  <si>
    <t>9786256630383</t>
  </si>
  <si>
    <t>https://app.karakok.net/spShowFlip/1550</t>
  </si>
  <si>
    <t>9786052756683</t>
  </si>
  <si>
    <t>9786256921535</t>
  </si>
  <si>
    <t>https://app.karakok.net/spShowFlip/2144</t>
  </si>
  <si>
    <t>9786259793603</t>
  </si>
  <si>
    <t>Bilgi Arşivi Yayınları</t>
  </si>
  <si>
    <t>9786259800905</t>
  </si>
  <si>
    <t>9786256630529</t>
  </si>
  <si>
    <t>https://app.karakok.net/spShowFlip/1557</t>
  </si>
  <si>
    <t>9786257532785</t>
  </si>
  <si>
    <t>9786052756751</t>
  </si>
  <si>
    <t>9786256412972</t>
  </si>
  <si>
    <t>9786256040496</t>
  </si>
  <si>
    <t>9786258160642</t>
  </si>
  <si>
    <t>9786255801142</t>
  </si>
  <si>
    <t>9786256911338</t>
  </si>
  <si>
    <t>https://app.karakok.net/spShowFlip/2159</t>
  </si>
  <si>
    <t>9786052757628</t>
  </si>
  <si>
    <t>9786256921726</t>
  </si>
  <si>
    <t>https://app.karakok.net/spShowFlip/1922</t>
  </si>
  <si>
    <t>9786259793658</t>
  </si>
  <si>
    <t>9786256712423</t>
  </si>
  <si>
    <t>9786256911215</t>
  </si>
  <si>
    <t>https://app.karakok.net/spShowFlip/2165</t>
  </si>
  <si>
    <t>9786257532853</t>
  </si>
  <si>
    <t>9786052757635</t>
  </si>
  <si>
    <t>9786256142244</t>
  </si>
  <si>
    <t>9786256040878</t>
  </si>
  <si>
    <t>9786258160680</t>
  </si>
  <si>
    <t>ORNEK00000060</t>
  </si>
  <si>
    <t>ORNEK00000077</t>
  </si>
  <si>
    <t>9786052754139</t>
  </si>
  <si>
    <t>9786256921917</t>
  </si>
  <si>
    <t>ORNEK00000016</t>
  </si>
  <si>
    <t>9786259979328</t>
  </si>
  <si>
    <t>ORNEK00000023</t>
  </si>
  <si>
    <t>ORNEK00000099</t>
  </si>
  <si>
    <t>9786052753965</t>
  </si>
  <si>
    <t>9786256142725</t>
  </si>
  <si>
    <t>ORNEK00000068</t>
  </si>
  <si>
    <t>ORNEK00000085</t>
  </si>
  <si>
    <t>9786256712584</t>
  </si>
  <si>
    <t>9786052758885</t>
  </si>
  <si>
    <t>ORNEK00000272</t>
  </si>
  <si>
    <t>Coğrafya</t>
  </si>
  <si>
    <t>9786256040533</t>
  </si>
  <si>
    <t>ORNEK00000050</t>
  </si>
  <si>
    <t>Coğrafya Gurmesi Yayınları</t>
  </si>
  <si>
    <t>9786256630468</t>
  </si>
  <si>
    <t>https://app.karakok.net/spShowFlip/1545</t>
  </si>
  <si>
    <t>9786052756690</t>
  </si>
  <si>
    <t>9786256921474</t>
  </si>
  <si>
    <t>https://app.karakok.net/spShowFlip/2139</t>
  </si>
  <si>
    <t>9786259800912</t>
  </si>
  <si>
    <t>9786259490045</t>
  </si>
  <si>
    <t>9786256630536</t>
  </si>
  <si>
    <t>https://app.karakok.net/spShowFlip/1552</t>
  </si>
  <si>
    <t>9786257532730</t>
  </si>
  <si>
    <t>9786052756768</t>
  </si>
  <si>
    <t>9786256412996</t>
  </si>
  <si>
    <t>9786256040618</t>
  </si>
  <si>
    <t>9786258160659</t>
  </si>
  <si>
    <t>9786259052632</t>
  </si>
  <si>
    <t>9786255801104</t>
  </si>
  <si>
    <t>ORNEK00000051</t>
  </si>
  <si>
    <t>9786256911178</t>
  </si>
  <si>
    <t>https://app.karakok.net/spShowFlip/2161</t>
  </si>
  <si>
    <t>9786052757604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</si>
  <si>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</si>
  <si>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</si>
  <si>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</si>
  <si>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</si>
  <si>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</si>
  <si>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</si>
  <si>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</si>
  <si>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9786052757611</t>
  </si>
  <si>
    <t>9786256142251</t>
  </si>
  <si>
    <t>9786255801012</t>
  </si>
  <si>
    <t>9786258160666</t>
  </si>
  <si>
    <t>ORNEK00000055</t>
  </si>
  <si>
    <t>9786258139686</t>
  </si>
  <si>
    <t>ORNEK00000052</t>
  </si>
  <si>
    <t>ORNEK00000071</t>
  </si>
  <si>
    <t>9786052754184</t>
  </si>
  <si>
    <t>9786256921979</t>
  </si>
  <si>
    <t>ORNEK00000018</t>
  </si>
  <si>
    <t>ORNEK00000053</t>
  </si>
  <si>
    <t>ORNEK00000094</t>
  </si>
  <si>
    <t>9786052754009</t>
  </si>
  <si>
    <t>9786256142701</t>
  </si>
  <si>
    <t>ORNEK00000062</t>
  </si>
  <si>
    <t>ORNEK00000079</t>
  </si>
  <si>
    <t>9786256712553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</si>
  <si>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</si>
  <si>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</si>
  <si>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</si>
  <si>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</si>
  <si>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</si>
  <si>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</si>
  <si>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</si>
  <si>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</si>
  <si>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9786256457041</t>
  </si>
  <si>
    <t>https://app.karakok.net/spShowFlip/2163</t>
  </si>
  <si>
    <t>9786256142268</t>
  </si>
  <si>
    <t>9786255801159</t>
  </si>
  <si>
    <t>ORNEK00000073</t>
  </si>
  <si>
    <t>9786052754177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</si>
  <si>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</si>
  <si>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</si>
  <si>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</si>
  <si>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</si>
  <si>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</si>
  <si>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</si>
  <si>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</si>
  <si>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</si>
  <si>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</si>
  <si>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</si>
  <si>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</si>
  <si>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</si>
  <si>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</si>
  <si>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</si>
  <si>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</si>
  <si>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</si>
  <si>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</si>
  <si>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</si>
  <si>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</si>
  <si>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</si>
  <si>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</si>
  <si>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</si>
  <si>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</si>
  <si>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</si>
  <si>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</si>
  <si>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</si>
  <si>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</si>
  <si>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</si>
  <si>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</si>
  <si>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</si>
  <si>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</si>
  <si>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</si>
  <si>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</si>
  <si>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</si>
  <si>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</si>
  <si>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</si>
  <si>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</si>
  <si>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</si>
  <si>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</si>
  <si>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</si>
  <si>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</si>
  <si>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</si>
  <si>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</si>
  <si>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2026-2027 Öğretmen Fiyat Listesi Sivas İşler Kitabevi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</si>
</sst>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6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3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runlerTablosu" displayName="UrunlerTablosu" ref="A1:J508" totalsRowShown="0">
  <autoFilter ref="A1:J508" xr:uid="{00000000-0009-0000-0100-000002000000}"/>
  <tableColumns count="10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8"/>
  <sheetViews>
    <sheetView showGridLines="0" tabSelected="1" topLeftCell="A190" workbookViewId="0">
      <selection activeCell="I7" sqref="I7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</cols>
  <sheetData>
    <row r="1" spans="1:10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</row>
    <row r="2" spans="1:10" ht="21.95" customHeight="1">
      <c r="A2" s="14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</row>
    <row r="3" spans="1:10" ht="21.95" customHeight="1">
      <c r="A3" s="15" t="s">
        <v>16</v>
      </c>
      <c r="B3" s="12" t="s">
        <v>17</v>
      </c>
      <c r="C3" s="12" t="s">
        <v>12</v>
      </c>
      <c r="D3" s="12" t="s">
        <v>13</v>
      </c>
      <c r="E3" s="12"/>
      <c r="F3" s="12" t="s">
        <v>15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/>
    </row>
    <row r="4" spans="1:10" ht="21.95" customHeight="1">
      <c r="A4" s="15" t="s">
        <v>18</v>
      </c>
      <c r="B4" s="12" t="s">
        <v>19</v>
      </c>
      <c r="C4" s="12" t="s">
        <v>12</v>
      </c>
      <c r="D4" s="12" t="s">
        <v>13</v>
      </c>
      <c r="E4" s="12" t="s">
        <v>14</v>
      </c>
      <c r="F4" s="12" t="s">
        <v>15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</row>
    <row r="5" spans="1:10" ht="21.95" customHeight="1">
      <c r="A5" s="15" t="s">
        <v>20</v>
      </c>
      <c r="B5" s="12" t="s">
        <v>21</v>
      </c>
      <c r="C5" s="12" t="s">
        <v>12</v>
      </c>
      <c r="D5" s="12" t="s">
        <v>13</v>
      </c>
      <c r="E5" s="12"/>
      <c r="F5" s="12" t="s">
        <v>15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</row>
    <row r="6" spans="1:10" ht="21.95" customHeight="1">
      <c r="A6" s="15" t="s">
        <v>22</v>
      </c>
      <c r="B6" s="12" t="s">
        <v>23</v>
      </c>
      <c r="C6" s="12" t="s">
        <v>12</v>
      </c>
      <c r="D6" s="12" t="s">
        <v>13</v>
      </c>
      <c r="E6" s="12" t="s">
        <v>24</v>
      </c>
      <c r="F6" s="12" t="s">
        <v>15</v>
      </c>
      <c r="G6" s="18">
        <v>500</v>
      </c>
      <c r="H6" s="21">
        <f>IF(SUMIFS(İndirimler!$C$2:$C$110,İndirimler!$A$2:$A$110,B6,İndirimler!$B$2:$B$110,C6)&gt;0,ROUND(G6*(1-SUMIFS(İndirimler!$C$2:$C$110,İndirimler!$A$2:$A$110,B6,İndirimler!$B$2:$B$110,C6)),2),"")</f>
        <v>425</v>
      </c>
      <c r="I6" s="24">
        <f>IF(SUMIFS(İndirimler!$D$2:$D$110,İndirimler!$A$2:$A$110,B6,İndirimler!$B$2:$B$110,C6)&gt;0,ROUND(G6*(1-SUMIFS(İndirimler!$D$2:$D$110,İndirimler!$A$2:$A$110,B6,İndirimler!$B$2:$B$110,C6)),2),"")</f>
        <v>350</v>
      </c>
      <c r="J6" s="12"/>
    </row>
    <row r="7" spans="1:10" ht="21.95" customHeight="1">
      <c r="A7" s="15" t="s">
        <v>25</v>
      </c>
      <c r="B7" s="12" t="s">
        <v>23</v>
      </c>
      <c r="C7" s="12" t="s">
        <v>12</v>
      </c>
      <c r="D7" s="12" t="s">
        <v>13</v>
      </c>
      <c r="E7" s="12" t="s">
        <v>26</v>
      </c>
      <c r="F7" s="12" t="s">
        <v>15</v>
      </c>
      <c r="G7" s="18">
        <v>500</v>
      </c>
      <c r="H7" s="21">
        <f>IF(SUMIFS(İndirimler!$C$2:$C$110,İndirimler!$A$2:$A$110,B7,İndirimler!$B$2:$B$110,C7)&gt;0,ROUND(G7*(1-SUMIFS(İndirimler!$C$2:$C$110,İndirimler!$A$2:$A$110,B7,İndirimler!$B$2:$B$110,C7)),2),"")</f>
        <v>425</v>
      </c>
      <c r="I7" s="24">
        <f>IF(SUMIFS(İndirimler!$D$2:$D$110,İndirimler!$A$2:$A$110,B7,İndirimler!$B$2:$B$110,C7)&gt;0,ROUND(G7*(1-SUMIFS(İndirimler!$D$2:$D$110,İndirimler!$A$2:$A$110,B7,İndirimler!$B$2:$B$110,C7)),2),"")</f>
        <v>350</v>
      </c>
      <c r="J7" s="12"/>
    </row>
    <row r="8" spans="1:10" ht="21.95" customHeight="1">
      <c r="A8" s="15" t="s">
        <v>27</v>
      </c>
      <c r="B8" s="12" t="s">
        <v>23</v>
      </c>
      <c r="C8" s="12" t="s">
        <v>12</v>
      </c>
      <c r="D8" s="12" t="s">
        <v>13</v>
      </c>
      <c r="E8" s="12" t="s">
        <v>28</v>
      </c>
      <c r="F8" s="12" t="s">
        <v>15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</row>
    <row r="9" spans="1:10" ht="21.95" customHeight="1">
      <c r="A9" s="15" t="s">
        <v>29</v>
      </c>
      <c r="B9" s="12" t="s">
        <v>30</v>
      </c>
      <c r="C9" s="12" t="s">
        <v>31</v>
      </c>
      <c r="D9" s="12" t="s">
        <v>32</v>
      </c>
      <c r="E9" s="12"/>
      <c r="F9" s="12" t="s">
        <v>33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12"/>
    </row>
    <row r="10" spans="1:10" ht="21.95" customHeight="1">
      <c r="A10" s="15" t="s">
        <v>34</v>
      </c>
      <c r="B10" s="12" t="s">
        <v>35</v>
      </c>
      <c r="C10" s="12" t="s">
        <v>31</v>
      </c>
      <c r="D10" s="12" t="s">
        <v>32</v>
      </c>
      <c r="E10" s="12"/>
      <c r="F10" s="12" t="s">
        <v>33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12"/>
    </row>
    <row r="11" spans="1:10" ht="21.95" customHeight="1">
      <c r="A11" s="15" t="s">
        <v>36</v>
      </c>
      <c r="B11" s="12" t="s">
        <v>17</v>
      </c>
      <c r="C11" s="12" t="s">
        <v>31</v>
      </c>
      <c r="D11" s="12" t="s">
        <v>32</v>
      </c>
      <c r="E11" s="12" t="s">
        <v>37</v>
      </c>
      <c r="F11" s="12" t="s">
        <v>38</v>
      </c>
      <c r="G11" s="18">
        <v>500</v>
      </c>
      <c r="H11" s="21">
        <f>IF(SUMIFS(İndirimler!$C$2:$C$110,İndirimler!$A$2:$A$110,B11,İndirimler!$B$2:$B$110,C11)&gt;0,ROUND(G11*(1-SUMIFS(İndirimler!$C$2:$C$110,İndirimler!$A$2:$A$110,B11,İndirimler!$B$2:$B$110,C11)),2),"")</f>
        <v>425</v>
      </c>
      <c r="I11" s="24">
        <f>IF(SUMIFS(İndirimler!$D$2:$D$110,İndirimler!$A$2:$A$110,B11,İndirimler!$B$2:$B$110,C11)&gt;0,ROUND(G11*(1-SUMIFS(İndirimler!$D$2:$D$110,İndirimler!$A$2:$A$110,B11,İndirimler!$B$2:$B$110,C11)),2),"")</f>
        <v>350</v>
      </c>
      <c r="J11" s="12"/>
    </row>
    <row r="12" spans="1:10" ht="21.95" customHeight="1">
      <c r="A12" s="15" t="s">
        <v>39</v>
      </c>
      <c r="B12" s="12" t="s">
        <v>40</v>
      </c>
      <c r="C12" s="12" t="s">
        <v>31</v>
      </c>
      <c r="D12" s="12" t="s">
        <v>32</v>
      </c>
      <c r="E12" s="12" t="s">
        <v>41</v>
      </c>
      <c r="F12" s="12" t="s">
        <v>38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42</v>
      </c>
    </row>
    <row r="13" spans="1:10" ht="21.95" customHeight="1">
      <c r="A13" s="15" t="s">
        <v>43</v>
      </c>
      <c r="B13" s="12" t="s">
        <v>21</v>
      </c>
      <c r="C13" s="12" t="s">
        <v>31</v>
      </c>
      <c r="D13" s="12" t="s">
        <v>32</v>
      </c>
      <c r="E13" s="12"/>
      <c r="F13" s="12" t="s">
        <v>38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/>
    </row>
    <row r="14" spans="1:10" ht="21.95" customHeight="1">
      <c r="A14" s="15" t="s">
        <v>44</v>
      </c>
      <c r="B14" s="12" t="s">
        <v>45</v>
      </c>
      <c r="C14" s="12" t="s">
        <v>31</v>
      </c>
      <c r="D14" s="12" t="s">
        <v>32</v>
      </c>
      <c r="E14" s="12" t="s">
        <v>46</v>
      </c>
      <c r="F14" s="12" t="s">
        <v>38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</row>
    <row r="15" spans="1:10" ht="21.95" customHeight="1">
      <c r="A15" s="15" t="s">
        <v>47</v>
      </c>
      <c r="B15" s="12" t="s">
        <v>48</v>
      </c>
      <c r="C15" s="12" t="s">
        <v>31</v>
      </c>
      <c r="D15" s="12" t="s">
        <v>32</v>
      </c>
      <c r="E15" s="12"/>
      <c r="F15" s="12" t="s">
        <v>38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</row>
    <row r="16" spans="1:10" ht="21.95" customHeight="1">
      <c r="A16" s="15" t="s">
        <v>49</v>
      </c>
      <c r="B16" s="12" t="s">
        <v>50</v>
      </c>
      <c r="C16" s="12" t="s">
        <v>31</v>
      </c>
      <c r="D16" s="12" t="s">
        <v>32</v>
      </c>
      <c r="E16" s="12"/>
      <c r="F16" s="12" t="s">
        <v>15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51</v>
      </c>
    </row>
    <row r="17" spans="1:10" ht="21.95" customHeight="1">
      <c r="A17" s="15" t="s">
        <v>52</v>
      </c>
      <c r="B17" s="12" t="s">
        <v>17</v>
      </c>
      <c r="C17" s="12" t="s">
        <v>31</v>
      </c>
      <c r="D17" s="12" t="s">
        <v>32</v>
      </c>
      <c r="E17" s="12"/>
      <c r="F17" s="12" t="s">
        <v>15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12"/>
    </row>
    <row r="18" spans="1:10" ht="21.95" customHeight="1">
      <c r="A18" s="15" t="s">
        <v>53</v>
      </c>
      <c r="B18" s="12" t="s">
        <v>40</v>
      </c>
      <c r="C18" s="12" t="s">
        <v>31</v>
      </c>
      <c r="D18" s="12" t="s">
        <v>32</v>
      </c>
      <c r="E18" s="12" t="s">
        <v>54</v>
      </c>
      <c r="F18" s="12" t="s">
        <v>15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55</v>
      </c>
    </row>
    <row r="19" spans="1:10" ht="21.95" customHeight="1">
      <c r="A19" s="15" t="s">
        <v>56</v>
      </c>
      <c r="B19" s="12" t="s">
        <v>57</v>
      </c>
      <c r="C19" s="12" t="s">
        <v>31</v>
      </c>
      <c r="D19" s="12" t="s">
        <v>32</v>
      </c>
      <c r="E19" s="12" t="s">
        <v>58</v>
      </c>
      <c r="F19" s="12" t="s">
        <v>15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/>
    </row>
    <row r="20" spans="1:10" ht="21.95" customHeight="1">
      <c r="A20" s="15" t="s">
        <v>59</v>
      </c>
      <c r="B20" s="12" t="s">
        <v>21</v>
      </c>
      <c r="C20" s="12" t="s">
        <v>31</v>
      </c>
      <c r="D20" s="12" t="s">
        <v>32</v>
      </c>
      <c r="E20" s="12"/>
      <c r="F20" s="12" t="s">
        <v>15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12"/>
    </row>
    <row r="21" spans="1:10" ht="21.95" customHeight="1">
      <c r="A21" s="15" t="s">
        <v>60</v>
      </c>
      <c r="B21" s="12" t="s">
        <v>45</v>
      </c>
      <c r="C21" s="12" t="s">
        <v>31</v>
      </c>
      <c r="D21" s="12" t="s">
        <v>32</v>
      </c>
      <c r="E21" s="12" t="s">
        <v>61</v>
      </c>
      <c r="F21" s="12" t="s">
        <v>15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</row>
    <row r="22" spans="1:10" ht="21.95" customHeight="1">
      <c r="A22" s="15" t="s">
        <v>62</v>
      </c>
      <c r="B22" s="12" t="s">
        <v>35</v>
      </c>
      <c r="C22" s="12" t="s">
        <v>31</v>
      </c>
      <c r="D22" s="12" t="s">
        <v>32</v>
      </c>
      <c r="E22" s="12" t="s">
        <v>61</v>
      </c>
      <c r="F22" s="12" t="s">
        <v>15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12"/>
    </row>
    <row r="23" spans="1:10" ht="21.95" customHeight="1">
      <c r="A23" s="15" t="s">
        <v>63</v>
      </c>
      <c r="B23" s="12" t="s">
        <v>64</v>
      </c>
      <c r="C23" s="12" t="s">
        <v>31</v>
      </c>
      <c r="D23" s="12" t="s">
        <v>32</v>
      </c>
      <c r="E23" s="12"/>
      <c r="F23" s="12" t="s">
        <v>65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</row>
    <row r="24" spans="1:10" ht="21.95" customHeight="1">
      <c r="A24" s="15" t="s">
        <v>66</v>
      </c>
      <c r="B24" s="12" t="s">
        <v>64</v>
      </c>
      <c r="C24" s="12" t="s">
        <v>31</v>
      </c>
      <c r="D24" s="12" t="s">
        <v>32</v>
      </c>
      <c r="E24" s="12"/>
      <c r="F24" s="12" t="s">
        <v>65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</row>
    <row r="25" spans="1:10" ht="21.95" customHeight="1">
      <c r="A25" s="15" t="s">
        <v>67</v>
      </c>
      <c r="B25" s="12" t="s">
        <v>30</v>
      </c>
      <c r="C25" s="12" t="s">
        <v>68</v>
      </c>
      <c r="D25" s="12" t="s">
        <v>32</v>
      </c>
      <c r="E25" s="12"/>
      <c r="F25" s="12" t="s">
        <v>33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12"/>
    </row>
    <row r="26" spans="1:10" ht="21.95" customHeight="1">
      <c r="A26" s="15" t="s">
        <v>69</v>
      </c>
      <c r="B26" s="12" t="s">
        <v>35</v>
      </c>
      <c r="C26" s="12" t="s">
        <v>68</v>
      </c>
      <c r="D26" s="12" t="s">
        <v>32</v>
      </c>
      <c r="E26" s="12"/>
      <c r="F26" s="12" t="s">
        <v>33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/>
    </row>
    <row r="27" spans="1:10" ht="21.95" customHeight="1">
      <c r="A27" s="15" t="s">
        <v>70</v>
      </c>
      <c r="B27" s="12" t="s">
        <v>17</v>
      </c>
      <c r="C27" s="12" t="s">
        <v>68</v>
      </c>
      <c r="D27" s="12" t="s">
        <v>32</v>
      </c>
      <c r="E27" s="12" t="s">
        <v>37</v>
      </c>
      <c r="F27" s="12" t="s">
        <v>38</v>
      </c>
      <c r="G27" s="18">
        <v>500</v>
      </c>
      <c r="H27" s="21">
        <f>IF(SUMIFS(İndirimler!$C$2:$C$110,İndirimler!$A$2:$A$110,B27,İndirimler!$B$2:$B$110,C27)&gt;0,ROUND(G27*(1-SUMIFS(İndirimler!$C$2:$C$110,İndirimler!$A$2:$A$110,B27,İndirimler!$B$2:$B$110,C27)),2),"")</f>
        <v>425</v>
      </c>
      <c r="I27" s="24">
        <f>IF(SUMIFS(İndirimler!$D$2:$D$110,İndirimler!$A$2:$A$110,B27,İndirimler!$B$2:$B$110,C27)&gt;0,ROUND(G27*(1-SUMIFS(İndirimler!$D$2:$D$110,İndirimler!$A$2:$A$110,B27,İndirimler!$B$2:$B$110,C27)),2),"")</f>
        <v>350</v>
      </c>
      <c r="J27" s="12"/>
    </row>
    <row r="28" spans="1:10" ht="21.95" customHeight="1">
      <c r="A28" s="15" t="s">
        <v>71</v>
      </c>
      <c r="B28" s="12" t="s">
        <v>40</v>
      </c>
      <c r="C28" s="12" t="s">
        <v>68</v>
      </c>
      <c r="D28" s="12" t="s">
        <v>32</v>
      </c>
      <c r="E28" s="12" t="s">
        <v>41</v>
      </c>
      <c r="F28" s="12" t="s">
        <v>38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72</v>
      </c>
    </row>
    <row r="29" spans="1:10" ht="21.95" customHeight="1">
      <c r="A29" s="15" t="s">
        <v>73</v>
      </c>
      <c r="B29" s="12" t="s">
        <v>21</v>
      </c>
      <c r="C29" s="12" t="s">
        <v>68</v>
      </c>
      <c r="D29" s="12" t="s">
        <v>32</v>
      </c>
      <c r="E29" s="12"/>
      <c r="F29" s="12" t="s">
        <v>38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/>
    </row>
    <row r="30" spans="1:10" ht="21.95" customHeight="1">
      <c r="A30" s="15" t="s">
        <v>74</v>
      </c>
      <c r="B30" s="12" t="s">
        <v>45</v>
      </c>
      <c r="C30" s="12" t="s">
        <v>68</v>
      </c>
      <c r="D30" s="12" t="s">
        <v>32</v>
      </c>
      <c r="E30" s="12" t="s">
        <v>46</v>
      </c>
      <c r="F30" s="12" t="s">
        <v>38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</row>
    <row r="31" spans="1:10" ht="21.95" customHeight="1">
      <c r="A31" s="15" t="s">
        <v>75</v>
      </c>
      <c r="B31" s="12" t="s">
        <v>50</v>
      </c>
      <c r="C31" s="12" t="s">
        <v>68</v>
      </c>
      <c r="D31" s="12" t="s">
        <v>32</v>
      </c>
      <c r="E31" s="12"/>
      <c r="F31" s="12" t="s">
        <v>15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76</v>
      </c>
    </row>
    <row r="32" spans="1:10" ht="21.95" customHeight="1">
      <c r="A32" s="15" t="s">
        <v>77</v>
      </c>
      <c r="B32" s="12" t="s">
        <v>17</v>
      </c>
      <c r="C32" s="12" t="s">
        <v>68</v>
      </c>
      <c r="D32" s="12" t="s">
        <v>32</v>
      </c>
      <c r="E32" s="12"/>
      <c r="F32" s="12" t="s">
        <v>15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12"/>
    </row>
    <row r="33" spans="1:10" ht="21.95" customHeight="1">
      <c r="A33" s="15" t="s">
        <v>78</v>
      </c>
      <c r="B33" s="12" t="s">
        <v>40</v>
      </c>
      <c r="C33" s="12" t="s">
        <v>68</v>
      </c>
      <c r="D33" s="12" t="s">
        <v>32</v>
      </c>
      <c r="E33" s="12" t="s">
        <v>54</v>
      </c>
      <c r="F33" s="12" t="s">
        <v>15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79</v>
      </c>
    </row>
    <row r="34" spans="1:10" ht="21.95" customHeight="1">
      <c r="A34" s="15" t="s">
        <v>80</v>
      </c>
      <c r="B34" s="12" t="s">
        <v>57</v>
      </c>
      <c r="C34" s="12" t="s">
        <v>68</v>
      </c>
      <c r="D34" s="12" t="s">
        <v>32</v>
      </c>
      <c r="E34" s="12" t="s">
        <v>58</v>
      </c>
      <c r="F34" s="12" t="s">
        <v>15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/>
    </row>
    <row r="35" spans="1:10" ht="21.95" customHeight="1">
      <c r="A35" s="15" t="s">
        <v>81</v>
      </c>
      <c r="B35" s="12" t="s">
        <v>21</v>
      </c>
      <c r="C35" s="12" t="s">
        <v>68</v>
      </c>
      <c r="D35" s="12" t="s">
        <v>32</v>
      </c>
      <c r="E35" s="12"/>
      <c r="F35" s="12" t="s">
        <v>15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/>
    </row>
    <row r="36" spans="1:10" ht="21.95" customHeight="1">
      <c r="A36" s="15" t="s">
        <v>82</v>
      </c>
      <c r="B36" s="12" t="s">
        <v>45</v>
      </c>
      <c r="C36" s="12" t="s">
        <v>68</v>
      </c>
      <c r="D36" s="12" t="s">
        <v>32</v>
      </c>
      <c r="E36" s="12" t="s">
        <v>61</v>
      </c>
      <c r="F36" s="12" t="s">
        <v>15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</row>
    <row r="37" spans="1:10" ht="21.95" customHeight="1">
      <c r="A37" s="15" t="s">
        <v>83</v>
      </c>
      <c r="B37" s="12" t="s">
        <v>48</v>
      </c>
      <c r="C37" s="12" t="s">
        <v>68</v>
      </c>
      <c r="D37" s="12" t="s">
        <v>32</v>
      </c>
      <c r="E37" s="12"/>
      <c r="F37" s="12" t="s">
        <v>15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</row>
    <row r="38" spans="1:10" ht="21.95" customHeight="1">
      <c r="A38" s="15" t="s">
        <v>84</v>
      </c>
      <c r="B38" s="12" t="s">
        <v>35</v>
      </c>
      <c r="C38" s="12" t="s">
        <v>68</v>
      </c>
      <c r="D38" s="12" t="s">
        <v>32</v>
      </c>
      <c r="E38" s="12" t="s">
        <v>61</v>
      </c>
      <c r="F38" s="12" t="s">
        <v>15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</row>
    <row r="39" spans="1:10" ht="21.95" customHeight="1">
      <c r="A39" s="15" t="s">
        <v>85</v>
      </c>
      <c r="B39" s="12" t="s">
        <v>64</v>
      </c>
      <c r="C39" s="12" t="s">
        <v>68</v>
      </c>
      <c r="D39" s="12" t="s">
        <v>32</v>
      </c>
      <c r="E39" s="12"/>
      <c r="F39" s="12" t="s">
        <v>65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</row>
    <row r="40" spans="1:10" ht="21.95" customHeight="1">
      <c r="A40" s="15" t="s">
        <v>86</v>
      </c>
      <c r="B40" s="12" t="s">
        <v>35</v>
      </c>
      <c r="C40" s="12" t="s">
        <v>87</v>
      </c>
      <c r="D40" s="12" t="s">
        <v>32</v>
      </c>
      <c r="E40" s="12"/>
      <c r="F40" s="12" t="s">
        <v>33</v>
      </c>
      <c r="G40" s="18">
        <v>500</v>
      </c>
      <c r="H40" s="21">
        <f>IF(SUMIFS(İndirimler!$C$2:$C$110,İndirimler!$A$2:$A$110,B40,İndirimler!$B$2:$B$110,C40)&gt;0,ROUND(G40*(1-SUMIFS(İndirimler!$C$2:$C$110,İndirimler!$A$2:$A$110,B40,İndirimler!$B$2:$B$110,C40)),2),"")</f>
        <v>425</v>
      </c>
      <c r="I40" s="24">
        <f>IF(SUMIFS(İndirimler!$D$2:$D$110,İndirimler!$A$2:$A$110,B40,İndirimler!$B$2:$B$110,C40)&gt;0,ROUND(G40*(1-SUMIFS(İndirimler!$D$2:$D$110,İndirimler!$A$2:$A$110,B40,İndirimler!$B$2:$B$110,C40)),2),"")</f>
        <v>350</v>
      </c>
      <c r="J40" s="12"/>
    </row>
    <row r="41" spans="1:10" ht="21.95" customHeight="1">
      <c r="A41" s="15" t="s">
        <v>88</v>
      </c>
      <c r="B41" s="12" t="s">
        <v>17</v>
      </c>
      <c r="C41" s="12" t="s">
        <v>87</v>
      </c>
      <c r="D41" s="12" t="s">
        <v>32</v>
      </c>
      <c r="E41" s="12" t="s">
        <v>37</v>
      </c>
      <c r="F41" s="12" t="s">
        <v>38</v>
      </c>
      <c r="G41" s="18">
        <v>500</v>
      </c>
      <c r="H41" s="21">
        <f>IF(SUMIFS(İndirimler!$C$2:$C$110,İndirimler!$A$2:$A$110,B41,İndirimler!$B$2:$B$110,C41)&gt;0,ROUND(G41*(1-SUMIFS(İndirimler!$C$2:$C$110,İndirimler!$A$2:$A$110,B41,İndirimler!$B$2:$B$110,C41)),2),"")</f>
        <v>425</v>
      </c>
      <c r="I41" s="24">
        <f>IF(SUMIFS(İndirimler!$D$2:$D$110,İndirimler!$A$2:$A$110,B41,İndirimler!$B$2:$B$110,C41)&gt;0,ROUND(G41*(1-SUMIFS(İndirimler!$D$2:$D$110,İndirimler!$A$2:$A$110,B41,İndirimler!$B$2:$B$110,C41)),2),"")</f>
        <v>350</v>
      </c>
      <c r="J41" s="12"/>
    </row>
    <row r="42" spans="1:10" ht="21.95" customHeight="1">
      <c r="A42" s="15" t="s">
        <v>89</v>
      </c>
      <c r="B42" s="12" t="s">
        <v>64</v>
      </c>
      <c r="C42" s="12" t="s">
        <v>87</v>
      </c>
      <c r="D42" s="12" t="s">
        <v>32</v>
      </c>
      <c r="E42" s="12" t="s">
        <v>90</v>
      </c>
      <c r="F42" s="12" t="s">
        <v>38</v>
      </c>
      <c r="G42" s="18">
        <v>500</v>
      </c>
      <c r="H42" s="21">
        <f>IF(SUMIFS(İndirimler!$C$2:$C$110,İndirimler!$A$2:$A$110,B42,İndirimler!$B$2:$B$110,C42)&gt;0,ROUND(G42*(1-SUMIFS(İndirimler!$C$2:$C$110,İndirimler!$A$2:$A$110,B42,İndirimler!$B$2:$B$110,C42)),2),"")</f>
        <v>425</v>
      </c>
      <c r="I42" s="24">
        <f>IF(SUMIFS(İndirimler!$D$2:$D$110,İndirimler!$A$2:$A$110,B42,İndirimler!$B$2:$B$110,C42)&gt;0,ROUND(G42*(1-SUMIFS(İndirimler!$D$2:$D$110,İndirimler!$A$2:$A$110,B42,İndirimler!$B$2:$B$110,C42)),2),"")</f>
        <v>350</v>
      </c>
      <c r="J42" s="12"/>
    </row>
    <row r="43" spans="1:10" ht="21.95" customHeight="1">
      <c r="A43" s="15" t="s">
        <v>91</v>
      </c>
      <c r="B43" s="12" t="s">
        <v>21</v>
      </c>
      <c r="C43" s="12" t="s">
        <v>87</v>
      </c>
      <c r="D43" s="12" t="s">
        <v>32</v>
      </c>
      <c r="E43" s="12"/>
      <c r="F43" s="12" t="s">
        <v>38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/>
    </row>
    <row r="44" spans="1:10" ht="21.95" customHeight="1">
      <c r="A44" s="15" t="s">
        <v>92</v>
      </c>
      <c r="B44" s="12" t="s">
        <v>45</v>
      </c>
      <c r="C44" s="12" t="s">
        <v>87</v>
      </c>
      <c r="D44" s="12" t="s">
        <v>32</v>
      </c>
      <c r="E44" s="12" t="s">
        <v>46</v>
      </c>
      <c r="F44" s="12" t="s">
        <v>38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</row>
    <row r="45" spans="1:10" ht="21.95" customHeight="1">
      <c r="A45" s="15" t="s">
        <v>93</v>
      </c>
      <c r="B45" s="12" t="s">
        <v>50</v>
      </c>
      <c r="C45" s="12" t="s">
        <v>87</v>
      </c>
      <c r="D45" s="12" t="s">
        <v>32</v>
      </c>
      <c r="E45" s="12"/>
      <c r="F45" s="12" t="s">
        <v>15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</row>
    <row r="46" spans="1:10" ht="21.95" customHeight="1">
      <c r="A46" s="15" t="s">
        <v>94</v>
      </c>
      <c r="B46" s="12" t="s">
        <v>17</v>
      </c>
      <c r="C46" s="12" t="s">
        <v>87</v>
      </c>
      <c r="D46" s="12" t="s">
        <v>32</v>
      </c>
      <c r="E46" s="12"/>
      <c r="F46" s="12" t="s">
        <v>15</v>
      </c>
      <c r="G46" s="18">
        <v>500</v>
      </c>
      <c r="H46" s="21">
        <f>IF(SUMIFS(İndirimler!$C$2:$C$110,İndirimler!$A$2:$A$110,B46,İndirimler!$B$2:$B$110,C46)&gt;0,ROUND(G46*(1-SUMIFS(İndirimler!$C$2:$C$110,İndirimler!$A$2:$A$110,B46,İndirimler!$B$2:$B$110,C46)),2),"")</f>
        <v>425</v>
      </c>
      <c r="I46" s="24">
        <f>IF(SUMIFS(İndirimler!$D$2:$D$110,İndirimler!$A$2:$A$110,B46,İndirimler!$B$2:$B$110,C46)&gt;0,ROUND(G46*(1-SUMIFS(İndirimler!$D$2:$D$110,İndirimler!$A$2:$A$110,B46,İndirimler!$B$2:$B$110,C46)),2),"")</f>
        <v>350</v>
      </c>
      <c r="J46" s="12"/>
    </row>
    <row r="47" spans="1:10" ht="21.95" customHeight="1">
      <c r="A47" s="15" t="s">
        <v>95</v>
      </c>
      <c r="B47" s="12" t="s">
        <v>57</v>
      </c>
      <c r="C47" s="12" t="s">
        <v>87</v>
      </c>
      <c r="D47" s="12" t="s">
        <v>32</v>
      </c>
      <c r="E47" s="12" t="s">
        <v>58</v>
      </c>
      <c r="F47" s="12" t="s">
        <v>15</v>
      </c>
      <c r="G47" s="18">
        <v>500</v>
      </c>
      <c r="H47" s="21">
        <f>IF(SUMIFS(İndirimler!$C$2:$C$110,İndirimler!$A$2:$A$110,B47,İndirimler!$B$2:$B$110,C47)&gt;0,ROUND(G47*(1-SUMIFS(İndirimler!$C$2:$C$110,İndirimler!$A$2:$A$110,B47,İndirimler!$B$2:$B$110,C47)),2),"")</f>
        <v>425</v>
      </c>
      <c r="I47" s="24">
        <f>IF(SUMIFS(İndirimler!$D$2:$D$110,İndirimler!$A$2:$A$110,B47,İndirimler!$B$2:$B$110,C47)&gt;0,ROUND(G47*(1-SUMIFS(İndirimler!$D$2:$D$110,İndirimler!$A$2:$A$110,B47,İndirimler!$B$2:$B$110,C47)),2),"")</f>
        <v>350</v>
      </c>
      <c r="J47" s="12"/>
    </row>
    <row r="48" spans="1:10" ht="21.95" customHeight="1">
      <c r="A48" s="15" t="s">
        <v>96</v>
      </c>
      <c r="B48" s="12" t="s">
        <v>21</v>
      </c>
      <c r="C48" s="12" t="s">
        <v>87</v>
      </c>
      <c r="D48" s="12" t="s">
        <v>32</v>
      </c>
      <c r="E48" s="12"/>
      <c r="F48" s="12" t="s">
        <v>15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/>
    </row>
    <row r="49" spans="1:10" ht="21.95" customHeight="1">
      <c r="A49" s="15" t="s">
        <v>97</v>
      </c>
      <c r="B49" s="12" t="s">
        <v>45</v>
      </c>
      <c r="C49" s="12" t="s">
        <v>87</v>
      </c>
      <c r="D49" s="12" t="s">
        <v>32</v>
      </c>
      <c r="E49" s="12" t="s">
        <v>61</v>
      </c>
      <c r="F49" s="12" t="s">
        <v>15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</row>
    <row r="50" spans="1:10" ht="21.95" customHeight="1">
      <c r="A50" s="15" t="s">
        <v>98</v>
      </c>
      <c r="B50" s="12" t="s">
        <v>48</v>
      </c>
      <c r="C50" s="12" t="s">
        <v>87</v>
      </c>
      <c r="D50" s="12" t="s">
        <v>32</v>
      </c>
      <c r="E50" s="12"/>
      <c r="F50" s="12" t="s">
        <v>15</v>
      </c>
      <c r="G50" s="18">
        <v>500</v>
      </c>
      <c r="H50" s="21">
        <f>IF(SUMIFS(İndirimler!$C$2:$C$110,İndirimler!$A$2:$A$110,B50,İndirimler!$B$2:$B$110,C50)&gt;0,ROUND(G50*(1-SUMIFS(İndirimler!$C$2:$C$110,İndirimler!$A$2:$A$110,B50,İndirimler!$B$2:$B$110,C50)),2),"")</f>
        <v>425</v>
      </c>
      <c r="I50" s="24">
        <f>IF(SUMIFS(İndirimler!$D$2:$D$110,İndirimler!$A$2:$A$110,B50,İndirimler!$B$2:$B$110,C50)&gt;0,ROUND(G50*(1-SUMIFS(İndirimler!$D$2:$D$110,İndirimler!$A$2:$A$110,B50,İndirimler!$B$2:$B$110,C50)),2),"")</f>
        <v>350</v>
      </c>
      <c r="J50" s="12"/>
    </row>
    <row r="51" spans="1:10" ht="21.95" customHeight="1">
      <c r="A51" s="15" t="s">
        <v>99</v>
      </c>
      <c r="B51" s="12" t="s">
        <v>35</v>
      </c>
      <c r="C51" s="12" t="s">
        <v>87</v>
      </c>
      <c r="D51" s="12" t="s">
        <v>32</v>
      </c>
      <c r="E51" s="12"/>
      <c r="F51" s="12" t="s">
        <v>15</v>
      </c>
      <c r="G51" s="18">
        <v>500</v>
      </c>
      <c r="H51" s="21">
        <f>IF(SUMIFS(İndirimler!$C$2:$C$110,İndirimler!$A$2:$A$110,B51,İndirimler!$B$2:$B$110,C51)&gt;0,ROUND(G51*(1-SUMIFS(İndirimler!$C$2:$C$110,İndirimler!$A$2:$A$110,B51,İndirimler!$B$2:$B$110,C51)),2),"")</f>
        <v>425</v>
      </c>
      <c r="I51" s="24">
        <f>IF(SUMIFS(İndirimler!$D$2:$D$110,İndirimler!$A$2:$A$110,B51,İndirimler!$B$2:$B$110,C51)&gt;0,ROUND(G51*(1-SUMIFS(İndirimler!$D$2:$D$110,İndirimler!$A$2:$A$110,B51,İndirimler!$B$2:$B$110,C51)),2),"")</f>
        <v>350</v>
      </c>
      <c r="J51" s="12"/>
    </row>
    <row r="52" spans="1:10" ht="21.95" customHeight="1">
      <c r="A52" s="15" t="s">
        <v>100</v>
      </c>
      <c r="B52" s="12" t="s">
        <v>64</v>
      </c>
      <c r="C52" s="12" t="s">
        <v>87</v>
      </c>
      <c r="D52" s="12" t="s">
        <v>32</v>
      </c>
      <c r="E52" s="12"/>
      <c r="F52" s="12" t="s">
        <v>65</v>
      </c>
      <c r="G52" s="18">
        <v>500</v>
      </c>
      <c r="H52" s="21">
        <f>IF(SUMIFS(İndirimler!$C$2:$C$110,İndirimler!$A$2:$A$110,B52,İndirimler!$B$2:$B$110,C52)&gt;0,ROUND(G52*(1-SUMIFS(İndirimler!$C$2:$C$110,İndirimler!$A$2:$A$110,B52,İndirimler!$B$2:$B$110,C52)),2),"")</f>
        <v>425</v>
      </c>
      <c r="I52" s="24">
        <f>IF(SUMIFS(İndirimler!$D$2:$D$110,İndirimler!$A$2:$A$110,B52,İndirimler!$B$2:$B$110,C52)&gt;0,ROUND(G52*(1-SUMIFS(İndirimler!$D$2:$D$110,İndirimler!$A$2:$A$110,B52,İndirimler!$B$2:$B$110,C52)),2),"")</f>
        <v>350</v>
      </c>
      <c r="J52" s="12"/>
    </row>
    <row r="53" spans="1:10" ht="21.95" customHeight="1">
      <c r="A53" s="15" t="s">
        <v>101</v>
      </c>
      <c r="B53" s="12" t="s">
        <v>35</v>
      </c>
      <c r="C53" s="12" t="s">
        <v>12</v>
      </c>
      <c r="D53" s="12" t="s">
        <v>32</v>
      </c>
      <c r="E53" s="12" t="s">
        <v>61</v>
      </c>
      <c r="F53" s="12" t="s">
        <v>15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</row>
    <row r="54" spans="1:10" ht="21.95" customHeight="1">
      <c r="A54" s="15" t="s">
        <v>102</v>
      </c>
      <c r="B54" s="12" t="s">
        <v>103</v>
      </c>
      <c r="C54" s="12" t="s">
        <v>31</v>
      </c>
      <c r="D54" s="12" t="s">
        <v>104</v>
      </c>
      <c r="E54" s="12" t="s">
        <v>37</v>
      </c>
      <c r="F54" s="12" t="s">
        <v>33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</row>
    <row r="55" spans="1:10" ht="21.95" customHeight="1">
      <c r="A55" s="15" t="s">
        <v>105</v>
      </c>
      <c r="B55" s="12" t="s">
        <v>103</v>
      </c>
      <c r="C55" s="12" t="s">
        <v>31</v>
      </c>
      <c r="D55" s="12" t="s">
        <v>104</v>
      </c>
      <c r="E55" s="12" t="s">
        <v>37</v>
      </c>
      <c r="F55" s="12" t="s">
        <v>33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</row>
    <row r="56" spans="1:10" ht="21.95" customHeight="1">
      <c r="A56" s="15" t="s">
        <v>106</v>
      </c>
      <c r="B56" s="12" t="s">
        <v>107</v>
      </c>
      <c r="C56" s="12" t="s">
        <v>31</v>
      </c>
      <c r="D56" s="12" t="s">
        <v>104</v>
      </c>
      <c r="E56" s="12" t="s">
        <v>108</v>
      </c>
      <c r="F56" s="12" t="s">
        <v>33</v>
      </c>
      <c r="G56" s="18">
        <v>500</v>
      </c>
      <c r="H56" s="21">
        <f>IF(SUMIFS(İndirimler!$C$2:$C$110,İndirimler!$A$2:$A$110,B56,İndirimler!$B$2:$B$110,C56)&gt;0,ROUND(G56*(1-SUMIFS(İndirimler!$C$2:$C$110,İndirimler!$A$2:$A$110,B56,İndirimler!$B$2:$B$110,C56)),2),"")</f>
        <v>425</v>
      </c>
      <c r="I56" s="24">
        <f>IF(SUMIFS(İndirimler!$D$2:$D$110,İndirimler!$A$2:$A$110,B56,İndirimler!$B$2:$B$110,C56)&gt;0,ROUND(G56*(1-SUMIFS(İndirimler!$D$2:$D$110,İndirimler!$A$2:$A$110,B56,İndirimler!$B$2:$B$110,C56)),2),"")</f>
        <v>350</v>
      </c>
      <c r="J56" s="12"/>
    </row>
    <row r="57" spans="1:10" ht="21.95" customHeight="1">
      <c r="A57" s="15" t="s">
        <v>109</v>
      </c>
      <c r="B57" s="12" t="s">
        <v>23</v>
      </c>
      <c r="C57" s="12" t="s">
        <v>31</v>
      </c>
      <c r="D57" s="12" t="s">
        <v>104</v>
      </c>
      <c r="E57" s="12" t="s">
        <v>110</v>
      </c>
      <c r="F57" s="12" t="s">
        <v>33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</row>
    <row r="58" spans="1:10" ht="21.95" customHeight="1">
      <c r="A58" s="15" t="s">
        <v>111</v>
      </c>
      <c r="B58" s="12" t="s">
        <v>112</v>
      </c>
      <c r="C58" s="12" t="s">
        <v>31</v>
      </c>
      <c r="D58" s="12" t="s">
        <v>104</v>
      </c>
      <c r="E58" s="12" t="s">
        <v>113</v>
      </c>
      <c r="F58" s="12" t="s">
        <v>33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</row>
    <row r="59" spans="1:10" ht="21.95" customHeight="1">
      <c r="A59" s="15" t="s">
        <v>114</v>
      </c>
      <c r="B59" s="12" t="s">
        <v>112</v>
      </c>
      <c r="C59" s="12" t="s">
        <v>31</v>
      </c>
      <c r="D59" s="12" t="s">
        <v>104</v>
      </c>
      <c r="E59" s="12" t="s">
        <v>115</v>
      </c>
      <c r="F59" s="12" t="s">
        <v>33</v>
      </c>
      <c r="G59" s="18">
        <v>659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560.15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461.3</v>
      </c>
      <c r="J59" s="12"/>
    </row>
    <row r="60" spans="1:10" ht="21.95" customHeight="1">
      <c r="A60" s="15" t="s">
        <v>116</v>
      </c>
      <c r="B60" s="12" t="s">
        <v>30</v>
      </c>
      <c r="C60" s="12" t="s">
        <v>31</v>
      </c>
      <c r="D60" s="12" t="s">
        <v>104</v>
      </c>
      <c r="E60" s="12"/>
      <c r="F60" s="12" t="s">
        <v>33</v>
      </c>
      <c r="G60" s="18">
        <v>699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594.15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489.3</v>
      </c>
      <c r="J60" s="12"/>
    </row>
    <row r="61" spans="1:10" ht="21.95" customHeight="1">
      <c r="A61" s="15" t="s">
        <v>117</v>
      </c>
      <c r="B61" s="12" t="s">
        <v>118</v>
      </c>
      <c r="C61" s="12" t="s">
        <v>31</v>
      </c>
      <c r="D61" s="12" t="s">
        <v>104</v>
      </c>
      <c r="E61" s="12"/>
      <c r="F61" s="12" t="s">
        <v>33</v>
      </c>
      <c r="G61" s="18">
        <v>999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849.15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699.3</v>
      </c>
      <c r="J61" s="12"/>
    </row>
    <row r="62" spans="1:10" ht="21.95" customHeight="1">
      <c r="A62" s="15" t="s">
        <v>119</v>
      </c>
      <c r="B62" s="12" t="s">
        <v>35</v>
      </c>
      <c r="C62" s="12" t="s">
        <v>31</v>
      </c>
      <c r="D62" s="12" t="s">
        <v>104</v>
      </c>
      <c r="E62" s="12"/>
      <c r="F62" s="12" t="s">
        <v>33</v>
      </c>
      <c r="G62" s="18">
        <v>899</v>
      </c>
      <c r="H62" s="21">
        <f>IF(SUMIFS(İndirimler!$C$2:$C$110,İndirimler!$A$2:$A$110,B62,İndirimler!$B$2:$B$110,C62)&gt;0,ROUND(G62*(1-SUMIFS(İndirimler!$C$2:$C$110,İndirimler!$A$2:$A$110,B62,İndirimler!$B$2:$B$110,C62)),2),"")</f>
        <v>764.15</v>
      </c>
      <c r="I62" s="24">
        <f>IF(SUMIFS(İndirimler!$D$2:$D$110,İndirimler!$A$2:$A$110,B62,İndirimler!$B$2:$B$110,C62)&gt;0,ROUND(G62*(1-SUMIFS(İndirimler!$D$2:$D$110,İndirimler!$A$2:$A$110,B62,İndirimler!$B$2:$B$110,C62)),2),"")</f>
        <v>629.29999999999995</v>
      </c>
      <c r="J62" s="12"/>
    </row>
    <row r="63" spans="1:10" ht="21.95" customHeight="1">
      <c r="A63" s="15" t="s">
        <v>120</v>
      </c>
      <c r="B63" s="12" t="s">
        <v>121</v>
      </c>
      <c r="C63" s="12" t="s">
        <v>31</v>
      </c>
      <c r="D63" s="12" t="s">
        <v>104</v>
      </c>
      <c r="E63" s="12" t="s">
        <v>122</v>
      </c>
      <c r="F63" s="12" t="s">
        <v>38</v>
      </c>
      <c r="G63" s="18">
        <v>644</v>
      </c>
      <c r="H63" s="21">
        <f>IF(SUMIFS(İndirimler!$C$2:$C$110,İndirimler!$A$2:$A$110,B63,İndirimler!$B$2:$B$110,C63)&gt;0,ROUND(G63*(1-SUMIFS(İndirimler!$C$2:$C$110,İndirimler!$A$2:$A$110,B63,İndirimler!$B$2:$B$110,C63)),2),"")</f>
        <v>547.4</v>
      </c>
      <c r="I63" s="24">
        <f>IF(SUMIFS(İndirimler!$D$2:$D$110,İndirimler!$A$2:$A$110,B63,İndirimler!$B$2:$B$110,C63)&gt;0,ROUND(G63*(1-SUMIFS(İndirimler!$D$2:$D$110,İndirimler!$A$2:$A$110,B63,İndirimler!$B$2:$B$110,C63)),2),"")</f>
        <v>450.8</v>
      </c>
      <c r="J63" s="12"/>
    </row>
    <row r="64" spans="1:10" ht="21.95" customHeight="1">
      <c r="A64" s="15" t="s">
        <v>123</v>
      </c>
      <c r="B64" s="12" t="s">
        <v>40</v>
      </c>
      <c r="C64" s="12" t="s">
        <v>31</v>
      </c>
      <c r="D64" s="12" t="s">
        <v>104</v>
      </c>
      <c r="E64" s="12" t="s">
        <v>124</v>
      </c>
      <c r="F64" s="12" t="s">
        <v>38</v>
      </c>
      <c r="G64" s="18">
        <v>428</v>
      </c>
      <c r="H64" s="21">
        <f>IF(SUMIFS(İndirimler!$C$2:$C$110,İndirimler!$A$2:$A$110,B64,İndirimler!$B$2:$B$110,C64)&gt;0,ROUND(G64*(1-SUMIFS(İndirimler!$C$2:$C$110,İndirimler!$A$2:$A$110,B64,İndirimler!$B$2:$B$110,C64)),2),"")</f>
        <v>363.8</v>
      </c>
      <c r="I64" s="24">
        <f>IF(SUMIFS(İndirimler!$D$2:$D$110,İndirimler!$A$2:$A$110,B64,İndirimler!$B$2:$B$110,C64)&gt;0,ROUND(G64*(1-SUMIFS(İndirimler!$D$2:$D$110,İndirimler!$A$2:$A$110,B64,İndirimler!$B$2:$B$110,C64)),2),"")</f>
        <v>299.60000000000002</v>
      </c>
      <c r="J64" s="12" t="s">
        <v>125</v>
      </c>
    </row>
    <row r="65" spans="1:10" ht="21.95" customHeight="1">
      <c r="A65" s="15" t="s">
        <v>126</v>
      </c>
      <c r="B65" s="12" t="s">
        <v>21</v>
      </c>
      <c r="C65" s="12" t="s">
        <v>31</v>
      </c>
      <c r="D65" s="12" t="s">
        <v>104</v>
      </c>
      <c r="E65" s="12" t="s">
        <v>61</v>
      </c>
      <c r="F65" s="12" t="s">
        <v>38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/>
    </row>
    <row r="66" spans="1:10" ht="21.95" customHeight="1">
      <c r="A66" s="15" t="s">
        <v>127</v>
      </c>
      <c r="B66" s="12" t="s">
        <v>21</v>
      </c>
      <c r="C66" s="12" t="s">
        <v>31</v>
      </c>
      <c r="D66" s="12" t="s">
        <v>104</v>
      </c>
      <c r="E66" s="12" t="s">
        <v>61</v>
      </c>
      <c r="F66" s="12" t="s">
        <v>38</v>
      </c>
      <c r="G66" s="18">
        <v>576</v>
      </c>
      <c r="H66" s="21">
        <f>IF(SUMIFS(İndirimler!$C$2:$C$110,İndirimler!$A$2:$A$110,B66,İndirimler!$B$2:$B$110,C66)&gt;0,ROUND(G66*(1-SUMIFS(İndirimler!$C$2:$C$110,İndirimler!$A$2:$A$110,B66,İndirimler!$B$2:$B$110,C66)),2),"")</f>
        <v>489.6</v>
      </c>
      <c r="I66" s="24">
        <f>IF(SUMIFS(İndirimler!$D$2:$D$110,İndirimler!$A$2:$A$110,B66,İndirimler!$B$2:$B$110,C66)&gt;0,ROUND(G66*(1-SUMIFS(İndirimler!$D$2:$D$110,İndirimler!$A$2:$A$110,B66,İndirimler!$B$2:$B$110,C66)),2),"")</f>
        <v>403.2</v>
      </c>
      <c r="J66" s="12"/>
    </row>
    <row r="67" spans="1:10" ht="21.95" customHeight="1">
      <c r="A67" s="15" t="s">
        <v>128</v>
      </c>
      <c r="B67" s="12" t="s">
        <v>45</v>
      </c>
      <c r="C67" s="12" t="s">
        <v>31</v>
      </c>
      <c r="D67" s="12" t="s">
        <v>104</v>
      </c>
      <c r="E67" s="12" t="s">
        <v>129</v>
      </c>
      <c r="F67" s="12" t="s">
        <v>38</v>
      </c>
      <c r="G67" s="18">
        <v>840</v>
      </c>
      <c r="H67" s="21">
        <f>IF(SUMIFS(İndirimler!$C$2:$C$110,İndirimler!$A$2:$A$110,B67,İndirimler!$B$2:$B$110,C67)&gt;0,ROUND(G67*(1-SUMIFS(İndirimler!$C$2:$C$110,İndirimler!$A$2:$A$110,B67,İndirimler!$B$2:$B$110,C67)),2),"")</f>
        <v>714</v>
      </c>
      <c r="I67" s="24">
        <f>IF(SUMIFS(İndirimler!$D$2:$D$110,İndirimler!$A$2:$A$110,B67,İndirimler!$B$2:$B$110,C67)&gt;0,ROUND(G67*(1-SUMIFS(İndirimler!$D$2:$D$110,İndirimler!$A$2:$A$110,B67,İndirimler!$B$2:$B$110,C67)),2),"")</f>
        <v>588</v>
      </c>
      <c r="J67" s="12"/>
    </row>
    <row r="68" spans="1:10" ht="21.95" customHeight="1">
      <c r="A68" s="15" t="s">
        <v>130</v>
      </c>
      <c r="B68" s="12" t="s">
        <v>50</v>
      </c>
      <c r="C68" s="12" t="s">
        <v>31</v>
      </c>
      <c r="D68" s="12" t="s">
        <v>104</v>
      </c>
      <c r="E68" s="12" t="s">
        <v>61</v>
      </c>
      <c r="F68" s="12" t="s">
        <v>15</v>
      </c>
      <c r="G68" s="18">
        <v>498</v>
      </c>
      <c r="H68" s="21">
        <f>IF(SUMIFS(İndirimler!$C$2:$C$110,İndirimler!$A$2:$A$110,B68,İndirimler!$B$2:$B$110,C68)&gt;0,ROUND(G68*(1-SUMIFS(İndirimler!$C$2:$C$110,İndirimler!$A$2:$A$110,B68,İndirimler!$B$2:$B$110,C68)),2),"")</f>
        <v>423.3</v>
      </c>
      <c r="I68" s="24">
        <f>IF(SUMIFS(İndirimler!$D$2:$D$110,İndirimler!$A$2:$A$110,B68,İndirimler!$B$2:$B$110,C68)&gt;0,ROUND(G68*(1-SUMIFS(İndirimler!$D$2:$D$110,İndirimler!$A$2:$A$110,B68,İndirimler!$B$2:$B$110,C68)),2),"")</f>
        <v>348.6</v>
      </c>
      <c r="J68" s="12" t="s">
        <v>131</v>
      </c>
    </row>
    <row r="69" spans="1:10" ht="21.95" customHeight="1">
      <c r="A69" s="15" t="s">
        <v>132</v>
      </c>
      <c r="B69" s="12" t="s">
        <v>103</v>
      </c>
      <c r="C69" s="12" t="s">
        <v>31</v>
      </c>
      <c r="D69" s="12" t="s">
        <v>104</v>
      </c>
      <c r="E69" s="12"/>
      <c r="F69" s="12" t="s">
        <v>15</v>
      </c>
      <c r="G69" s="18">
        <v>479</v>
      </c>
      <c r="H69" s="21">
        <f>IF(SUMIFS(İndirimler!$C$2:$C$110,İndirimler!$A$2:$A$110,B69,İndirimler!$B$2:$B$110,C69)&gt;0,ROUND(G69*(1-SUMIFS(İndirimler!$C$2:$C$110,İndirimler!$A$2:$A$110,B69,İndirimler!$B$2:$B$110,C69)),2),"")</f>
        <v>407.15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335.3</v>
      </c>
      <c r="J69" s="12"/>
    </row>
    <row r="70" spans="1:10" ht="21.95" customHeight="1">
      <c r="A70" s="15" t="s">
        <v>133</v>
      </c>
      <c r="B70" s="12" t="s">
        <v>103</v>
      </c>
      <c r="C70" s="12" t="s">
        <v>31</v>
      </c>
      <c r="D70" s="12" t="s">
        <v>104</v>
      </c>
      <c r="E70" s="12" t="s">
        <v>134</v>
      </c>
      <c r="F70" s="12" t="s">
        <v>15</v>
      </c>
      <c r="G70" s="18">
        <v>505</v>
      </c>
      <c r="H70" s="21">
        <f>IF(SUMIFS(İndirimler!$C$2:$C$110,İndirimler!$A$2:$A$110,B70,İndirimler!$B$2:$B$110,C70)&gt;0,ROUND(G70*(1-SUMIFS(İndirimler!$C$2:$C$110,İndirimler!$A$2:$A$110,B70,İndirimler!$B$2:$B$110,C70)),2),"")</f>
        <v>429.25</v>
      </c>
      <c r="I70" s="24">
        <f>IF(SUMIFS(İndirimler!$D$2:$D$110,İndirimler!$A$2:$A$110,B70,İndirimler!$B$2:$B$110,C70)&gt;0,ROUND(G70*(1-SUMIFS(İndirimler!$D$2:$D$110,İndirimler!$A$2:$A$110,B70,İndirimler!$B$2:$B$110,C70)),2),"")</f>
        <v>353.5</v>
      </c>
      <c r="J70" s="12"/>
    </row>
    <row r="71" spans="1:10" ht="21.95" customHeight="1">
      <c r="A71" s="15" t="s">
        <v>135</v>
      </c>
      <c r="B71" s="12" t="s">
        <v>121</v>
      </c>
      <c r="C71" s="12" t="s">
        <v>31</v>
      </c>
      <c r="D71" s="12" t="s">
        <v>104</v>
      </c>
      <c r="E71" s="12" t="s">
        <v>61</v>
      </c>
      <c r="F71" s="12" t="s">
        <v>15</v>
      </c>
      <c r="G71" s="18">
        <v>608</v>
      </c>
      <c r="H71" s="21">
        <f>IF(SUMIFS(İndirimler!$C$2:$C$110,İndirimler!$A$2:$A$110,B71,İndirimler!$B$2:$B$110,C71)&gt;0,ROUND(G71*(1-SUMIFS(İndirimler!$C$2:$C$110,İndirimler!$A$2:$A$110,B71,İndirimler!$B$2:$B$110,C71)),2),"")</f>
        <v>516.79999999999995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425.6</v>
      </c>
      <c r="J71" s="12"/>
    </row>
    <row r="72" spans="1:10" ht="21.95" customHeight="1">
      <c r="A72" s="15" t="s">
        <v>136</v>
      </c>
      <c r="B72" s="12" t="s">
        <v>17</v>
      </c>
      <c r="C72" s="12" t="s">
        <v>31</v>
      </c>
      <c r="D72" s="12" t="s">
        <v>104</v>
      </c>
      <c r="E72" s="12"/>
      <c r="F72" s="12" t="s">
        <v>15</v>
      </c>
      <c r="G72" s="18">
        <v>619</v>
      </c>
      <c r="H72" s="21">
        <f>IF(SUMIFS(İndirimler!$C$2:$C$110,İndirimler!$A$2:$A$110,B72,İndirimler!$B$2:$B$110,C72)&gt;0,ROUND(G72*(1-SUMIFS(İndirimler!$C$2:$C$110,İndirimler!$A$2:$A$110,B72,İndirimler!$B$2:$B$110,C72)),2),"")</f>
        <v>526.15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433.3</v>
      </c>
      <c r="J72" s="12"/>
    </row>
    <row r="73" spans="1:10" ht="21.95" customHeight="1">
      <c r="A73" s="15" t="s">
        <v>137</v>
      </c>
      <c r="B73" s="12" t="s">
        <v>17</v>
      </c>
      <c r="C73" s="12" t="s">
        <v>31</v>
      </c>
      <c r="D73" s="12" t="s">
        <v>104</v>
      </c>
      <c r="E73" s="12" t="s">
        <v>37</v>
      </c>
      <c r="F73" s="12" t="s">
        <v>15</v>
      </c>
      <c r="G73" s="18">
        <v>799</v>
      </c>
      <c r="H73" s="21">
        <f>IF(SUMIFS(İndirimler!$C$2:$C$110,İndirimler!$A$2:$A$110,B73,İndirimler!$B$2:$B$110,C73)&gt;0,ROUND(G73*(1-SUMIFS(İndirimler!$C$2:$C$110,İndirimler!$A$2:$A$110,B73,İndirimler!$B$2:$B$110,C73)),2),"")</f>
        <v>679.15</v>
      </c>
      <c r="I73" s="24">
        <f>IF(SUMIFS(İndirimler!$D$2:$D$110,İndirimler!$A$2:$A$110,B73,İndirimler!$B$2:$B$110,C73)&gt;0,ROUND(G73*(1-SUMIFS(İndirimler!$D$2:$D$110,İndirimler!$A$2:$A$110,B73,İndirimler!$B$2:$B$110,C73)),2),"")</f>
        <v>559.29999999999995</v>
      </c>
      <c r="J73" s="12"/>
    </row>
    <row r="74" spans="1:10" ht="21.95" customHeight="1">
      <c r="A74" s="15" t="s">
        <v>138</v>
      </c>
      <c r="B74" s="12" t="s">
        <v>40</v>
      </c>
      <c r="C74" s="12" t="s">
        <v>31</v>
      </c>
      <c r="D74" s="12" t="s">
        <v>104</v>
      </c>
      <c r="E74" s="12" t="s">
        <v>139</v>
      </c>
      <c r="F74" s="12" t="s">
        <v>15</v>
      </c>
      <c r="G74" s="18">
        <v>428</v>
      </c>
      <c r="H74" s="21">
        <f>IF(SUMIFS(İndirimler!$C$2:$C$110,İndirimler!$A$2:$A$110,B74,İndirimler!$B$2:$B$110,C74)&gt;0,ROUND(G74*(1-SUMIFS(İndirimler!$C$2:$C$110,İndirimler!$A$2:$A$110,B74,İndirimler!$B$2:$B$110,C74)),2),"")</f>
        <v>363.8</v>
      </c>
      <c r="I74" s="24">
        <f>IF(SUMIFS(İndirimler!$D$2:$D$110,İndirimler!$A$2:$A$110,B74,İndirimler!$B$2:$B$110,C74)&gt;0,ROUND(G74*(1-SUMIFS(İndirimler!$D$2:$D$110,İndirimler!$A$2:$A$110,B74,İndirimler!$B$2:$B$110,C74)),2),"")</f>
        <v>299.60000000000002</v>
      </c>
      <c r="J74" s="12" t="s">
        <v>140</v>
      </c>
    </row>
    <row r="75" spans="1:10" ht="21.95" customHeight="1">
      <c r="A75" s="15" t="s">
        <v>141</v>
      </c>
      <c r="B75" s="12" t="s">
        <v>142</v>
      </c>
      <c r="C75" s="12" t="s">
        <v>31</v>
      </c>
      <c r="D75" s="12" t="s">
        <v>104</v>
      </c>
      <c r="E75" s="12" t="s">
        <v>37</v>
      </c>
      <c r="F75" s="12" t="s">
        <v>15</v>
      </c>
      <c r="G75" s="18">
        <v>455</v>
      </c>
      <c r="H75" s="21">
        <f>IF(SUMIFS(İndirimler!$C$2:$C$110,İndirimler!$A$2:$A$110,B75,İndirimler!$B$2:$B$110,C75)&gt;0,ROUND(G75*(1-SUMIFS(İndirimler!$C$2:$C$110,İndirimler!$A$2:$A$110,B75,İndirimler!$B$2:$B$110,C75)),2),"")</f>
        <v>386.75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318.5</v>
      </c>
      <c r="J75" s="12"/>
    </row>
    <row r="76" spans="1:10" ht="21.95" customHeight="1">
      <c r="A76" s="15" t="s">
        <v>143</v>
      </c>
      <c r="B76" s="12" t="s">
        <v>57</v>
      </c>
      <c r="C76" s="12" t="s">
        <v>31</v>
      </c>
      <c r="D76" s="12" t="s">
        <v>104</v>
      </c>
      <c r="E76" s="12" t="s">
        <v>58</v>
      </c>
      <c r="F76" s="12" t="s">
        <v>15</v>
      </c>
      <c r="G76" s="18">
        <v>545</v>
      </c>
      <c r="H76" s="21">
        <f>IF(SUMIFS(İndirimler!$C$2:$C$110,İndirimler!$A$2:$A$110,B76,İndirimler!$B$2:$B$110,C76)&gt;0,ROUND(G76*(1-SUMIFS(İndirimler!$C$2:$C$110,İndirimler!$A$2:$A$110,B76,İndirimler!$B$2:$B$110,C76)),2),"")</f>
        <v>463.25</v>
      </c>
      <c r="I76" s="24">
        <f>IF(SUMIFS(İndirimler!$D$2:$D$110,İndirimler!$A$2:$A$110,B76,İndirimler!$B$2:$B$110,C76)&gt;0,ROUND(G76*(1-SUMIFS(İndirimler!$D$2:$D$110,İndirimler!$A$2:$A$110,B76,İndirimler!$B$2:$B$110,C76)),2),"")</f>
        <v>381.5</v>
      </c>
      <c r="J76" s="12"/>
    </row>
    <row r="77" spans="1:10" ht="21.95" customHeight="1">
      <c r="A77" s="15" t="s">
        <v>144</v>
      </c>
      <c r="B77" s="12" t="s">
        <v>21</v>
      </c>
      <c r="C77" s="12" t="s">
        <v>31</v>
      </c>
      <c r="D77" s="12" t="s">
        <v>104</v>
      </c>
      <c r="E77" s="12" t="s">
        <v>61</v>
      </c>
      <c r="F77" s="12" t="s">
        <v>15</v>
      </c>
      <c r="G77" s="18">
        <v>676</v>
      </c>
      <c r="H77" s="21">
        <f>IF(SUMIFS(İndirimler!$C$2:$C$110,İndirimler!$A$2:$A$110,B77,İndirimler!$B$2:$B$110,C77)&gt;0,ROUND(G77*(1-SUMIFS(İndirimler!$C$2:$C$110,İndirimler!$A$2:$A$110,B77,İndirimler!$B$2:$B$110,C77)),2),"")</f>
        <v>574.6</v>
      </c>
      <c r="I77" s="24">
        <f>IF(SUMIFS(İndirimler!$D$2:$D$110,İndirimler!$A$2:$A$110,B77,İndirimler!$B$2:$B$110,C77)&gt;0,ROUND(G77*(1-SUMIFS(İndirimler!$D$2:$D$110,İndirimler!$A$2:$A$110,B77,İndirimler!$B$2:$B$110,C77)),2),"")</f>
        <v>473.2</v>
      </c>
      <c r="J77" s="12"/>
    </row>
    <row r="78" spans="1:10" ht="21.95" customHeight="1">
      <c r="A78" s="15" t="s">
        <v>145</v>
      </c>
      <c r="B78" s="12" t="s">
        <v>23</v>
      </c>
      <c r="C78" s="12" t="s">
        <v>31</v>
      </c>
      <c r="D78" s="12" t="s">
        <v>104</v>
      </c>
      <c r="E78" s="12" t="s">
        <v>26</v>
      </c>
      <c r="F78" s="12" t="s">
        <v>15</v>
      </c>
      <c r="G78" s="18">
        <v>500</v>
      </c>
      <c r="H78" s="21">
        <f>IF(SUMIFS(İndirimler!$C$2:$C$110,İndirimler!$A$2:$A$110,B78,İndirimler!$B$2:$B$110,C78)&gt;0,ROUND(G78*(1-SUMIFS(İndirimler!$C$2:$C$110,İndirimler!$A$2:$A$110,B78,İndirimler!$B$2:$B$110,C78)),2),"")</f>
        <v>425</v>
      </c>
      <c r="I78" s="24">
        <f>IF(SUMIFS(İndirimler!$D$2:$D$110,İndirimler!$A$2:$A$110,B78,İndirimler!$B$2:$B$110,C78)&gt;0,ROUND(G78*(1-SUMIFS(İndirimler!$D$2:$D$110,İndirimler!$A$2:$A$110,B78,İndirimler!$B$2:$B$110,C78)),2),"")</f>
        <v>350</v>
      </c>
      <c r="J78" s="12"/>
    </row>
    <row r="79" spans="1:10" ht="21.95" customHeight="1">
      <c r="A79" s="15" t="s">
        <v>146</v>
      </c>
      <c r="B79" s="12" t="s">
        <v>45</v>
      </c>
      <c r="C79" s="12" t="s">
        <v>31</v>
      </c>
      <c r="D79" s="12" t="s">
        <v>104</v>
      </c>
      <c r="E79" s="12" t="s">
        <v>61</v>
      </c>
      <c r="F79" s="12" t="s">
        <v>15</v>
      </c>
      <c r="G79" s="18">
        <v>686</v>
      </c>
      <c r="H79" s="21">
        <f>IF(SUMIFS(İndirimler!$C$2:$C$110,İndirimler!$A$2:$A$110,B79,İndirimler!$B$2:$B$110,C79)&gt;0,ROUND(G79*(1-SUMIFS(İndirimler!$C$2:$C$110,İndirimler!$A$2:$A$110,B79,İndirimler!$B$2:$B$110,C79)),2),"")</f>
        <v>583.1</v>
      </c>
      <c r="I79" s="24">
        <f>IF(SUMIFS(İndirimler!$D$2:$D$110,İndirimler!$A$2:$A$110,B79,İndirimler!$B$2:$B$110,C79)&gt;0,ROUND(G79*(1-SUMIFS(İndirimler!$D$2:$D$110,İndirimler!$A$2:$A$110,B79,İndirimler!$B$2:$B$110,C79)),2),"")</f>
        <v>480.2</v>
      </c>
      <c r="J79" s="12"/>
    </row>
    <row r="80" spans="1:10" ht="21.95" customHeight="1">
      <c r="A80" s="15" t="s">
        <v>147</v>
      </c>
      <c r="B80" s="12" t="s">
        <v>112</v>
      </c>
      <c r="C80" s="12" t="s">
        <v>31</v>
      </c>
      <c r="D80" s="12" t="s">
        <v>104</v>
      </c>
      <c r="E80" s="12"/>
      <c r="F80" s="12" t="s">
        <v>15</v>
      </c>
      <c r="G80" s="18">
        <v>579</v>
      </c>
      <c r="H80" s="21">
        <f>IF(SUMIFS(İndirimler!$C$2:$C$110,İndirimler!$A$2:$A$110,B80,İndirimler!$B$2:$B$110,C80)&gt;0,ROUND(G80*(1-SUMIFS(İndirimler!$C$2:$C$110,İndirimler!$A$2:$A$110,B80,İndirimler!$B$2:$B$110,C80)),2),"")</f>
        <v>492.15</v>
      </c>
      <c r="I80" s="24">
        <f>IF(SUMIFS(İndirimler!$D$2:$D$110,İndirimler!$A$2:$A$110,B80,İndirimler!$B$2:$B$110,C80)&gt;0,ROUND(G80*(1-SUMIFS(İndirimler!$D$2:$D$110,İndirimler!$A$2:$A$110,B80,İndirimler!$B$2:$B$110,C80)),2),"")</f>
        <v>405.3</v>
      </c>
      <c r="J80" s="12"/>
    </row>
    <row r="81" spans="1:10" ht="21.95" customHeight="1">
      <c r="A81" s="15" t="s">
        <v>148</v>
      </c>
      <c r="B81" s="12" t="s">
        <v>118</v>
      </c>
      <c r="C81" s="12" t="s">
        <v>31</v>
      </c>
      <c r="D81" s="12" t="s">
        <v>104</v>
      </c>
      <c r="E81" s="12"/>
      <c r="F81" s="12" t="s">
        <v>15</v>
      </c>
      <c r="G81" s="18">
        <v>385</v>
      </c>
      <c r="H81" s="21">
        <f>IF(SUMIFS(İndirimler!$C$2:$C$110,İndirimler!$A$2:$A$110,B81,İndirimler!$B$2:$B$110,C81)&gt;0,ROUND(G81*(1-SUMIFS(İndirimler!$C$2:$C$110,İndirimler!$A$2:$A$110,B81,İndirimler!$B$2:$B$110,C81)),2),"")</f>
        <v>327.25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269.5</v>
      </c>
      <c r="J81" s="12"/>
    </row>
    <row r="82" spans="1:10" ht="21.95" customHeight="1">
      <c r="A82" s="15" t="s">
        <v>149</v>
      </c>
      <c r="B82" s="12" t="s">
        <v>35</v>
      </c>
      <c r="C82" s="12" t="s">
        <v>31</v>
      </c>
      <c r="D82" s="12" t="s">
        <v>104</v>
      </c>
      <c r="E82" s="12" t="s">
        <v>61</v>
      </c>
      <c r="F82" s="12" t="s">
        <v>15</v>
      </c>
      <c r="G82" s="18">
        <v>500</v>
      </c>
      <c r="H82" s="21">
        <f>IF(SUMIFS(İndirimler!$C$2:$C$110,İndirimler!$A$2:$A$110,B82,İndirimler!$B$2:$B$110,C82)&gt;0,ROUND(G82*(1-SUMIFS(İndirimler!$C$2:$C$110,İndirimler!$A$2:$A$110,B82,İndirimler!$B$2:$B$110,C82)),2),"")</f>
        <v>425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350</v>
      </c>
      <c r="J82" s="12"/>
    </row>
    <row r="83" spans="1:10" ht="21.95" customHeight="1">
      <c r="A83" s="15" t="s">
        <v>150</v>
      </c>
      <c r="B83" s="12" t="s">
        <v>64</v>
      </c>
      <c r="C83" s="12" t="s">
        <v>31</v>
      </c>
      <c r="D83" s="12" t="s">
        <v>104</v>
      </c>
      <c r="E83" s="12"/>
      <c r="F83" s="12" t="s">
        <v>65</v>
      </c>
      <c r="G83" s="18">
        <v>455</v>
      </c>
      <c r="H83" s="21">
        <f>IF(SUMIFS(İndirimler!$C$2:$C$110,İndirimler!$A$2:$A$110,B83,İndirimler!$B$2:$B$110,C83)&gt;0,ROUND(G83*(1-SUMIFS(İndirimler!$C$2:$C$110,İndirimler!$A$2:$A$110,B83,İndirimler!$B$2:$B$110,C83)),2),"")</f>
        <v>386.75</v>
      </c>
      <c r="I83" s="24">
        <f>IF(SUMIFS(İndirimler!$D$2:$D$110,İndirimler!$A$2:$A$110,B83,İndirimler!$B$2:$B$110,C83)&gt;0,ROUND(G83*(1-SUMIFS(İndirimler!$D$2:$D$110,İndirimler!$A$2:$A$110,B83,İndirimler!$B$2:$B$110,C83)),2),"")</f>
        <v>318.5</v>
      </c>
      <c r="J83" s="12"/>
    </row>
    <row r="84" spans="1:10" ht="21.95" customHeight="1">
      <c r="A84" s="15" t="s">
        <v>151</v>
      </c>
      <c r="B84" s="12" t="s">
        <v>103</v>
      </c>
      <c r="C84" s="12" t="s">
        <v>68</v>
      </c>
      <c r="D84" s="12" t="s">
        <v>104</v>
      </c>
      <c r="E84" s="12" t="s">
        <v>37</v>
      </c>
      <c r="F84" s="12" t="s">
        <v>33</v>
      </c>
      <c r="G84" s="18">
        <v>689</v>
      </c>
      <c r="H84" s="21">
        <f>IF(SUMIFS(İndirimler!$C$2:$C$110,İndirimler!$A$2:$A$110,B84,İndirimler!$B$2:$B$110,C84)&gt;0,ROUND(G84*(1-SUMIFS(İndirimler!$C$2:$C$110,İndirimler!$A$2:$A$110,B84,İndirimler!$B$2:$B$110,C84)),2),"")</f>
        <v>585.65</v>
      </c>
      <c r="I84" s="24">
        <f>IF(SUMIFS(İndirimler!$D$2:$D$110,İndirimler!$A$2:$A$110,B84,İndirimler!$B$2:$B$110,C84)&gt;0,ROUND(G84*(1-SUMIFS(İndirimler!$D$2:$D$110,İndirimler!$A$2:$A$110,B84,İndirimler!$B$2:$B$110,C84)),2),"")</f>
        <v>482.3</v>
      </c>
      <c r="J84" s="12"/>
    </row>
    <row r="85" spans="1:10" ht="21.95" customHeight="1">
      <c r="A85" s="15" t="s">
        <v>152</v>
      </c>
      <c r="B85" s="12" t="s">
        <v>107</v>
      </c>
      <c r="C85" s="12" t="s">
        <v>68</v>
      </c>
      <c r="D85" s="12" t="s">
        <v>104</v>
      </c>
      <c r="E85" s="12" t="s">
        <v>108</v>
      </c>
      <c r="F85" s="12" t="s">
        <v>33</v>
      </c>
      <c r="G85" s="18">
        <v>500</v>
      </c>
      <c r="H85" s="21">
        <f>IF(SUMIFS(İndirimler!$C$2:$C$110,İndirimler!$A$2:$A$110,B85,İndirimler!$B$2:$B$110,C85)&gt;0,ROUND(G85*(1-SUMIFS(İndirimler!$C$2:$C$110,İndirimler!$A$2:$A$110,B85,İndirimler!$B$2:$B$110,C85)),2),"")</f>
        <v>425</v>
      </c>
      <c r="I85" s="24">
        <f>IF(SUMIFS(İndirimler!$D$2:$D$110,İndirimler!$A$2:$A$110,B85,İndirimler!$B$2:$B$110,C85)&gt;0,ROUND(G85*(1-SUMIFS(İndirimler!$D$2:$D$110,İndirimler!$A$2:$A$110,B85,İndirimler!$B$2:$B$110,C85)),2),"")</f>
        <v>350</v>
      </c>
      <c r="J85" s="12"/>
    </row>
    <row r="86" spans="1:10" ht="21.95" customHeight="1">
      <c r="A86" s="15" t="s">
        <v>153</v>
      </c>
      <c r="B86" s="12" t="s">
        <v>23</v>
      </c>
      <c r="C86" s="12" t="s">
        <v>68</v>
      </c>
      <c r="D86" s="12" t="s">
        <v>104</v>
      </c>
      <c r="E86" s="12" t="s">
        <v>110</v>
      </c>
      <c r="F86" s="12" t="s">
        <v>33</v>
      </c>
      <c r="G86" s="18">
        <v>879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747.15</v>
      </c>
      <c r="I86" s="24">
        <f>IF(SUMIFS(İndirimler!$D$2:$D$110,İndirimler!$A$2:$A$110,B86,İndirimler!$B$2:$B$110,C86)&gt;0,ROUND(G86*(1-SUMIFS(İndirimler!$D$2:$D$110,İndirimler!$A$2:$A$110,B86,İndirimler!$B$2:$B$110,C86)),2),"")</f>
        <v>615.29999999999995</v>
      </c>
      <c r="J86" s="12"/>
    </row>
    <row r="87" spans="1:10" ht="21.95" customHeight="1">
      <c r="A87" s="15" t="s">
        <v>154</v>
      </c>
      <c r="B87" s="12" t="s">
        <v>112</v>
      </c>
      <c r="C87" s="12" t="s">
        <v>68</v>
      </c>
      <c r="D87" s="12" t="s">
        <v>104</v>
      </c>
      <c r="E87" s="12" t="s">
        <v>113</v>
      </c>
      <c r="F87" s="12" t="s">
        <v>33</v>
      </c>
      <c r="G87" s="18">
        <v>849</v>
      </c>
      <c r="H87" s="21">
        <f>IF(SUMIFS(İndirimler!$C$2:$C$110,İndirimler!$A$2:$A$110,B87,İndirimler!$B$2:$B$110,C87)&gt;0,ROUND(G87*(1-SUMIFS(İndirimler!$C$2:$C$110,İndirimler!$A$2:$A$110,B87,İndirimler!$B$2:$B$110,C87)),2),"")</f>
        <v>721.65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594.29999999999995</v>
      </c>
      <c r="J87" s="12"/>
    </row>
    <row r="88" spans="1:10" ht="21.95" customHeight="1">
      <c r="A88" s="15" t="s">
        <v>155</v>
      </c>
      <c r="B88" s="12" t="s">
        <v>30</v>
      </c>
      <c r="C88" s="12" t="s">
        <v>68</v>
      </c>
      <c r="D88" s="12" t="s">
        <v>104</v>
      </c>
      <c r="E88" s="12"/>
      <c r="F88" s="12" t="s">
        <v>33</v>
      </c>
      <c r="G88" s="18">
        <v>739</v>
      </c>
      <c r="H88" s="21">
        <f>IF(SUMIFS(İndirimler!$C$2:$C$110,İndirimler!$A$2:$A$110,B88,İndirimler!$B$2:$B$110,C88)&gt;0,ROUND(G88*(1-SUMIFS(İndirimler!$C$2:$C$110,İndirimler!$A$2:$A$110,B88,İndirimler!$B$2:$B$110,C88)),2),"")</f>
        <v>628.15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517.29999999999995</v>
      </c>
      <c r="J88" s="12"/>
    </row>
    <row r="89" spans="1:10" ht="21.95" customHeight="1">
      <c r="A89" s="15" t="s">
        <v>156</v>
      </c>
      <c r="B89" s="12" t="s">
        <v>118</v>
      </c>
      <c r="C89" s="12" t="s">
        <v>68</v>
      </c>
      <c r="D89" s="12" t="s">
        <v>104</v>
      </c>
      <c r="E89" s="12"/>
      <c r="F89" s="12" t="s">
        <v>33</v>
      </c>
      <c r="G89" s="18">
        <v>755</v>
      </c>
      <c r="H89" s="21">
        <f>IF(SUMIFS(İndirimler!$C$2:$C$110,İndirimler!$A$2:$A$110,B89,İndirimler!$B$2:$B$110,C89)&gt;0,ROUND(G89*(1-SUMIFS(İndirimler!$C$2:$C$110,İndirimler!$A$2:$A$110,B89,İndirimler!$B$2:$B$110,C89)),2),"")</f>
        <v>641.75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528.5</v>
      </c>
      <c r="J89" s="12"/>
    </row>
    <row r="90" spans="1:10" ht="21.95" customHeight="1">
      <c r="A90" s="15" t="s">
        <v>157</v>
      </c>
      <c r="B90" s="12" t="s">
        <v>35</v>
      </c>
      <c r="C90" s="12" t="s">
        <v>68</v>
      </c>
      <c r="D90" s="12" t="s">
        <v>104</v>
      </c>
      <c r="E90" s="12"/>
      <c r="F90" s="12" t="s">
        <v>33</v>
      </c>
      <c r="G90" s="18">
        <v>779</v>
      </c>
      <c r="H90" s="21">
        <f>IF(SUMIFS(İndirimler!$C$2:$C$110,İndirimler!$A$2:$A$110,B90,İndirimler!$B$2:$B$110,C90)&gt;0,ROUND(G90*(1-SUMIFS(İndirimler!$C$2:$C$110,İndirimler!$A$2:$A$110,B90,İndirimler!$B$2:$B$110,C90)),2),"")</f>
        <v>662.15</v>
      </c>
      <c r="I90" s="24">
        <f>IF(SUMIFS(İndirimler!$D$2:$D$110,İndirimler!$A$2:$A$110,B90,İndirimler!$B$2:$B$110,C90)&gt;0,ROUND(G90*(1-SUMIFS(İndirimler!$D$2:$D$110,İndirimler!$A$2:$A$110,B90,İndirimler!$B$2:$B$110,C90)),2),"")</f>
        <v>545.29999999999995</v>
      </c>
      <c r="J90" s="12"/>
    </row>
    <row r="91" spans="1:10" ht="21.95" customHeight="1">
      <c r="A91" s="15" t="s">
        <v>158</v>
      </c>
      <c r="B91" s="12" t="s">
        <v>121</v>
      </c>
      <c r="C91" s="12" t="s">
        <v>68</v>
      </c>
      <c r="D91" s="12" t="s">
        <v>104</v>
      </c>
      <c r="E91" s="12" t="s">
        <v>122</v>
      </c>
      <c r="F91" s="12" t="s">
        <v>38</v>
      </c>
      <c r="G91" s="18">
        <v>592</v>
      </c>
      <c r="H91" s="21">
        <f>IF(SUMIFS(İndirimler!$C$2:$C$110,İndirimler!$A$2:$A$110,B91,İndirimler!$B$2:$B$110,C91)&gt;0,ROUND(G91*(1-SUMIFS(İndirimler!$C$2:$C$110,İndirimler!$A$2:$A$110,B91,İndirimler!$B$2:$B$110,C91)),2),"")</f>
        <v>503.2</v>
      </c>
      <c r="I91" s="24">
        <f>IF(SUMIFS(İndirimler!$D$2:$D$110,İndirimler!$A$2:$A$110,B91,İndirimler!$B$2:$B$110,C91)&gt;0,ROUND(G91*(1-SUMIFS(İndirimler!$D$2:$D$110,İndirimler!$A$2:$A$110,B91,İndirimler!$B$2:$B$110,C91)),2),"")</f>
        <v>414.4</v>
      </c>
      <c r="J91" s="12"/>
    </row>
    <row r="92" spans="1:10" ht="21.95" customHeight="1">
      <c r="A92" s="15" t="s">
        <v>159</v>
      </c>
      <c r="B92" s="12" t="s">
        <v>40</v>
      </c>
      <c r="C92" s="12" t="s">
        <v>68</v>
      </c>
      <c r="D92" s="12" t="s">
        <v>104</v>
      </c>
      <c r="E92" s="12" t="s">
        <v>124</v>
      </c>
      <c r="F92" s="12" t="s">
        <v>38</v>
      </c>
      <c r="G92" s="18">
        <v>428</v>
      </c>
      <c r="H92" s="21">
        <f>IF(SUMIFS(İndirimler!$C$2:$C$110,İndirimler!$A$2:$A$110,B92,İndirimler!$B$2:$B$110,C92)&gt;0,ROUND(G92*(1-SUMIFS(İndirimler!$C$2:$C$110,İndirimler!$A$2:$A$110,B92,İndirimler!$B$2:$B$110,C92)),2),"")</f>
        <v>363.8</v>
      </c>
      <c r="I92" s="24">
        <f>IF(SUMIFS(İndirimler!$D$2:$D$110,İndirimler!$A$2:$A$110,B92,İndirimler!$B$2:$B$110,C92)&gt;0,ROUND(G92*(1-SUMIFS(İndirimler!$D$2:$D$110,İndirimler!$A$2:$A$110,B92,İndirimler!$B$2:$B$110,C92)),2),"")</f>
        <v>299.60000000000002</v>
      </c>
      <c r="J92" s="12" t="s">
        <v>160</v>
      </c>
    </row>
    <row r="93" spans="1:10" ht="21.95" customHeight="1">
      <c r="A93" s="15" t="s">
        <v>161</v>
      </c>
      <c r="B93" s="12" t="s">
        <v>21</v>
      </c>
      <c r="C93" s="12" t="s">
        <v>68</v>
      </c>
      <c r="D93" s="12" t="s">
        <v>104</v>
      </c>
      <c r="E93" s="12" t="s">
        <v>61</v>
      </c>
      <c r="F93" s="12" t="s">
        <v>38</v>
      </c>
      <c r="G93" s="18">
        <v>678</v>
      </c>
      <c r="H93" s="21">
        <f>IF(SUMIFS(İndirimler!$C$2:$C$110,İndirimler!$A$2:$A$110,B93,İndirimler!$B$2:$B$110,C93)&gt;0,ROUND(G93*(1-SUMIFS(İndirimler!$C$2:$C$110,İndirimler!$A$2:$A$110,B93,İndirimler!$B$2:$B$110,C93)),2),"")</f>
        <v>576.29999999999995</v>
      </c>
      <c r="I93" s="24">
        <f>IF(SUMIFS(İndirimler!$D$2:$D$110,İndirimler!$A$2:$A$110,B93,İndirimler!$B$2:$B$110,C93)&gt;0,ROUND(G93*(1-SUMIFS(İndirimler!$D$2:$D$110,İndirimler!$A$2:$A$110,B93,İndirimler!$B$2:$B$110,C93)),2),"")</f>
        <v>474.6</v>
      </c>
      <c r="J93" s="12"/>
    </row>
    <row r="94" spans="1:10" ht="21.95" customHeight="1">
      <c r="A94" s="15" t="s">
        <v>162</v>
      </c>
      <c r="B94" s="12" t="s">
        <v>45</v>
      </c>
      <c r="C94" s="12" t="s">
        <v>68</v>
      </c>
      <c r="D94" s="12" t="s">
        <v>104</v>
      </c>
      <c r="E94" s="12" t="s">
        <v>129</v>
      </c>
      <c r="F94" s="12" t="s">
        <v>38</v>
      </c>
      <c r="G94" s="18">
        <v>840</v>
      </c>
      <c r="H94" s="21">
        <f>IF(SUMIFS(İndirimler!$C$2:$C$110,İndirimler!$A$2:$A$110,B94,İndirimler!$B$2:$B$110,C94)&gt;0,ROUND(G94*(1-SUMIFS(İndirimler!$C$2:$C$110,İndirimler!$A$2:$A$110,B94,İndirimler!$B$2:$B$110,C94)),2),"")</f>
        <v>714</v>
      </c>
      <c r="I94" s="24">
        <f>IF(SUMIFS(İndirimler!$D$2:$D$110,İndirimler!$A$2:$A$110,B94,İndirimler!$B$2:$B$110,C94)&gt;0,ROUND(G94*(1-SUMIFS(İndirimler!$D$2:$D$110,İndirimler!$A$2:$A$110,B94,İndirimler!$B$2:$B$110,C94)),2),"")</f>
        <v>588</v>
      </c>
      <c r="J94" s="12"/>
    </row>
    <row r="95" spans="1:10" ht="21.95" customHeight="1">
      <c r="A95" s="15" t="s">
        <v>163</v>
      </c>
      <c r="B95" s="12" t="s">
        <v>50</v>
      </c>
      <c r="C95" s="12" t="s">
        <v>68</v>
      </c>
      <c r="D95" s="12" t="s">
        <v>104</v>
      </c>
      <c r="E95" s="12" t="s">
        <v>61</v>
      </c>
      <c r="F95" s="12" t="s">
        <v>15</v>
      </c>
      <c r="G95" s="18">
        <v>498</v>
      </c>
      <c r="H95" s="21">
        <f>IF(SUMIFS(İndirimler!$C$2:$C$110,İndirimler!$A$2:$A$110,B95,İndirimler!$B$2:$B$110,C95)&gt;0,ROUND(G95*(1-SUMIFS(İndirimler!$C$2:$C$110,İndirimler!$A$2:$A$110,B95,İndirimler!$B$2:$B$110,C95)),2),"")</f>
        <v>423.3</v>
      </c>
      <c r="I95" s="24">
        <f>IF(SUMIFS(İndirimler!$D$2:$D$110,İndirimler!$A$2:$A$110,B95,İndirimler!$B$2:$B$110,C95)&gt;0,ROUND(G95*(1-SUMIFS(İndirimler!$D$2:$D$110,İndirimler!$A$2:$A$110,B95,İndirimler!$B$2:$B$110,C95)),2),"")</f>
        <v>348.6</v>
      </c>
      <c r="J95" s="12" t="s">
        <v>164</v>
      </c>
    </row>
    <row r="96" spans="1:10" ht="21.95" customHeight="1">
      <c r="A96" s="15" t="s">
        <v>165</v>
      </c>
      <c r="B96" s="12" t="s">
        <v>103</v>
      </c>
      <c r="C96" s="12" t="s">
        <v>68</v>
      </c>
      <c r="D96" s="12" t="s">
        <v>104</v>
      </c>
      <c r="E96" s="12"/>
      <c r="F96" s="12" t="s">
        <v>15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</row>
    <row r="97" spans="1:10" ht="21.95" customHeight="1">
      <c r="A97" s="15" t="s">
        <v>166</v>
      </c>
      <c r="B97" s="12" t="s">
        <v>103</v>
      </c>
      <c r="C97" s="12" t="s">
        <v>68</v>
      </c>
      <c r="D97" s="12" t="s">
        <v>104</v>
      </c>
      <c r="E97" s="12" t="s">
        <v>134</v>
      </c>
      <c r="F97" s="12" t="s">
        <v>15</v>
      </c>
      <c r="G97" s="18">
        <v>465</v>
      </c>
      <c r="H97" s="21">
        <f>IF(SUMIFS(İndirimler!$C$2:$C$110,İndirimler!$A$2:$A$110,B97,İndirimler!$B$2:$B$110,C97)&gt;0,ROUND(G97*(1-SUMIFS(İndirimler!$C$2:$C$110,İndirimler!$A$2:$A$110,B97,İndirimler!$B$2:$B$110,C97)),2),"")</f>
        <v>395.25</v>
      </c>
      <c r="I97" s="24">
        <f>IF(SUMIFS(İndirimler!$D$2:$D$110,İndirimler!$A$2:$A$110,B97,İndirimler!$B$2:$B$110,C97)&gt;0,ROUND(G97*(1-SUMIFS(İndirimler!$D$2:$D$110,İndirimler!$A$2:$A$110,B97,İndirimler!$B$2:$B$110,C97)),2),"")</f>
        <v>325.5</v>
      </c>
      <c r="J97" s="12"/>
    </row>
    <row r="98" spans="1:10" ht="21.95" customHeight="1">
      <c r="A98" s="15" t="s">
        <v>167</v>
      </c>
      <c r="B98" s="12" t="s">
        <v>121</v>
      </c>
      <c r="C98" s="12" t="s">
        <v>68</v>
      </c>
      <c r="D98" s="12" t="s">
        <v>104</v>
      </c>
      <c r="E98" s="12" t="s">
        <v>61</v>
      </c>
      <c r="F98" s="12" t="s">
        <v>15</v>
      </c>
      <c r="G98" s="18">
        <v>512</v>
      </c>
      <c r="H98" s="21">
        <f>IF(SUMIFS(İndirimler!$C$2:$C$110,İndirimler!$A$2:$A$110,B98,İndirimler!$B$2:$B$110,C98)&gt;0,ROUND(G98*(1-SUMIFS(İndirimler!$C$2:$C$110,İndirimler!$A$2:$A$110,B98,İndirimler!$B$2:$B$110,C98)),2),"")</f>
        <v>435.2</v>
      </c>
      <c r="I98" s="24">
        <f>IF(SUMIFS(İndirimler!$D$2:$D$110,İndirimler!$A$2:$A$110,B98,İndirimler!$B$2:$B$110,C98)&gt;0,ROUND(G98*(1-SUMIFS(İndirimler!$D$2:$D$110,İndirimler!$A$2:$A$110,B98,İndirimler!$B$2:$B$110,C98)),2),"")</f>
        <v>358.4</v>
      </c>
      <c r="J98" s="12"/>
    </row>
    <row r="99" spans="1:10" ht="21.95" customHeight="1">
      <c r="A99" s="15" t="s">
        <v>168</v>
      </c>
      <c r="B99" s="12" t="s">
        <v>17</v>
      </c>
      <c r="C99" s="12" t="s">
        <v>68</v>
      </c>
      <c r="D99" s="12" t="s">
        <v>104</v>
      </c>
      <c r="E99" s="12"/>
      <c r="F99" s="12" t="s">
        <v>15</v>
      </c>
      <c r="G99" s="18">
        <v>685</v>
      </c>
      <c r="H99" s="21">
        <f>IF(SUMIFS(İndirimler!$C$2:$C$110,İndirimler!$A$2:$A$110,B99,İndirimler!$B$2:$B$110,C99)&gt;0,ROUND(G99*(1-SUMIFS(İndirimler!$C$2:$C$110,İndirimler!$A$2:$A$110,B99,İndirimler!$B$2:$B$110,C99)),2),"")</f>
        <v>582.25</v>
      </c>
      <c r="I99" s="24">
        <f>IF(SUMIFS(İndirimler!$D$2:$D$110,İndirimler!$A$2:$A$110,B99,İndirimler!$B$2:$B$110,C99)&gt;0,ROUND(G99*(1-SUMIFS(İndirimler!$D$2:$D$110,İndirimler!$A$2:$A$110,B99,İndirimler!$B$2:$B$110,C99)),2),"")</f>
        <v>479.5</v>
      </c>
      <c r="J99" s="12"/>
    </row>
    <row r="100" spans="1:10" ht="21.95" customHeight="1">
      <c r="A100" s="15" t="s">
        <v>169</v>
      </c>
      <c r="B100" s="12" t="s">
        <v>17</v>
      </c>
      <c r="C100" s="12" t="s">
        <v>68</v>
      </c>
      <c r="D100" s="12" t="s">
        <v>104</v>
      </c>
      <c r="E100" s="12" t="s">
        <v>37</v>
      </c>
      <c r="F100" s="12" t="s">
        <v>15</v>
      </c>
      <c r="G100" s="18">
        <v>819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696.15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573.29999999999995</v>
      </c>
      <c r="J100" s="12"/>
    </row>
    <row r="101" spans="1:10" ht="21.95" customHeight="1">
      <c r="A101" s="15" t="s">
        <v>170</v>
      </c>
      <c r="B101" s="12" t="s">
        <v>40</v>
      </c>
      <c r="C101" s="12" t="s">
        <v>68</v>
      </c>
      <c r="D101" s="12" t="s">
        <v>104</v>
      </c>
      <c r="E101" s="12" t="s">
        <v>139</v>
      </c>
      <c r="F101" s="12" t="s">
        <v>15</v>
      </c>
      <c r="G101" s="18">
        <v>428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363.8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299.60000000000002</v>
      </c>
      <c r="J101" s="12" t="s">
        <v>171</v>
      </c>
    </row>
    <row r="102" spans="1:10" ht="21.95" customHeight="1">
      <c r="A102" s="15" t="s">
        <v>172</v>
      </c>
      <c r="B102" s="12" t="s">
        <v>142</v>
      </c>
      <c r="C102" s="12" t="s">
        <v>68</v>
      </c>
      <c r="D102" s="12" t="s">
        <v>104</v>
      </c>
      <c r="E102" s="12"/>
      <c r="F102" s="12" t="s">
        <v>15</v>
      </c>
      <c r="G102" s="18">
        <v>499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424.15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349.3</v>
      </c>
      <c r="J102" s="12"/>
    </row>
    <row r="103" spans="1:10" ht="21.95" customHeight="1">
      <c r="A103" s="15" t="s">
        <v>173</v>
      </c>
      <c r="B103" s="12" t="s">
        <v>57</v>
      </c>
      <c r="C103" s="12" t="s">
        <v>68</v>
      </c>
      <c r="D103" s="12" t="s">
        <v>104</v>
      </c>
      <c r="E103" s="12" t="s">
        <v>58</v>
      </c>
      <c r="F103" s="12" t="s">
        <v>15</v>
      </c>
      <c r="G103" s="18">
        <v>569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483.65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398.3</v>
      </c>
      <c r="J103" s="12"/>
    </row>
    <row r="104" spans="1:10" ht="21.95" customHeight="1">
      <c r="A104" s="15" t="s">
        <v>174</v>
      </c>
      <c r="B104" s="12" t="s">
        <v>21</v>
      </c>
      <c r="C104" s="12" t="s">
        <v>68</v>
      </c>
      <c r="D104" s="12" t="s">
        <v>104</v>
      </c>
      <c r="E104" s="12" t="s">
        <v>61</v>
      </c>
      <c r="F104" s="12" t="s">
        <v>15</v>
      </c>
      <c r="G104" s="18">
        <v>670</v>
      </c>
      <c r="H104" s="21">
        <f>IF(SUMIFS(İndirimler!$C$2:$C$110,İndirimler!$A$2:$A$110,B104,İndirimler!$B$2:$B$110,C104)&gt;0,ROUND(G104*(1-SUMIFS(İndirimler!$C$2:$C$110,İndirimler!$A$2:$A$110,B104,İndirimler!$B$2:$B$110,C104)),2),"")</f>
        <v>569.5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469</v>
      </c>
      <c r="J104" s="12"/>
    </row>
    <row r="105" spans="1:10" ht="21.95" customHeight="1">
      <c r="A105" s="15" t="s">
        <v>175</v>
      </c>
      <c r="B105" s="12" t="s">
        <v>23</v>
      </c>
      <c r="C105" s="12" t="s">
        <v>68</v>
      </c>
      <c r="D105" s="12" t="s">
        <v>104</v>
      </c>
      <c r="E105" s="12" t="s">
        <v>26</v>
      </c>
      <c r="F105" s="12" t="s">
        <v>15</v>
      </c>
      <c r="G105" s="18">
        <v>500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425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350</v>
      </c>
      <c r="J105" s="12"/>
    </row>
    <row r="106" spans="1:10" ht="21.95" customHeight="1">
      <c r="A106" s="15" t="s">
        <v>176</v>
      </c>
      <c r="B106" s="12" t="s">
        <v>45</v>
      </c>
      <c r="C106" s="12" t="s">
        <v>68</v>
      </c>
      <c r="D106" s="12" t="s">
        <v>104</v>
      </c>
      <c r="E106" s="12" t="s">
        <v>61</v>
      </c>
      <c r="F106" s="12" t="s">
        <v>15</v>
      </c>
      <c r="G106" s="18">
        <v>616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523.6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431.2</v>
      </c>
      <c r="J106" s="12"/>
    </row>
    <row r="107" spans="1:10" ht="21.95" customHeight="1">
      <c r="A107" s="15" t="s">
        <v>177</v>
      </c>
      <c r="B107" s="12" t="s">
        <v>112</v>
      </c>
      <c r="C107" s="12" t="s">
        <v>68</v>
      </c>
      <c r="D107" s="12" t="s">
        <v>104</v>
      </c>
      <c r="E107" s="12"/>
      <c r="F107" s="12" t="s">
        <v>15</v>
      </c>
      <c r="G107" s="18">
        <v>669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568.65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468.3</v>
      </c>
      <c r="J107" s="12"/>
    </row>
    <row r="108" spans="1:10" ht="21.95" customHeight="1">
      <c r="A108" s="15" t="s">
        <v>178</v>
      </c>
      <c r="B108" s="12" t="s">
        <v>118</v>
      </c>
      <c r="C108" s="12" t="s">
        <v>68</v>
      </c>
      <c r="D108" s="12" t="s">
        <v>104</v>
      </c>
      <c r="E108" s="12"/>
      <c r="F108" s="12" t="s">
        <v>15</v>
      </c>
      <c r="G108" s="18">
        <v>385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327.25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269.5</v>
      </c>
      <c r="J108" s="12"/>
    </row>
    <row r="109" spans="1:10" ht="21.95" customHeight="1">
      <c r="A109" s="15" t="s">
        <v>179</v>
      </c>
      <c r="B109" s="12" t="s">
        <v>35</v>
      </c>
      <c r="C109" s="12" t="s">
        <v>68</v>
      </c>
      <c r="D109" s="12" t="s">
        <v>104</v>
      </c>
      <c r="E109" s="12" t="s">
        <v>61</v>
      </c>
      <c r="F109" s="12" t="s">
        <v>15</v>
      </c>
      <c r="G109" s="18">
        <v>519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441.15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363.3</v>
      </c>
      <c r="J109" s="12"/>
    </row>
    <row r="110" spans="1:10" ht="21.95" customHeight="1">
      <c r="A110" s="15" t="s">
        <v>180</v>
      </c>
      <c r="B110" s="12" t="s">
        <v>64</v>
      </c>
      <c r="C110" s="12" t="s">
        <v>68</v>
      </c>
      <c r="D110" s="12" t="s">
        <v>104</v>
      </c>
      <c r="E110" s="12"/>
      <c r="F110" s="12" t="s">
        <v>65</v>
      </c>
      <c r="G110" s="18">
        <v>385</v>
      </c>
      <c r="H110" s="21">
        <f>IF(SUMIFS(İndirimler!$C$2:$C$110,İndirimler!$A$2:$A$110,B110,İndirimler!$B$2:$B$110,C110)&gt;0,ROUND(G110*(1-SUMIFS(İndirimler!$C$2:$C$110,İndirimler!$A$2:$A$110,B110,İndirimler!$B$2:$B$110,C110)),2),"")</f>
        <v>327.25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269.5</v>
      </c>
      <c r="J110" s="12"/>
    </row>
    <row r="111" spans="1:10" ht="21.95" customHeight="1">
      <c r="A111" s="15" t="s">
        <v>181</v>
      </c>
      <c r="B111" s="12" t="s">
        <v>103</v>
      </c>
      <c r="C111" s="12" t="s">
        <v>87</v>
      </c>
      <c r="D111" s="12" t="s">
        <v>104</v>
      </c>
      <c r="E111" s="12"/>
      <c r="F111" s="12" t="s">
        <v>33</v>
      </c>
      <c r="G111" s="18">
        <v>500</v>
      </c>
      <c r="H111" s="21">
        <f>IF(SUMIFS(İndirimler!$C$2:$C$110,İndirimler!$A$2:$A$110,B111,İndirimler!$B$2:$B$110,C111)&gt;0,ROUND(G111*(1-SUMIFS(İndirimler!$C$2:$C$110,İndirimler!$A$2:$A$110,B111,İndirimler!$B$2:$B$110,C111)),2),"")</f>
        <v>425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350</v>
      </c>
      <c r="J111" s="12"/>
    </row>
    <row r="112" spans="1:10" ht="21.95" customHeight="1">
      <c r="A112" s="15" t="s">
        <v>182</v>
      </c>
      <c r="B112" s="12" t="s">
        <v>107</v>
      </c>
      <c r="C112" s="12" t="s">
        <v>87</v>
      </c>
      <c r="D112" s="12" t="s">
        <v>104</v>
      </c>
      <c r="E112" s="12" t="s">
        <v>108</v>
      </c>
      <c r="F112" s="12" t="s">
        <v>33</v>
      </c>
      <c r="G112" s="18">
        <v>500</v>
      </c>
      <c r="H112" s="21">
        <f>IF(SUMIFS(İndirimler!$C$2:$C$110,İndirimler!$A$2:$A$110,B112,İndirimler!$B$2:$B$110,C112)&gt;0,ROUND(G112*(1-SUMIFS(İndirimler!$C$2:$C$110,İndirimler!$A$2:$A$110,B112,İndirimler!$B$2:$B$110,C112)),2),"")</f>
        <v>425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350</v>
      </c>
      <c r="J112" s="12"/>
    </row>
    <row r="113" spans="1:10" ht="21.95" customHeight="1">
      <c r="A113" s="15" t="s">
        <v>183</v>
      </c>
      <c r="B113" s="12" t="s">
        <v>23</v>
      </c>
      <c r="C113" s="12" t="s">
        <v>87</v>
      </c>
      <c r="D113" s="12" t="s">
        <v>104</v>
      </c>
      <c r="E113" s="12" t="s">
        <v>110</v>
      </c>
      <c r="F113" s="12" t="s">
        <v>33</v>
      </c>
      <c r="G113" s="18">
        <v>600</v>
      </c>
      <c r="H113" s="21">
        <f>IF(SUMIFS(İndirimler!$C$2:$C$110,İndirimler!$A$2:$A$110,B113,İndirimler!$B$2:$B$110,C113)&gt;0,ROUND(G113*(1-SUMIFS(İndirimler!$C$2:$C$110,İndirimler!$A$2:$A$110,B113,İndirimler!$B$2:$B$110,C113)),2),"")</f>
        <v>510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420</v>
      </c>
      <c r="J113" s="12"/>
    </row>
    <row r="114" spans="1:10" ht="21.95" customHeight="1">
      <c r="A114" s="15" t="s">
        <v>184</v>
      </c>
      <c r="B114" s="12" t="s">
        <v>112</v>
      </c>
      <c r="C114" s="12" t="s">
        <v>87</v>
      </c>
      <c r="D114" s="12" t="s">
        <v>104</v>
      </c>
      <c r="E114" s="12" t="s">
        <v>115</v>
      </c>
      <c r="F114" s="12" t="s">
        <v>33</v>
      </c>
      <c r="G114" s="18">
        <v>600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510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420</v>
      </c>
      <c r="J114" s="12"/>
    </row>
    <row r="115" spans="1:10" ht="21.95" customHeight="1">
      <c r="A115" s="15" t="s">
        <v>185</v>
      </c>
      <c r="B115" s="12" t="s">
        <v>118</v>
      </c>
      <c r="C115" s="12" t="s">
        <v>87</v>
      </c>
      <c r="D115" s="12" t="s">
        <v>104</v>
      </c>
      <c r="E115" s="12"/>
      <c r="F115" s="12" t="s">
        <v>33</v>
      </c>
      <c r="G115" s="18">
        <v>659</v>
      </c>
      <c r="H115" s="21">
        <f>IF(SUMIFS(İndirimler!$C$2:$C$110,İndirimler!$A$2:$A$110,B115,İndirimler!$B$2:$B$110,C115)&gt;0,ROUND(G115*(1-SUMIFS(İndirimler!$C$2:$C$110,İndirimler!$A$2:$A$110,B115,İndirimler!$B$2:$B$110,C115)),2),"")</f>
        <v>560.15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461.3</v>
      </c>
      <c r="J115" s="12"/>
    </row>
    <row r="116" spans="1:10" ht="21.95" customHeight="1">
      <c r="A116" s="15" t="s">
        <v>186</v>
      </c>
      <c r="B116" s="12" t="s">
        <v>35</v>
      </c>
      <c r="C116" s="12" t="s">
        <v>87</v>
      </c>
      <c r="D116" s="12" t="s">
        <v>104</v>
      </c>
      <c r="E116" s="12"/>
      <c r="F116" s="12" t="s">
        <v>33</v>
      </c>
      <c r="G116" s="18">
        <v>600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510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420</v>
      </c>
      <c r="J116" s="12"/>
    </row>
    <row r="117" spans="1:10" ht="21.95" customHeight="1">
      <c r="A117" s="15" t="s">
        <v>187</v>
      </c>
      <c r="B117" s="12" t="s">
        <v>35</v>
      </c>
      <c r="C117" s="12" t="s">
        <v>87</v>
      </c>
      <c r="D117" s="12" t="s">
        <v>104</v>
      </c>
      <c r="E117" s="12" t="s">
        <v>188</v>
      </c>
      <c r="F117" s="12" t="s">
        <v>33</v>
      </c>
      <c r="G117" s="18">
        <v>500</v>
      </c>
      <c r="H117" s="21">
        <f>IF(SUMIFS(İndirimler!$C$2:$C$110,İndirimler!$A$2:$A$110,B117,İndirimler!$B$2:$B$110,C117)&gt;0,ROUND(G117*(1-SUMIFS(İndirimler!$C$2:$C$110,İndirimler!$A$2:$A$110,B117,İndirimler!$B$2:$B$110,C117)),2),"")</f>
        <v>425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350</v>
      </c>
      <c r="J117" s="12"/>
    </row>
    <row r="118" spans="1:10" ht="21.95" customHeight="1">
      <c r="A118" s="15" t="s">
        <v>189</v>
      </c>
      <c r="B118" s="12" t="s">
        <v>35</v>
      </c>
      <c r="C118" s="12" t="s">
        <v>87</v>
      </c>
      <c r="D118" s="12" t="s">
        <v>104</v>
      </c>
      <c r="E118" s="12" t="s">
        <v>190</v>
      </c>
      <c r="F118" s="12" t="s">
        <v>33</v>
      </c>
      <c r="G118" s="18">
        <v>645</v>
      </c>
      <c r="H118" s="21">
        <f>IF(SUMIFS(İndirimler!$C$2:$C$110,İndirimler!$A$2:$A$110,B118,İndirimler!$B$2:$B$110,C118)&gt;0,ROUND(G118*(1-SUMIFS(İndirimler!$C$2:$C$110,İndirimler!$A$2:$A$110,B118,İndirimler!$B$2:$B$110,C118)),2),"")</f>
        <v>548.25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451.5</v>
      </c>
      <c r="J118" s="12"/>
    </row>
    <row r="119" spans="1:10" ht="21.95" customHeight="1">
      <c r="A119" s="15" t="s">
        <v>191</v>
      </c>
      <c r="B119" s="12" t="s">
        <v>121</v>
      </c>
      <c r="C119" s="12" t="s">
        <v>87</v>
      </c>
      <c r="D119" s="12" t="s">
        <v>104</v>
      </c>
      <c r="E119" s="12" t="s">
        <v>122</v>
      </c>
      <c r="F119" s="12" t="s">
        <v>38</v>
      </c>
      <c r="G119" s="18">
        <v>644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547.4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450.8</v>
      </c>
      <c r="J119" s="12"/>
    </row>
    <row r="120" spans="1:10" ht="21.95" customHeight="1">
      <c r="A120" s="15" t="s">
        <v>192</v>
      </c>
      <c r="B120" s="12" t="s">
        <v>17</v>
      </c>
      <c r="C120" s="12" t="s">
        <v>87</v>
      </c>
      <c r="D120" s="12" t="s">
        <v>104</v>
      </c>
      <c r="E120" s="12" t="s">
        <v>37</v>
      </c>
      <c r="F120" s="12" t="s">
        <v>38</v>
      </c>
      <c r="G120" s="18">
        <v>500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425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350</v>
      </c>
      <c r="J120" s="12"/>
    </row>
    <row r="121" spans="1:10" ht="21.95" customHeight="1">
      <c r="A121" s="15" t="s">
        <v>193</v>
      </c>
      <c r="B121" s="12" t="s">
        <v>64</v>
      </c>
      <c r="C121" s="12" t="s">
        <v>87</v>
      </c>
      <c r="D121" s="12" t="s">
        <v>104</v>
      </c>
      <c r="E121" s="12" t="s">
        <v>90</v>
      </c>
      <c r="F121" s="12" t="s">
        <v>38</v>
      </c>
      <c r="G121" s="18">
        <v>500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425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350</v>
      </c>
      <c r="J121" s="12"/>
    </row>
    <row r="122" spans="1:10" ht="21.95" customHeight="1">
      <c r="A122" s="15" t="s">
        <v>194</v>
      </c>
      <c r="B122" s="12" t="s">
        <v>195</v>
      </c>
      <c r="C122" s="12" t="s">
        <v>87</v>
      </c>
      <c r="D122" s="12" t="s">
        <v>104</v>
      </c>
      <c r="E122" s="12"/>
      <c r="F122" s="12" t="s">
        <v>38</v>
      </c>
      <c r="G122" s="18">
        <v>615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522.75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430.5</v>
      </c>
      <c r="J122" s="12"/>
    </row>
    <row r="123" spans="1:10" ht="21.95" customHeight="1">
      <c r="A123" s="15" t="s">
        <v>196</v>
      </c>
      <c r="B123" s="12" t="s">
        <v>21</v>
      </c>
      <c r="C123" s="12" t="s">
        <v>87</v>
      </c>
      <c r="D123" s="12" t="s">
        <v>104</v>
      </c>
      <c r="E123" s="12" t="s">
        <v>61</v>
      </c>
      <c r="F123" s="12" t="s">
        <v>38</v>
      </c>
      <c r="G123" s="18">
        <v>546</v>
      </c>
      <c r="H123" s="21">
        <f>IF(SUMIFS(İndirimler!$C$2:$C$110,İndirimler!$A$2:$A$110,B123,İndirimler!$B$2:$B$110,C123)&gt;0,ROUND(G123*(1-SUMIFS(İndirimler!$C$2:$C$110,İndirimler!$A$2:$A$110,B123,İndirimler!$B$2:$B$110,C123)),2),"")</f>
        <v>464.1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382.2</v>
      </c>
      <c r="J123" s="12"/>
    </row>
    <row r="124" spans="1:10" ht="21.95" customHeight="1">
      <c r="A124" s="15" t="s">
        <v>197</v>
      </c>
      <c r="B124" s="12" t="s">
        <v>45</v>
      </c>
      <c r="C124" s="12" t="s">
        <v>87</v>
      </c>
      <c r="D124" s="12" t="s">
        <v>104</v>
      </c>
      <c r="E124" s="12" t="s">
        <v>129</v>
      </c>
      <c r="F124" s="12" t="s">
        <v>38</v>
      </c>
      <c r="G124" s="18">
        <v>700</v>
      </c>
      <c r="H124" s="21">
        <f>IF(SUMIFS(İndirimler!$C$2:$C$110,İndirimler!$A$2:$A$110,B124,İndirimler!$B$2:$B$110,C124)&gt;0,ROUND(G124*(1-SUMIFS(İndirimler!$C$2:$C$110,İndirimler!$A$2:$A$110,B124,İndirimler!$B$2:$B$110,C124)),2),"")</f>
        <v>595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490</v>
      </c>
      <c r="J124" s="12"/>
    </row>
    <row r="125" spans="1:10" ht="21.95" customHeight="1">
      <c r="A125" s="15" t="s">
        <v>198</v>
      </c>
      <c r="B125" s="12" t="s">
        <v>50</v>
      </c>
      <c r="C125" s="12" t="s">
        <v>87</v>
      </c>
      <c r="D125" s="12" t="s">
        <v>104</v>
      </c>
      <c r="E125" s="12" t="s">
        <v>61</v>
      </c>
      <c r="F125" s="12" t="s">
        <v>15</v>
      </c>
      <c r="G125" s="18">
        <v>478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406.3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334.6</v>
      </c>
      <c r="J125" s="12"/>
    </row>
    <row r="126" spans="1:10" ht="21.95" customHeight="1">
      <c r="A126" s="15" t="s">
        <v>199</v>
      </c>
      <c r="B126" s="12" t="s">
        <v>103</v>
      </c>
      <c r="C126" s="12" t="s">
        <v>87</v>
      </c>
      <c r="D126" s="12" t="s">
        <v>104</v>
      </c>
      <c r="E126" s="12"/>
      <c r="F126" s="12" t="s">
        <v>15</v>
      </c>
      <c r="G126" s="18">
        <v>500</v>
      </c>
      <c r="H126" s="21">
        <f>IF(SUMIFS(İndirimler!$C$2:$C$110,İndirimler!$A$2:$A$110,B126,İndirimler!$B$2:$B$110,C126)&gt;0,ROUND(G126*(1-SUMIFS(İndirimler!$C$2:$C$110,İndirimler!$A$2:$A$110,B126,İndirimler!$B$2:$B$110,C126)),2),"")</f>
        <v>425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350</v>
      </c>
      <c r="J126" s="12"/>
    </row>
    <row r="127" spans="1:10" ht="21.95" customHeight="1">
      <c r="A127" s="15" t="s">
        <v>200</v>
      </c>
      <c r="B127" s="12" t="s">
        <v>103</v>
      </c>
      <c r="C127" s="12" t="s">
        <v>87</v>
      </c>
      <c r="D127" s="12" t="s">
        <v>104</v>
      </c>
      <c r="E127" s="12" t="s">
        <v>134</v>
      </c>
      <c r="F127" s="12" t="s">
        <v>15</v>
      </c>
      <c r="G127" s="18">
        <v>500</v>
      </c>
      <c r="H127" s="21">
        <f>IF(SUMIFS(İndirimler!$C$2:$C$110,İndirimler!$A$2:$A$110,B127,İndirimler!$B$2:$B$110,C127)&gt;0,ROUND(G127*(1-SUMIFS(İndirimler!$C$2:$C$110,İndirimler!$A$2:$A$110,B127,İndirimler!$B$2:$B$110,C127)),2),"")</f>
        <v>425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350</v>
      </c>
      <c r="J127" s="12"/>
    </row>
    <row r="128" spans="1:10" ht="21.95" customHeight="1">
      <c r="A128" s="15" t="s">
        <v>201</v>
      </c>
      <c r="B128" s="12" t="s">
        <v>121</v>
      </c>
      <c r="C128" s="12" t="s">
        <v>87</v>
      </c>
      <c r="D128" s="12" t="s">
        <v>104</v>
      </c>
      <c r="E128" s="12" t="s">
        <v>61</v>
      </c>
      <c r="F128" s="12" t="s">
        <v>15</v>
      </c>
      <c r="G128" s="18">
        <v>480</v>
      </c>
      <c r="H128" s="21">
        <f>IF(SUMIFS(İndirimler!$C$2:$C$110,İndirimler!$A$2:$A$110,B128,İndirimler!$B$2:$B$110,C128)&gt;0,ROUND(G128*(1-SUMIFS(İndirimler!$C$2:$C$110,İndirimler!$A$2:$A$110,B128,İndirimler!$B$2:$B$110,C128)),2),"")</f>
        <v>408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336</v>
      </c>
      <c r="J128" s="12"/>
    </row>
    <row r="129" spans="1:10" ht="21.95" customHeight="1">
      <c r="A129" s="15" t="s">
        <v>202</v>
      </c>
      <c r="B129" s="12" t="s">
        <v>17</v>
      </c>
      <c r="C129" s="12" t="s">
        <v>87</v>
      </c>
      <c r="D129" s="12" t="s">
        <v>104</v>
      </c>
      <c r="E129" s="12"/>
      <c r="F129" s="12" t="s">
        <v>15</v>
      </c>
      <c r="G129" s="18">
        <v>500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425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350</v>
      </c>
      <c r="J129" s="12"/>
    </row>
    <row r="130" spans="1:10" ht="21.95" customHeight="1">
      <c r="A130" s="15" t="s">
        <v>203</v>
      </c>
      <c r="B130" s="12" t="s">
        <v>142</v>
      </c>
      <c r="C130" s="12" t="s">
        <v>87</v>
      </c>
      <c r="D130" s="12" t="s">
        <v>104</v>
      </c>
      <c r="E130" s="12"/>
      <c r="F130" s="12" t="s">
        <v>15</v>
      </c>
      <c r="G130" s="18">
        <v>500</v>
      </c>
      <c r="H130" s="21">
        <f>IF(SUMIFS(İndirimler!$C$2:$C$110,İndirimler!$A$2:$A$110,B130,İndirimler!$B$2:$B$110,C130)&gt;0,ROUND(G130*(1-SUMIFS(İndirimler!$C$2:$C$110,İndirimler!$A$2:$A$110,B130,İndirimler!$B$2:$B$110,C130)),2),"")</f>
        <v>425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350</v>
      </c>
      <c r="J130" s="12"/>
    </row>
    <row r="131" spans="1:10" ht="21.95" customHeight="1">
      <c r="A131" s="15" t="s">
        <v>204</v>
      </c>
      <c r="B131" s="12" t="s">
        <v>142</v>
      </c>
      <c r="C131" s="12" t="s">
        <v>87</v>
      </c>
      <c r="D131" s="12" t="s">
        <v>104</v>
      </c>
      <c r="E131" s="12"/>
      <c r="F131" s="12" t="s">
        <v>15</v>
      </c>
      <c r="G131" s="18">
        <v>500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425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350</v>
      </c>
      <c r="J131" s="12"/>
    </row>
    <row r="132" spans="1:10" ht="21.95" customHeight="1">
      <c r="A132" s="15" t="s">
        <v>205</v>
      </c>
      <c r="B132" s="12" t="s">
        <v>57</v>
      </c>
      <c r="C132" s="12" t="s">
        <v>87</v>
      </c>
      <c r="D132" s="12" t="s">
        <v>104</v>
      </c>
      <c r="E132" s="12" t="s">
        <v>58</v>
      </c>
      <c r="F132" s="12" t="s">
        <v>15</v>
      </c>
      <c r="G132" s="18">
        <v>500</v>
      </c>
      <c r="H132" s="21">
        <f>IF(SUMIFS(İndirimler!$C$2:$C$110,İndirimler!$A$2:$A$110,B132,İndirimler!$B$2:$B$110,C132)&gt;0,ROUND(G132*(1-SUMIFS(İndirimler!$C$2:$C$110,İndirimler!$A$2:$A$110,B132,İndirimler!$B$2:$B$110,C132)),2),"")</f>
        <v>425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350</v>
      </c>
      <c r="J132" s="12"/>
    </row>
    <row r="133" spans="1:10" ht="21.95" customHeight="1">
      <c r="A133" s="15" t="s">
        <v>206</v>
      </c>
      <c r="B133" s="12" t="s">
        <v>21</v>
      </c>
      <c r="C133" s="12" t="s">
        <v>87</v>
      </c>
      <c r="D133" s="12" t="s">
        <v>104</v>
      </c>
      <c r="E133" s="12" t="s">
        <v>61</v>
      </c>
      <c r="F133" s="12" t="s">
        <v>15</v>
      </c>
      <c r="G133" s="18">
        <v>498</v>
      </c>
      <c r="H133" s="21">
        <f>IF(SUMIFS(İndirimler!$C$2:$C$110,İndirimler!$A$2:$A$110,B133,İndirimler!$B$2:$B$110,C133)&gt;0,ROUND(G133*(1-SUMIFS(İndirimler!$C$2:$C$110,İndirimler!$A$2:$A$110,B133,İndirimler!$B$2:$B$110,C133)),2),"")</f>
        <v>423.3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348.6</v>
      </c>
      <c r="J133" s="12"/>
    </row>
    <row r="134" spans="1:10" ht="21.95" customHeight="1">
      <c r="A134" s="15" t="s">
        <v>207</v>
      </c>
      <c r="B134" s="12" t="s">
        <v>23</v>
      </c>
      <c r="C134" s="12" t="s">
        <v>87</v>
      </c>
      <c r="D134" s="12" t="s">
        <v>104</v>
      </c>
      <c r="E134" s="12" t="s">
        <v>26</v>
      </c>
      <c r="F134" s="12" t="s">
        <v>15</v>
      </c>
      <c r="G134" s="18">
        <v>500</v>
      </c>
      <c r="H134" s="21">
        <f>IF(SUMIFS(İndirimler!$C$2:$C$110,İndirimler!$A$2:$A$110,B134,İndirimler!$B$2:$B$110,C134)&gt;0,ROUND(G134*(1-SUMIFS(İndirimler!$C$2:$C$110,İndirimler!$A$2:$A$110,B134,İndirimler!$B$2:$B$110,C134)),2),"")</f>
        <v>425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350</v>
      </c>
      <c r="J134" s="12"/>
    </row>
    <row r="135" spans="1:10" ht="21.95" customHeight="1">
      <c r="A135" s="15" t="s">
        <v>208</v>
      </c>
      <c r="B135" s="12" t="s">
        <v>45</v>
      </c>
      <c r="C135" s="12" t="s">
        <v>87</v>
      </c>
      <c r="D135" s="12" t="s">
        <v>104</v>
      </c>
      <c r="E135" s="12" t="s">
        <v>61</v>
      </c>
      <c r="F135" s="12" t="s">
        <v>15</v>
      </c>
      <c r="G135" s="18">
        <v>493</v>
      </c>
      <c r="H135" s="21">
        <f>IF(SUMIFS(İndirimler!$C$2:$C$110,İndirimler!$A$2:$A$110,B135,İndirimler!$B$2:$B$110,C135)&gt;0,ROUND(G135*(1-SUMIFS(İndirimler!$C$2:$C$110,İndirimler!$A$2:$A$110,B135,İndirimler!$B$2:$B$110,C135)),2),"")</f>
        <v>419.05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345.1</v>
      </c>
      <c r="J135" s="12"/>
    </row>
    <row r="136" spans="1:10" ht="21.95" customHeight="1">
      <c r="A136" s="15" t="s">
        <v>209</v>
      </c>
      <c r="B136" s="12" t="s">
        <v>112</v>
      </c>
      <c r="C136" s="12" t="s">
        <v>87</v>
      </c>
      <c r="D136" s="12" t="s">
        <v>104</v>
      </c>
      <c r="E136" s="12"/>
      <c r="F136" s="12" t="s">
        <v>15</v>
      </c>
      <c r="G136" s="18">
        <v>500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425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350</v>
      </c>
      <c r="J136" s="12"/>
    </row>
    <row r="137" spans="1:10" ht="21.95" customHeight="1">
      <c r="A137" s="15" t="s">
        <v>210</v>
      </c>
      <c r="B137" s="12" t="s">
        <v>118</v>
      </c>
      <c r="C137" s="12" t="s">
        <v>87</v>
      </c>
      <c r="D137" s="12" t="s">
        <v>104</v>
      </c>
      <c r="E137" s="12"/>
      <c r="F137" s="12" t="s">
        <v>15</v>
      </c>
      <c r="G137" s="18">
        <v>500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425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350</v>
      </c>
      <c r="J137" s="12"/>
    </row>
    <row r="138" spans="1:10" ht="21.95" customHeight="1">
      <c r="A138" s="15" t="s">
        <v>211</v>
      </c>
      <c r="B138" s="12" t="s">
        <v>35</v>
      </c>
      <c r="C138" s="12" t="s">
        <v>87</v>
      </c>
      <c r="D138" s="12" t="s">
        <v>104</v>
      </c>
      <c r="E138" s="12"/>
      <c r="F138" s="12" t="s">
        <v>15</v>
      </c>
      <c r="G138" s="18">
        <v>500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425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350</v>
      </c>
      <c r="J138" s="12"/>
    </row>
    <row r="139" spans="1:10" ht="21.95" customHeight="1">
      <c r="A139" s="15" t="s">
        <v>212</v>
      </c>
      <c r="B139" s="12" t="s">
        <v>64</v>
      </c>
      <c r="C139" s="12" t="s">
        <v>87</v>
      </c>
      <c r="D139" s="12" t="s">
        <v>104</v>
      </c>
      <c r="E139" s="12"/>
      <c r="F139" s="12" t="s">
        <v>65</v>
      </c>
      <c r="G139" s="18">
        <v>500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425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350</v>
      </c>
      <c r="J139" s="12"/>
    </row>
    <row r="140" spans="1:10" ht="21.95" customHeight="1">
      <c r="A140" s="15" t="s">
        <v>213</v>
      </c>
      <c r="B140" s="12" t="s">
        <v>103</v>
      </c>
      <c r="C140" s="12" t="s">
        <v>214</v>
      </c>
      <c r="D140" s="12" t="s">
        <v>104</v>
      </c>
      <c r="E140" s="12"/>
      <c r="F140" s="12" t="s">
        <v>33</v>
      </c>
      <c r="G140" s="18">
        <v>625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531.25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437.5</v>
      </c>
      <c r="J140" s="12"/>
    </row>
    <row r="141" spans="1:10" ht="21.95" customHeight="1">
      <c r="A141" s="15" t="s">
        <v>215</v>
      </c>
      <c r="B141" s="12" t="s">
        <v>23</v>
      </c>
      <c r="C141" s="12" t="s">
        <v>214</v>
      </c>
      <c r="D141" s="12" t="s">
        <v>104</v>
      </c>
      <c r="E141" s="12" t="s">
        <v>110</v>
      </c>
      <c r="F141" s="12" t="s">
        <v>33</v>
      </c>
      <c r="G141" s="18">
        <v>719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611.15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503.3</v>
      </c>
      <c r="J141" s="12"/>
    </row>
    <row r="142" spans="1:10" ht="21.95" customHeight="1">
      <c r="A142" s="15" t="s">
        <v>216</v>
      </c>
      <c r="B142" s="12" t="s">
        <v>112</v>
      </c>
      <c r="C142" s="12" t="s">
        <v>214</v>
      </c>
      <c r="D142" s="12" t="s">
        <v>104</v>
      </c>
      <c r="E142" s="12" t="s">
        <v>115</v>
      </c>
      <c r="F142" s="12" t="s">
        <v>33</v>
      </c>
      <c r="G142" s="18">
        <v>779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662.15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545.29999999999995</v>
      </c>
      <c r="J142" s="12"/>
    </row>
    <row r="143" spans="1:10" ht="21.95" customHeight="1">
      <c r="A143" s="15" t="s">
        <v>217</v>
      </c>
      <c r="B143" s="12" t="s">
        <v>118</v>
      </c>
      <c r="C143" s="12" t="s">
        <v>214</v>
      </c>
      <c r="D143" s="12" t="s">
        <v>104</v>
      </c>
      <c r="E143" s="12"/>
      <c r="F143" s="12" t="s">
        <v>33</v>
      </c>
      <c r="G143" s="18">
        <v>539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458.15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377.3</v>
      </c>
      <c r="J143" s="12"/>
    </row>
    <row r="144" spans="1:10" ht="21.95" customHeight="1">
      <c r="A144" s="15" t="s">
        <v>218</v>
      </c>
      <c r="B144" s="12" t="s">
        <v>35</v>
      </c>
      <c r="C144" s="12" t="s">
        <v>214</v>
      </c>
      <c r="D144" s="12" t="s">
        <v>104</v>
      </c>
      <c r="E144" s="12" t="s">
        <v>188</v>
      </c>
      <c r="F144" s="12" t="s">
        <v>33</v>
      </c>
      <c r="G144" s="18">
        <v>779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662.15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545.29999999999995</v>
      </c>
      <c r="J144" s="12"/>
    </row>
    <row r="145" spans="1:10" ht="21.95" customHeight="1">
      <c r="A145" s="15" t="s">
        <v>219</v>
      </c>
      <c r="B145" s="12" t="s">
        <v>35</v>
      </c>
      <c r="C145" s="12" t="s">
        <v>214</v>
      </c>
      <c r="D145" s="12" t="s">
        <v>104</v>
      </c>
      <c r="E145" s="12" t="s">
        <v>190</v>
      </c>
      <c r="F145" s="12" t="s">
        <v>33</v>
      </c>
      <c r="G145" s="18">
        <v>899</v>
      </c>
      <c r="H145" s="21">
        <f>IF(SUMIFS(İndirimler!$C$2:$C$110,İndirimler!$A$2:$A$110,B145,İndirimler!$B$2:$B$110,C145)&gt;0,ROUND(G145*(1-SUMIFS(İndirimler!$C$2:$C$110,İndirimler!$A$2:$A$110,B145,İndirimler!$B$2:$B$110,C145)),2),"")</f>
        <v>764.15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629.29999999999995</v>
      </c>
      <c r="J145" s="12"/>
    </row>
    <row r="146" spans="1:10" ht="21.95" customHeight="1">
      <c r="A146" s="15" t="s">
        <v>220</v>
      </c>
      <c r="B146" s="12" t="s">
        <v>121</v>
      </c>
      <c r="C146" s="12" t="s">
        <v>214</v>
      </c>
      <c r="D146" s="12" t="s">
        <v>104</v>
      </c>
      <c r="E146" s="12" t="s">
        <v>122</v>
      </c>
      <c r="F146" s="12" t="s">
        <v>38</v>
      </c>
      <c r="G146" s="18">
        <v>550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467.5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385</v>
      </c>
      <c r="J146" s="12"/>
    </row>
    <row r="147" spans="1:10" ht="21.95" customHeight="1">
      <c r="A147" s="15" t="s">
        <v>221</v>
      </c>
      <c r="B147" s="12" t="s">
        <v>45</v>
      </c>
      <c r="C147" s="12" t="s">
        <v>214</v>
      </c>
      <c r="D147" s="12" t="s">
        <v>104</v>
      </c>
      <c r="E147" s="12" t="s">
        <v>129</v>
      </c>
      <c r="F147" s="12" t="s">
        <v>38</v>
      </c>
      <c r="G147" s="18">
        <v>681</v>
      </c>
      <c r="H147" s="21">
        <f>IF(SUMIFS(İndirimler!$C$2:$C$110,İndirimler!$A$2:$A$110,B147,İndirimler!$B$2:$B$110,C147)&gt;0,ROUND(G147*(1-SUMIFS(İndirimler!$C$2:$C$110,İndirimler!$A$2:$A$110,B147,İndirimler!$B$2:$B$110,C147)),2),"")</f>
        <v>578.85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476.7</v>
      </c>
      <c r="J147" s="12"/>
    </row>
    <row r="148" spans="1:10" ht="21.95" customHeight="1">
      <c r="A148" s="15" t="s">
        <v>222</v>
      </c>
      <c r="B148" s="12" t="s">
        <v>23</v>
      </c>
      <c r="C148" s="12" t="s">
        <v>12</v>
      </c>
      <c r="D148" s="12" t="s">
        <v>104</v>
      </c>
      <c r="E148" s="12" t="s">
        <v>110</v>
      </c>
      <c r="F148" s="12" t="s">
        <v>33</v>
      </c>
      <c r="G148" s="18">
        <v>999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849.15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699.3</v>
      </c>
      <c r="J148" s="12"/>
    </row>
    <row r="149" spans="1:10" ht="21.95" customHeight="1">
      <c r="A149" s="15" t="s">
        <v>223</v>
      </c>
      <c r="B149" s="12" t="s">
        <v>103</v>
      </c>
      <c r="C149" s="12" t="s">
        <v>12</v>
      </c>
      <c r="D149" s="12" t="s">
        <v>104</v>
      </c>
      <c r="E149" s="12" t="s">
        <v>134</v>
      </c>
      <c r="F149" s="12" t="s">
        <v>15</v>
      </c>
      <c r="G149" s="18">
        <v>500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425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350</v>
      </c>
      <c r="J149" s="12"/>
    </row>
    <row r="150" spans="1:10" ht="21.95" customHeight="1">
      <c r="A150" s="15" t="s">
        <v>224</v>
      </c>
      <c r="B150" s="12" t="s">
        <v>103</v>
      </c>
      <c r="C150" s="12" t="s">
        <v>12</v>
      </c>
      <c r="D150" s="12" t="s">
        <v>104</v>
      </c>
      <c r="E150" s="12" t="s">
        <v>225</v>
      </c>
      <c r="F150" s="12" t="s">
        <v>15</v>
      </c>
      <c r="G150" s="18">
        <v>619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526.15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433.3</v>
      </c>
      <c r="J150" s="12"/>
    </row>
    <row r="151" spans="1:10" ht="21.95" customHeight="1">
      <c r="A151" s="15" t="s">
        <v>226</v>
      </c>
      <c r="B151" s="12" t="s">
        <v>107</v>
      </c>
      <c r="C151" s="12" t="s">
        <v>12</v>
      </c>
      <c r="D151" s="12" t="s">
        <v>104</v>
      </c>
      <c r="E151" s="12" t="s">
        <v>227</v>
      </c>
      <c r="F151" s="12" t="s">
        <v>15</v>
      </c>
      <c r="G151" s="18">
        <v>500</v>
      </c>
      <c r="H151" s="21">
        <f>IF(SUMIFS(İndirimler!$C$2:$C$110,İndirimler!$A$2:$A$110,B151,İndirimler!$B$2:$B$110,C151)&gt;0,ROUND(G151*(1-SUMIFS(İndirimler!$C$2:$C$110,İndirimler!$A$2:$A$110,B151,İndirimler!$B$2:$B$110,C151)),2),"")</f>
        <v>425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350</v>
      </c>
      <c r="J151" s="12"/>
    </row>
    <row r="152" spans="1:10" ht="21.95" customHeight="1">
      <c r="A152" s="15" t="s">
        <v>228</v>
      </c>
      <c r="B152" s="12" t="s">
        <v>107</v>
      </c>
      <c r="C152" s="12" t="s">
        <v>12</v>
      </c>
      <c r="D152" s="12" t="s">
        <v>104</v>
      </c>
      <c r="E152" s="12" t="s">
        <v>108</v>
      </c>
      <c r="F152" s="12" t="s">
        <v>15</v>
      </c>
      <c r="G152" s="18">
        <v>469</v>
      </c>
      <c r="H152" s="21">
        <f>IF(SUMIFS(İndirimler!$C$2:$C$110,İndirimler!$A$2:$A$110,B152,İndirimler!$B$2:$B$110,C152)&gt;0,ROUND(G152*(1-SUMIFS(İndirimler!$C$2:$C$110,İndirimler!$A$2:$A$110,B152,İndirimler!$B$2:$B$110,C152)),2),"")</f>
        <v>398.65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328.3</v>
      </c>
      <c r="J152" s="12"/>
    </row>
    <row r="153" spans="1:10" ht="21.95" customHeight="1">
      <c r="A153" s="15" t="s">
        <v>229</v>
      </c>
      <c r="B153" s="12" t="s">
        <v>121</v>
      </c>
      <c r="C153" s="12" t="s">
        <v>12</v>
      </c>
      <c r="D153" s="12" t="s">
        <v>104</v>
      </c>
      <c r="E153" s="12" t="s">
        <v>61</v>
      </c>
      <c r="F153" s="12" t="s">
        <v>15</v>
      </c>
      <c r="G153" s="18">
        <v>638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542.29999999999995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446.6</v>
      </c>
      <c r="J153" s="12"/>
    </row>
    <row r="154" spans="1:10" ht="21.95" customHeight="1">
      <c r="A154" s="15" t="s">
        <v>230</v>
      </c>
      <c r="B154" s="12" t="s">
        <v>17</v>
      </c>
      <c r="C154" s="12" t="s">
        <v>12</v>
      </c>
      <c r="D154" s="12" t="s">
        <v>104</v>
      </c>
      <c r="E154" s="12"/>
      <c r="F154" s="12" t="s">
        <v>15</v>
      </c>
      <c r="G154" s="18">
        <v>549</v>
      </c>
      <c r="H154" s="21">
        <f>IF(SUMIFS(İndirimler!$C$2:$C$110,İndirimler!$A$2:$A$110,B154,İndirimler!$B$2:$B$110,C154)&gt;0,ROUND(G154*(1-SUMIFS(İndirimler!$C$2:$C$110,İndirimler!$A$2:$A$110,B154,İndirimler!$B$2:$B$110,C154)),2),"")</f>
        <v>466.65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384.3</v>
      </c>
      <c r="J154" s="12"/>
    </row>
    <row r="155" spans="1:10" ht="21.95" customHeight="1">
      <c r="A155" s="15" t="s">
        <v>231</v>
      </c>
      <c r="B155" s="12" t="s">
        <v>142</v>
      </c>
      <c r="C155" s="12" t="s">
        <v>12</v>
      </c>
      <c r="D155" s="12" t="s">
        <v>104</v>
      </c>
      <c r="E155" s="12" t="s">
        <v>232</v>
      </c>
      <c r="F155" s="12" t="s">
        <v>15</v>
      </c>
      <c r="G155" s="18">
        <v>319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271.14999999999998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223.3</v>
      </c>
      <c r="J155" s="12"/>
    </row>
    <row r="156" spans="1:10" ht="21.95" customHeight="1">
      <c r="A156" s="15" t="s">
        <v>233</v>
      </c>
      <c r="B156" s="12" t="s">
        <v>142</v>
      </c>
      <c r="C156" s="12" t="s">
        <v>12</v>
      </c>
      <c r="D156" s="12" t="s">
        <v>104</v>
      </c>
      <c r="E156" s="12" t="s">
        <v>234</v>
      </c>
      <c r="F156" s="12" t="s">
        <v>15</v>
      </c>
      <c r="G156" s="18">
        <v>295</v>
      </c>
      <c r="H156" s="21">
        <f>IF(SUMIFS(İndirimler!$C$2:$C$110,İndirimler!$A$2:$A$110,B156,İndirimler!$B$2:$B$110,C156)&gt;0,ROUND(G156*(1-SUMIFS(İndirimler!$C$2:$C$110,İndirimler!$A$2:$A$110,B156,İndirimler!$B$2:$B$110,C156)),2),"")</f>
        <v>250.75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206.5</v>
      </c>
      <c r="J156" s="12"/>
    </row>
    <row r="157" spans="1:10" ht="21.95" customHeight="1">
      <c r="A157" s="15" t="s">
        <v>235</v>
      </c>
      <c r="B157" s="12" t="s">
        <v>21</v>
      </c>
      <c r="C157" s="12" t="s">
        <v>12</v>
      </c>
      <c r="D157" s="12" t="s">
        <v>104</v>
      </c>
      <c r="E157" s="12" t="s">
        <v>61</v>
      </c>
      <c r="F157" s="12" t="s">
        <v>15</v>
      </c>
      <c r="G157" s="18">
        <v>495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420.75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346.5</v>
      </c>
      <c r="J157" s="12"/>
    </row>
    <row r="158" spans="1:10" ht="21.95" customHeight="1">
      <c r="A158" s="15" t="s">
        <v>236</v>
      </c>
      <c r="B158" s="12" t="s">
        <v>23</v>
      </c>
      <c r="C158" s="12" t="s">
        <v>12</v>
      </c>
      <c r="D158" s="12" t="s">
        <v>104</v>
      </c>
      <c r="E158" s="12"/>
      <c r="F158" s="12" t="s">
        <v>15</v>
      </c>
      <c r="G158" s="18">
        <v>500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425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350</v>
      </c>
      <c r="J158" s="12"/>
    </row>
    <row r="159" spans="1:10" ht="21.95" customHeight="1">
      <c r="A159" s="15" t="s">
        <v>237</v>
      </c>
      <c r="B159" s="12" t="s">
        <v>23</v>
      </c>
      <c r="C159" s="12" t="s">
        <v>12</v>
      </c>
      <c r="D159" s="12" t="s">
        <v>104</v>
      </c>
      <c r="E159" s="12" t="s">
        <v>26</v>
      </c>
      <c r="F159" s="12" t="s">
        <v>15</v>
      </c>
      <c r="G159" s="18">
        <v>599</v>
      </c>
      <c r="H159" s="21">
        <f>IF(SUMIFS(İndirimler!$C$2:$C$110,İndirimler!$A$2:$A$110,B159,İndirimler!$B$2:$B$110,C159)&gt;0,ROUND(G159*(1-SUMIFS(İndirimler!$C$2:$C$110,İndirimler!$A$2:$A$110,B159,İndirimler!$B$2:$B$110,C159)),2),"")</f>
        <v>509.15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419.3</v>
      </c>
      <c r="J159" s="12"/>
    </row>
    <row r="160" spans="1:10" ht="21.95" customHeight="1">
      <c r="A160" s="15" t="s">
        <v>238</v>
      </c>
      <c r="B160" s="12" t="s">
        <v>23</v>
      </c>
      <c r="C160" s="12" t="s">
        <v>12</v>
      </c>
      <c r="D160" s="12" t="s">
        <v>104</v>
      </c>
      <c r="E160" s="12" t="s">
        <v>239</v>
      </c>
      <c r="F160" s="12" t="s">
        <v>15</v>
      </c>
      <c r="G160" s="18">
        <v>500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350</v>
      </c>
      <c r="J160" s="12"/>
    </row>
    <row r="161" spans="1:10" ht="21.95" customHeight="1">
      <c r="A161" s="15" t="s">
        <v>240</v>
      </c>
      <c r="B161" s="12" t="s">
        <v>45</v>
      </c>
      <c r="C161" s="12" t="s">
        <v>12</v>
      </c>
      <c r="D161" s="12" t="s">
        <v>104</v>
      </c>
      <c r="E161" s="12" t="s">
        <v>61</v>
      </c>
      <c r="F161" s="12" t="s">
        <v>15</v>
      </c>
      <c r="G161" s="18">
        <v>622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528.70000000000005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435.4</v>
      </c>
      <c r="J161" s="12"/>
    </row>
    <row r="162" spans="1:10" ht="21.95" customHeight="1">
      <c r="A162" s="15" t="s">
        <v>241</v>
      </c>
      <c r="B162" s="12" t="s">
        <v>112</v>
      </c>
      <c r="C162" s="12" t="s">
        <v>12</v>
      </c>
      <c r="D162" s="12" t="s">
        <v>104</v>
      </c>
      <c r="E162" s="12"/>
      <c r="F162" s="12" t="s">
        <v>15</v>
      </c>
      <c r="G162" s="18">
        <v>599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509.15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419.3</v>
      </c>
      <c r="J162" s="12"/>
    </row>
    <row r="163" spans="1:10" ht="21.95" customHeight="1">
      <c r="A163" s="15" t="s">
        <v>242</v>
      </c>
      <c r="B163" s="12" t="s">
        <v>112</v>
      </c>
      <c r="C163" s="12" t="s">
        <v>12</v>
      </c>
      <c r="D163" s="12" t="s">
        <v>104</v>
      </c>
      <c r="E163" s="12"/>
      <c r="F163" s="12" t="s">
        <v>15</v>
      </c>
      <c r="G163" s="18">
        <v>500</v>
      </c>
      <c r="H163" s="21">
        <f>IF(SUMIFS(İndirimler!$C$2:$C$110,İndirimler!$A$2:$A$110,B163,İndirimler!$B$2:$B$110,C163)&gt;0,ROUND(G163*(1-SUMIFS(İndirimler!$C$2:$C$110,İndirimler!$A$2:$A$110,B163,İndirimler!$B$2:$B$110,C163)),2),"")</f>
        <v>425</v>
      </c>
      <c r="I163" s="24">
        <f>IF(SUMIFS(İndirimler!$D$2:$D$110,İndirimler!$A$2:$A$110,B163,İndirimler!$B$2:$B$110,C163)&gt;0,ROUND(G163*(1-SUMIFS(İndirimler!$D$2:$D$110,İndirimler!$A$2:$A$110,B163,İndirimler!$B$2:$B$110,C163)),2),"")</f>
        <v>350</v>
      </c>
      <c r="J163" s="12"/>
    </row>
    <row r="164" spans="1:10" ht="21.95" customHeight="1">
      <c r="A164" s="15" t="s">
        <v>243</v>
      </c>
      <c r="B164" s="12" t="s">
        <v>244</v>
      </c>
      <c r="C164" s="12" t="s">
        <v>12</v>
      </c>
      <c r="D164" s="12" t="s">
        <v>104</v>
      </c>
      <c r="E164" s="12"/>
      <c r="F164" s="12" t="s">
        <v>15</v>
      </c>
      <c r="G164" s="18">
        <v>499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424.15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349.3</v>
      </c>
      <c r="J164" s="12"/>
    </row>
    <row r="165" spans="1:10" ht="21.95" customHeight="1">
      <c r="A165" s="15" t="s">
        <v>245</v>
      </c>
      <c r="B165" s="12" t="s">
        <v>118</v>
      </c>
      <c r="C165" s="12" t="s">
        <v>12</v>
      </c>
      <c r="D165" s="12" t="s">
        <v>104</v>
      </c>
      <c r="E165" s="12" t="s">
        <v>234</v>
      </c>
      <c r="F165" s="12" t="s">
        <v>15</v>
      </c>
      <c r="G165" s="18">
        <v>269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228.65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188.3</v>
      </c>
      <c r="J165" s="12"/>
    </row>
    <row r="166" spans="1:10" ht="21.95" customHeight="1">
      <c r="A166" s="15" t="s">
        <v>246</v>
      </c>
      <c r="B166" s="12" t="s">
        <v>35</v>
      </c>
      <c r="C166" s="12" t="s">
        <v>12</v>
      </c>
      <c r="D166" s="12" t="s">
        <v>104</v>
      </c>
      <c r="E166" s="12" t="s">
        <v>61</v>
      </c>
      <c r="F166" s="12" t="s">
        <v>15</v>
      </c>
      <c r="G166" s="18">
        <v>419</v>
      </c>
      <c r="H166" s="21">
        <f>IF(SUMIFS(İndirimler!$C$2:$C$110,İndirimler!$A$2:$A$110,B166,İndirimler!$B$2:$B$110,C166)&gt;0,ROUND(G166*(1-SUMIFS(İndirimler!$C$2:$C$110,İndirimler!$A$2:$A$110,B166,İndirimler!$B$2:$B$110,C166)),2),"")</f>
        <v>356.15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293.3</v>
      </c>
      <c r="J166" s="12"/>
    </row>
    <row r="167" spans="1:10" ht="21.95" customHeight="1">
      <c r="A167" s="15" t="s">
        <v>247</v>
      </c>
      <c r="B167" s="12" t="s">
        <v>248</v>
      </c>
      <c r="C167" s="12" t="s">
        <v>12</v>
      </c>
      <c r="D167" s="12" t="s">
        <v>104</v>
      </c>
      <c r="E167" s="12"/>
      <c r="F167" s="12" t="s">
        <v>249</v>
      </c>
      <c r="G167" s="18">
        <v>499</v>
      </c>
      <c r="H167" s="21">
        <f>IF(SUMIFS(İndirimler!$C$2:$C$110,İndirimler!$A$2:$A$110,B167,İndirimler!$B$2:$B$110,C167)&gt;0,ROUND(G167*(1-SUMIFS(İndirimler!$C$2:$C$110,İndirimler!$A$2:$A$110,B167,İndirimler!$B$2:$B$110,C167)),2),"")</f>
        <v>424.15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349.3</v>
      </c>
      <c r="J167" s="12"/>
    </row>
    <row r="168" spans="1:10" ht="21.95" customHeight="1">
      <c r="A168" s="15" t="s">
        <v>250</v>
      </c>
      <c r="B168" s="12" t="s">
        <v>23</v>
      </c>
      <c r="C168" s="12" t="s">
        <v>12</v>
      </c>
      <c r="D168" s="12" t="s">
        <v>251</v>
      </c>
      <c r="E168" s="12" t="s">
        <v>110</v>
      </c>
      <c r="F168" s="12" t="s">
        <v>33</v>
      </c>
      <c r="G168" s="18">
        <v>599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509.15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419.3</v>
      </c>
      <c r="J168" s="12"/>
    </row>
    <row r="169" spans="1:10" ht="21.95" customHeight="1">
      <c r="A169" s="15" t="s">
        <v>252</v>
      </c>
      <c r="B169" s="12" t="s">
        <v>103</v>
      </c>
      <c r="C169" s="12" t="s">
        <v>12</v>
      </c>
      <c r="D169" s="12" t="s">
        <v>251</v>
      </c>
      <c r="E169" s="12"/>
      <c r="F169" s="12" t="s">
        <v>15</v>
      </c>
      <c r="G169" s="18">
        <v>385</v>
      </c>
      <c r="H169" s="21">
        <f>IF(SUMIFS(İndirimler!$C$2:$C$110,İndirimler!$A$2:$A$110,B169,İndirimler!$B$2:$B$110,C169)&gt;0,ROUND(G169*(1-SUMIFS(İndirimler!$C$2:$C$110,İndirimler!$A$2:$A$110,B169,İndirimler!$B$2:$B$110,C169)),2),"")</f>
        <v>327.25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269.5</v>
      </c>
      <c r="J169" s="12"/>
    </row>
    <row r="170" spans="1:10" ht="21.95" customHeight="1">
      <c r="A170" s="15" t="s">
        <v>253</v>
      </c>
      <c r="B170" s="12" t="s">
        <v>103</v>
      </c>
      <c r="C170" s="12" t="s">
        <v>12</v>
      </c>
      <c r="D170" s="12" t="s">
        <v>251</v>
      </c>
      <c r="E170" s="12"/>
      <c r="F170" s="12" t="s">
        <v>15</v>
      </c>
      <c r="G170" s="18">
        <v>500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425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350</v>
      </c>
      <c r="J170" s="12"/>
    </row>
    <row r="171" spans="1:10" ht="21.95" customHeight="1">
      <c r="A171" s="15" t="s">
        <v>254</v>
      </c>
      <c r="B171" s="12" t="s">
        <v>103</v>
      </c>
      <c r="C171" s="12" t="s">
        <v>12</v>
      </c>
      <c r="D171" s="12" t="s">
        <v>251</v>
      </c>
      <c r="E171" s="12"/>
      <c r="F171" s="12" t="s">
        <v>15</v>
      </c>
      <c r="G171" s="18">
        <v>500</v>
      </c>
      <c r="H171" s="21">
        <f>IF(SUMIFS(İndirimler!$C$2:$C$110,İndirimler!$A$2:$A$110,B171,İndirimler!$B$2:$B$110,C171)&gt;0,ROUND(G171*(1-SUMIFS(İndirimler!$C$2:$C$110,İndirimler!$A$2:$A$110,B171,İndirimler!$B$2:$B$110,C171)),2),"")</f>
        <v>425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350</v>
      </c>
      <c r="J171" s="12"/>
    </row>
    <row r="172" spans="1:10" ht="21.95" customHeight="1">
      <c r="A172" s="15" t="s">
        <v>255</v>
      </c>
      <c r="B172" s="12" t="s">
        <v>17</v>
      </c>
      <c r="C172" s="12" t="s">
        <v>12</v>
      </c>
      <c r="D172" s="12" t="s">
        <v>251</v>
      </c>
      <c r="E172" s="12"/>
      <c r="F172" s="12" t="s">
        <v>15</v>
      </c>
      <c r="G172" s="18">
        <v>429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364.65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300.3</v>
      </c>
      <c r="J172" s="12"/>
    </row>
    <row r="173" spans="1:10" ht="21.95" customHeight="1">
      <c r="A173" s="15" t="s">
        <v>256</v>
      </c>
      <c r="B173" s="12" t="s">
        <v>142</v>
      </c>
      <c r="C173" s="12" t="s">
        <v>12</v>
      </c>
      <c r="D173" s="12" t="s">
        <v>251</v>
      </c>
      <c r="E173" s="12" t="s">
        <v>257</v>
      </c>
      <c r="F173" s="12" t="s">
        <v>15</v>
      </c>
      <c r="G173" s="18">
        <v>345</v>
      </c>
      <c r="H173" s="21">
        <f>IF(SUMIFS(İndirimler!$C$2:$C$110,İndirimler!$A$2:$A$110,B173,İndirimler!$B$2:$B$110,C173)&gt;0,ROUND(G173*(1-SUMIFS(İndirimler!$C$2:$C$110,İndirimler!$A$2:$A$110,B173,İndirimler!$B$2:$B$110,C173)),2),"")</f>
        <v>293.25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241.5</v>
      </c>
      <c r="J173" s="12"/>
    </row>
    <row r="174" spans="1:10" ht="21.95" customHeight="1">
      <c r="A174" s="15" t="s">
        <v>258</v>
      </c>
      <c r="B174" s="12" t="s">
        <v>21</v>
      </c>
      <c r="C174" s="12" t="s">
        <v>12</v>
      </c>
      <c r="D174" s="12" t="s">
        <v>251</v>
      </c>
      <c r="E174" s="12"/>
      <c r="F174" s="12" t="s">
        <v>15</v>
      </c>
      <c r="G174" s="18">
        <v>475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403.75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332.5</v>
      </c>
      <c r="J174" s="12"/>
    </row>
    <row r="175" spans="1:10" ht="21.95" customHeight="1">
      <c r="A175" s="15" t="s">
        <v>259</v>
      </c>
      <c r="B175" s="12" t="s">
        <v>23</v>
      </c>
      <c r="C175" s="12" t="s">
        <v>12</v>
      </c>
      <c r="D175" s="12" t="s">
        <v>251</v>
      </c>
      <c r="E175" s="12"/>
      <c r="F175" s="12" t="s">
        <v>15</v>
      </c>
      <c r="G175" s="18">
        <v>500</v>
      </c>
      <c r="H175" s="21">
        <f>IF(SUMIFS(İndirimler!$C$2:$C$110,İndirimler!$A$2:$A$110,B175,İndirimler!$B$2:$B$110,C175)&gt;0,ROUND(G175*(1-SUMIFS(İndirimler!$C$2:$C$110,İndirimler!$A$2:$A$110,B175,İndirimler!$B$2:$B$110,C175)),2),"")</f>
        <v>425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350</v>
      </c>
      <c r="J175" s="12"/>
    </row>
    <row r="176" spans="1:10" ht="21.95" customHeight="1">
      <c r="A176" s="15" t="s">
        <v>260</v>
      </c>
      <c r="B176" s="12" t="s">
        <v>23</v>
      </c>
      <c r="C176" s="12" t="s">
        <v>12</v>
      </c>
      <c r="D176" s="12" t="s">
        <v>251</v>
      </c>
      <c r="E176" s="12" t="s">
        <v>26</v>
      </c>
      <c r="F176" s="12" t="s">
        <v>15</v>
      </c>
      <c r="G176" s="18">
        <v>559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475.15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391.3</v>
      </c>
      <c r="J176" s="12"/>
    </row>
    <row r="177" spans="1:10" ht="21.95" customHeight="1">
      <c r="A177" s="15" t="s">
        <v>261</v>
      </c>
      <c r="B177" s="12" t="s">
        <v>23</v>
      </c>
      <c r="C177" s="12" t="s">
        <v>12</v>
      </c>
      <c r="D177" s="12" t="s">
        <v>251</v>
      </c>
      <c r="E177" s="12" t="s">
        <v>239</v>
      </c>
      <c r="F177" s="12" t="s">
        <v>15</v>
      </c>
      <c r="G177" s="18">
        <v>500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425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350</v>
      </c>
      <c r="J177" s="12"/>
    </row>
    <row r="178" spans="1:10" ht="21.95" customHeight="1">
      <c r="A178" s="15" t="s">
        <v>262</v>
      </c>
      <c r="B178" s="12" t="s">
        <v>45</v>
      </c>
      <c r="C178" s="12" t="s">
        <v>12</v>
      </c>
      <c r="D178" s="12" t="s">
        <v>251</v>
      </c>
      <c r="E178" s="12"/>
      <c r="F178" s="12" t="s">
        <v>15</v>
      </c>
      <c r="G178" s="18">
        <v>706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600.1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494.2</v>
      </c>
      <c r="J178" s="12"/>
    </row>
    <row r="179" spans="1:10" ht="21.95" customHeight="1">
      <c r="A179" s="15" t="s">
        <v>263</v>
      </c>
      <c r="B179" s="12" t="s">
        <v>112</v>
      </c>
      <c r="C179" s="12" t="s">
        <v>12</v>
      </c>
      <c r="D179" s="12" t="s">
        <v>251</v>
      </c>
      <c r="E179" s="12"/>
      <c r="F179" s="12" t="s">
        <v>15</v>
      </c>
      <c r="G179" s="18">
        <v>500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425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350</v>
      </c>
      <c r="J179" s="12"/>
    </row>
    <row r="180" spans="1:10" ht="21.95" customHeight="1">
      <c r="A180" s="15" t="s">
        <v>264</v>
      </c>
      <c r="B180" s="12" t="s">
        <v>265</v>
      </c>
      <c r="C180" s="12" t="s">
        <v>31</v>
      </c>
      <c r="D180" s="12" t="s">
        <v>266</v>
      </c>
      <c r="E180" s="12" t="s">
        <v>267</v>
      </c>
      <c r="F180" s="12" t="s">
        <v>33</v>
      </c>
      <c r="G180" s="18">
        <v>565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480.25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395.5</v>
      </c>
      <c r="J180" s="12"/>
    </row>
    <row r="181" spans="1:10" ht="21.95" customHeight="1">
      <c r="A181" s="15" t="s">
        <v>268</v>
      </c>
      <c r="B181" s="12" t="s">
        <v>23</v>
      </c>
      <c r="C181" s="12" t="s">
        <v>31</v>
      </c>
      <c r="D181" s="12" t="s">
        <v>266</v>
      </c>
      <c r="E181" s="12" t="s">
        <v>110</v>
      </c>
      <c r="F181" s="12" t="s">
        <v>33</v>
      </c>
      <c r="G181" s="18">
        <v>199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169.15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139.30000000000001</v>
      </c>
      <c r="J181" s="12"/>
    </row>
    <row r="182" spans="1:10" ht="21.95" customHeight="1">
      <c r="A182" s="15" t="s">
        <v>269</v>
      </c>
      <c r="B182" s="12" t="s">
        <v>23</v>
      </c>
      <c r="C182" s="12" t="s">
        <v>31</v>
      </c>
      <c r="D182" s="12" t="s">
        <v>266</v>
      </c>
      <c r="E182" s="12" t="s">
        <v>110</v>
      </c>
      <c r="F182" s="12" t="s">
        <v>33</v>
      </c>
      <c r="G182" s="18">
        <v>379</v>
      </c>
      <c r="H182" s="21">
        <f>IF(SUMIFS(İndirimler!$C$2:$C$110,İndirimler!$A$2:$A$110,B182,İndirimler!$B$2:$B$110,C182)&gt;0,ROUND(G182*(1-SUMIFS(İndirimler!$C$2:$C$110,İndirimler!$A$2:$A$110,B182,İndirimler!$B$2:$B$110,C182)),2),"")</f>
        <v>322.14999999999998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265.3</v>
      </c>
      <c r="J182" s="12"/>
    </row>
    <row r="183" spans="1:10" ht="21.95" customHeight="1">
      <c r="A183" s="15" t="s">
        <v>270</v>
      </c>
      <c r="B183" s="12" t="s">
        <v>30</v>
      </c>
      <c r="C183" s="12" t="s">
        <v>31</v>
      </c>
      <c r="D183" s="12" t="s">
        <v>266</v>
      </c>
      <c r="E183" s="12"/>
      <c r="F183" s="12" t="s">
        <v>33</v>
      </c>
      <c r="G183" s="18">
        <v>539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458.15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377.3</v>
      </c>
      <c r="J183" s="12"/>
    </row>
    <row r="184" spans="1:10" ht="21.95" customHeight="1">
      <c r="A184" s="15" t="s">
        <v>271</v>
      </c>
      <c r="B184" s="12" t="s">
        <v>35</v>
      </c>
      <c r="C184" s="12" t="s">
        <v>31</v>
      </c>
      <c r="D184" s="12" t="s">
        <v>266</v>
      </c>
      <c r="E184" s="12"/>
      <c r="F184" s="12" t="s">
        <v>33</v>
      </c>
      <c r="G184" s="18">
        <v>685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582.25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479.5</v>
      </c>
      <c r="J184" s="12"/>
    </row>
    <row r="185" spans="1:10" ht="21.95" customHeight="1">
      <c r="A185" s="15" t="s">
        <v>272</v>
      </c>
      <c r="B185" s="12" t="s">
        <v>121</v>
      </c>
      <c r="C185" s="12" t="s">
        <v>31</v>
      </c>
      <c r="D185" s="12" t="s">
        <v>266</v>
      </c>
      <c r="E185" s="12" t="s">
        <v>273</v>
      </c>
      <c r="F185" s="12" t="s">
        <v>38</v>
      </c>
      <c r="G185" s="18">
        <v>478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406.3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334.6</v>
      </c>
      <c r="J185" s="12"/>
    </row>
    <row r="186" spans="1:10" ht="21.95" customHeight="1">
      <c r="A186" s="15" t="s">
        <v>274</v>
      </c>
      <c r="B186" s="12" t="s">
        <v>17</v>
      </c>
      <c r="C186" s="12" t="s">
        <v>31</v>
      </c>
      <c r="D186" s="12" t="s">
        <v>266</v>
      </c>
      <c r="E186" s="12" t="s">
        <v>37</v>
      </c>
      <c r="F186" s="12" t="s">
        <v>38</v>
      </c>
      <c r="G186" s="18">
        <v>500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350</v>
      </c>
      <c r="J186" s="12"/>
    </row>
    <row r="187" spans="1:10" ht="21.95" customHeight="1">
      <c r="A187" s="15" t="s">
        <v>275</v>
      </c>
      <c r="B187" s="12" t="s">
        <v>40</v>
      </c>
      <c r="C187" s="12" t="s">
        <v>31</v>
      </c>
      <c r="D187" s="12" t="s">
        <v>266</v>
      </c>
      <c r="E187" s="12" t="s">
        <v>41</v>
      </c>
      <c r="F187" s="12" t="s">
        <v>38</v>
      </c>
      <c r="G187" s="18">
        <v>274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232.9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191.8</v>
      </c>
      <c r="J187" s="12" t="s">
        <v>276</v>
      </c>
    </row>
    <row r="188" spans="1:10" ht="21.95" customHeight="1">
      <c r="A188" s="15" t="s">
        <v>277</v>
      </c>
      <c r="B188" s="12" t="s">
        <v>21</v>
      </c>
      <c r="C188" s="12" t="s">
        <v>31</v>
      </c>
      <c r="D188" s="12" t="s">
        <v>266</v>
      </c>
      <c r="E188" s="12"/>
      <c r="F188" s="12" t="s">
        <v>38</v>
      </c>
      <c r="G188" s="18">
        <v>576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489.6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403.2</v>
      </c>
      <c r="J188" s="12"/>
    </row>
    <row r="189" spans="1:10" ht="21.95" customHeight="1">
      <c r="A189" s="15" t="s">
        <v>278</v>
      </c>
      <c r="B189" s="12" t="s">
        <v>45</v>
      </c>
      <c r="C189" s="12" t="s">
        <v>31</v>
      </c>
      <c r="D189" s="12" t="s">
        <v>266</v>
      </c>
      <c r="E189" s="12" t="s">
        <v>46</v>
      </c>
      <c r="F189" s="12" t="s">
        <v>38</v>
      </c>
      <c r="G189" s="18">
        <v>660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561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462</v>
      </c>
      <c r="J189" s="12"/>
    </row>
    <row r="190" spans="1:10" ht="21.95" customHeight="1">
      <c r="A190" s="15" t="s">
        <v>279</v>
      </c>
      <c r="B190" s="12" t="s">
        <v>280</v>
      </c>
      <c r="C190" s="12" t="s">
        <v>31</v>
      </c>
      <c r="D190" s="12" t="s">
        <v>266</v>
      </c>
      <c r="E190" s="12"/>
      <c r="F190" s="12" t="s">
        <v>38</v>
      </c>
      <c r="G190" s="18">
        <v>525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446.25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367.5</v>
      </c>
      <c r="J190" s="12"/>
    </row>
    <row r="191" spans="1:10" ht="21.95" customHeight="1">
      <c r="A191" s="15" t="s">
        <v>281</v>
      </c>
      <c r="B191" s="12" t="s">
        <v>50</v>
      </c>
      <c r="C191" s="12" t="s">
        <v>31</v>
      </c>
      <c r="D191" s="12" t="s">
        <v>266</v>
      </c>
      <c r="E191" s="12"/>
      <c r="F191" s="12" t="s">
        <v>15</v>
      </c>
      <c r="G191" s="18">
        <v>346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294.10000000000002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242.2</v>
      </c>
      <c r="J191" s="12" t="s">
        <v>282</v>
      </c>
    </row>
    <row r="192" spans="1:10" ht="21.95" customHeight="1">
      <c r="A192" s="15" t="s">
        <v>283</v>
      </c>
      <c r="B192" s="12" t="s">
        <v>121</v>
      </c>
      <c r="C192" s="12" t="s">
        <v>31</v>
      </c>
      <c r="D192" s="12" t="s">
        <v>266</v>
      </c>
      <c r="E192" s="12"/>
      <c r="F192" s="12" t="s">
        <v>15</v>
      </c>
      <c r="G192" s="18">
        <v>416</v>
      </c>
      <c r="H192" s="21">
        <f>IF(SUMIFS(İndirimler!$C$2:$C$110,İndirimler!$A$2:$A$110,B192,İndirimler!$B$2:$B$110,C192)&gt;0,ROUND(G192*(1-SUMIFS(İndirimler!$C$2:$C$110,İndirimler!$A$2:$A$110,B192,İndirimler!$B$2:$B$110,C192)),2),"")</f>
        <v>353.6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291.2</v>
      </c>
      <c r="J192" s="12"/>
    </row>
    <row r="193" spans="1:10" ht="21.95" customHeight="1">
      <c r="A193" s="15" t="s">
        <v>284</v>
      </c>
      <c r="B193" s="12" t="s">
        <v>17</v>
      </c>
      <c r="C193" s="12" t="s">
        <v>31</v>
      </c>
      <c r="D193" s="12" t="s">
        <v>266</v>
      </c>
      <c r="E193" s="12"/>
      <c r="F193" s="12" t="s">
        <v>15</v>
      </c>
      <c r="G193" s="18">
        <v>479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407.15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335.3</v>
      </c>
      <c r="J193" s="12"/>
    </row>
    <row r="194" spans="1:10" ht="21.95" customHeight="1">
      <c r="A194" s="15" t="s">
        <v>285</v>
      </c>
      <c r="B194" s="12" t="s">
        <v>286</v>
      </c>
      <c r="C194" s="12" t="s">
        <v>31</v>
      </c>
      <c r="D194" s="12" t="s">
        <v>266</v>
      </c>
      <c r="E194" s="12"/>
      <c r="F194" s="12" t="s">
        <v>15</v>
      </c>
      <c r="G194" s="18">
        <v>429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364.65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300.3</v>
      </c>
      <c r="J194" s="12"/>
    </row>
    <row r="195" spans="1:10" ht="21.95" customHeight="1">
      <c r="A195" s="15" t="s">
        <v>287</v>
      </c>
      <c r="B195" s="12" t="s">
        <v>40</v>
      </c>
      <c r="C195" s="12" t="s">
        <v>31</v>
      </c>
      <c r="D195" s="12" t="s">
        <v>266</v>
      </c>
      <c r="E195" s="12" t="s">
        <v>54</v>
      </c>
      <c r="F195" s="12" t="s">
        <v>15</v>
      </c>
      <c r="G195" s="18">
        <v>274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232.9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191.8</v>
      </c>
      <c r="J195" s="12" t="s">
        <v>288</v>
      </c>
    </row>
    <row r="196" spans="1:10" ht="21.95" customHeight="1">
      <c r="A196" s="15" t="s">
        <v>289</v>
      </c>
      <c r="B196" s="12" t="s">
        <v>265</v>
      </c>
      <c r="C196" s="12" t="s">
        <v>31</v>
      </c>
      <c r="D196" s="12" t="s">
        <v>266</v>
      </c>
      <c r="E196" s="12"/>
      <c r="F196" s="12" t="s">
        <v>15</v>
      </c>
      <c r="G196" s="18">
        <v>385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327.25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269.5</v>
      </c>
      <c r="J196" s="12"/>
    </row>
    <row r="197" spans="1:10" ht="21.95" customHeight="1">
      <c r="A197" s="15" t="s">
        <v>290</v>
      </c>
      <c r="B197" s="12" t="s">
        <v>265</v>
      </c>
      <c r="C197" s="12" t="s">
        <v>31</v>
      </c>
      <c r="D197" s="12" t="s">
        <v>266</v>
      </c>
      <c r="E197" s="12"/>
      <c r="F197" s="12" t="s">
        <v>15</v>
      </c>
      <c r="G197" s="18">
        <v>299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254.15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209.3</v>
      </c>
      <c r="J197" s="12"/>
    </row>
    <row r="198" spans="1:10" ht="21.95" customHeight="1">
      <c r="A198" s="15" t="s">
        <v>291</v>
      </c>
      <c r="B198" s="12" t="s">
        <v>57</v>
      </c>
      <c r="C198" s="12" t="s">
        <v>31</v>
      </c>
      <c r="D198" s="12" t="s">
        <v>266</v>
      </c>
      <c r="E198" s="12" t="s">
        <v>58</v>
      </c>
      <c r="F198" s="12" t="s">
        <v>15</v>
      </c>
      <c r="G198" s="18">
        <v>499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424.15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349.3</v>
      </c>
      <c r="J198" s="12"/>
    </row>
    <row r="199" spans="1:10" ht="21.95" customHeight="1">
      <c r="A199" s="15" t="s">
        <v>292</v>
      </c>
      <c r="B199" s="12" t="s">
        <v>21</v>
      </c>
      <c r="C199" s="12" t="s">
        <v>31</v>
      </c>
      <c r="D199" s="12" t="s">
        <v>266</v>
      </c>
      <c r="E199" s="12"/>
      <c r="F199" s="12" t="s">
        <v>15</v>
      </c>
      <c r="G199" s="18">
        <v>560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476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392</v>
      </c>
      <c r="J199" s="12"/>
    </row>
    <row r="200" spans="1:10" ht="21.95" customHeight="1">
      <c r="A200" s="15" t="s">
        <v>293</v>
      </c>
      <c r="B200" s="12" t="s">
        <v>45</v>
      </c>
      <c r="C200" s="12" t="s">
        <v>31</v>
      </c>
      <c r="D200" s="12" t="s">
        <v>266</v>
      </c>
      <c r="E200" s="12" t="s">
        <v>61</v>
      </c>
      <c r="F200" s="12" t="s">
        <v>15</v>
      </c>
      <c r="G200" s="18">
        <v>546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464.1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382.2</v>
      </c>
      <c r="J200" s="12"/>
    </row>
    <row r="201" spans="1:10" ht="21.95" customHeight="1">
      <c r="A201" s="15" t="s">
        <v>294</v>
      </c>
      <c r="B201" s="12" t="s">
        <v>35</v>
      </c>
      <c r="C201" s="12" t="s">
        <v>31</v>
      </c>
      <c r="D201" s="12" t="s">
        <v>266</v>
      </c>
      <c r="E201" s="12" t="s">
        <v>61</v>
      </c>
      <c r="F201" s="12" t="s">
        <v>15</v>
      </c>
      <c r="G201" s="18">
        <v>409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347.65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286.3</v>
      </c>
      <c r="J201" s="12"/>
    </row>
    <row r="202" spans="1:10" ht="21.95" customHeight="1">
      <c r="A202" s="15" t="s">
        <v>295</v>
      </c>
      <c r="B202" s="12" t="s">
        <v>64</v>
      </c>
      <c r="C202" s="12" t="s">
        <v>31</v>
      </c>
      <c r="D202" s="12" t="s">
        <v>266</v>
      </c>
      <c r="E202" s="12"/>
      <c r="F202" s="12" t="s">
        <v>65</v>
      </c>
      <c r="G202" s="18">
        <v>455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386.75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318.5</v>
      </c>
      <c r="J202" s="12"/>
    </row>
    <row r="203" spans="1:10" ht="21.95" customHeight="1">
      <c r="A203" s="15" t="s">
        <v>296</v>
      </c>
      <c r="B203" s="12" t="s">
        <v>265</v>
      </c>
      <c r="C203" s="12" t="s">
        <v>68</v>
      </c>
      <c r="D203" s="12" t="s">
        <v>266</v>
      </c>
      <c r="E203" s="12" t="s">
        <v>267</v>
      </c>
      <c r="F203" s="12" t="s">
        <v>33</v>
      </c>
      <c r="G203" s="18">
        <v>615</v>
      </c>
      <c r="H203" s="21">
        <f>IF(SUMIFS(İndirimler!$C$2:$C$110,İndirimler!$A$2:$A$110,B203,İndirimler!$B$2:$B$110,C203)&gt;0,ROUND(G203*(1-SUMIFS(İndirimler!$C$2:$C$110,İndirimler!$A$2:$A$110,B203,İndirimler!$B$2:$B$110,C203)),2),"")</f>
        <v>522.75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430.5</v>
      </c>
      <c r="J203" s="12"/>
    </row>
    <row r="204" spans="1:10" ht="21.95" customHeight="1">
      <c r="A204" s="15" t="s">
        <v>297</v>
      </c>
      <c r="B204" s="12" t="s">
        <v>265</v>
      </c>
      <c r="C204" s="12" t="s">
        <v>68</v>
      </c>
      <c r="D204" s="12" t="s">
        <v>266</v>
      </c>
      <c r="E204" s="12" t="s">
        <v>267</v>
      </c>
      <c r="F204" s="12" t="s">
        <v>33</v>
      </c>
      <c r="G204" s="18">
        <v>615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522.75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430.5</v>
      </c>
      <c r="J204" s="12"/>
    </row>
    <row r="205" spans="1:10" ht="21.95" customHeight="1">
      <c r="A205" s="15" t="s">
        <v>298</v>
      </c>
      <c r="B205" s="12" t="s">
        <v>23</v>
      </c>
      <c r="C205" s="12" t="s">
        <v>68</v>
      </c>
      <c r="D205" s="12" t="s">
        <v>266</v>
      </c>
      <c r="E205" s="12" t="s">
        <v>110</v>
      </c>
      <c r="F205" s="12" t="s">
        <v>33</v>
      </c>
      <c r="G205" s="18">
        <v>615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522.75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430.5</v>
      </c>
      <c r="J205" s="12"/>
    </row>
    <row r="206" spans="1:10" ht="21.95" customHeight="1">
      <c r="A206" s="15" t="s">
        <v>299</v>
      </c>
      <c r="B206" s="12" t="s">
        <v>30</v>
      </c>
      <c r="C206" s="12" t="s">
        <v>68</v>
      </c>
      <c r="D206" s="12" t="s">
        <v>266</v>
      </c>
      <c r="E206" s="12"/>
      <c r="F206" s="12" t="s">
        <v>33</v>
      </c>
      <c r="G206" s="18">
        <v>499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424.15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349.3</v>
      </c>
      <c r="J206" s="12"/>
    </row>
    <row r="207" spans="1:10" ht="21.95" customHeight="1">
      <c r="A207" s="15" t="s">
        <v>300</v>
      </c>
      <c r="B207" s="12" t="s">
        <v>35</v>
      </c>
      <c r="C207" s="12" t="s">
        <v>68</v>
      </c>
      <c r="D207" s="12" t="s">
        <v>266</v>
      </c>
      <c r="E207" s="12"/>
      <c r="F207" s="12" t="s">
        <v>33</v>
      </c>
      <c r="G207" s="18">
        <v>825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701.25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577.5</v>
      </c>
      <c r="J207" s="12"/>
    </row>
    <row r="208" spans="1:10" ht="21.95" customHeight="1">
      <c r="A208" s="15" t="s">
        <v>301</v>
      </c>
      <c r="B208" s="12" t="s">
        <v>121</v>
      </c>
      <c r="C208" s="12" t="s">
        <v>68</v>
      </c>
      <c r="D208" s="12" t="s">
        <v>266</v>
      </c>
      <c r="E208" s="12" t="s">
        <v>273</v>
      </c>
      <c r="F208" s="12" t="s">
        <v>38</v>
      </c>
      <c r="G208" s="18">
        <v>570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484.5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399</v>
      </c>
      <c r="J208" s="12"/>
    </row>
    <row r="209" spans="1:10" ht="21.95" customHeight="1">
      <c r="A209" s="15" t="s">
        <v>302</v>
      </c>
      <c r="B209" s="12" t="s">
        <v>17</v>
      </c>
      <c r="C209" s="12" t="s">
        <v>68</v>
      </c>
      <c r="D209" s="12" t="s">
        <v>266</v>
      </c>
      <c r="E209" s="12" t="s">
        <v>37</v>
      </c>
      <c r="F209" s="12" t="s">
        <v>38</v>
      </c>
      <c r="G209" s="18">
        <v>500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425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350</v>
      </c>
      <c r="J209" s="12"/>
    </row>
    <row r="210" spans="1:10" ht="21.95" customHeight="1">
      <c r="A210" s="15" t="s">
        <v>303</v>
      </c>
      <c r="B210" s="12" t="s">
        <v>40</v>
      </c>
      <c r="C210" s="12" t="s">
        <v>68</v>
      </c>
      <c r="D210" s="12" t="s">
        <v>266</v>
      </c>
      <c r="E210" s="12" t="s">
        <v>41</v>
      </c>
      <c r="F210" s="12" t="s">
        <v>38</v>
      </c>
      <c r="G210" s="18">
        <v>322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273.7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225.4</v>
      </c>
      <c r="J210" s="12" t="s">
        <v>304</v>
      </c>
    </row>
    <row r="211" spans="1:10" ht="21.95" customHeight="1">
      <c r="A211" s="15" t="s">
        <v>305</v>
      </c>
      <c r="B211" s="12" t="s">
        <v>21</v>
      </c>
      <c r="C211" s="12" t="s">
        <v>68</v>
      </c>
      <c r="D211" s="12" t="s">
        <v>266</v>
      </c>
      <c r="E211" s="12"/>
      <c r="F211" s="12" t="s">
        <v>38</v>
      </c>
      <c r="G211" s="18">
        <v>608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516.79999999999995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425.6</v>
      </c>
      <c r="J211" s="12"/>
    </row>
    <row r="212" spans="1:10" ht="21.95" customHeight="1">
      <c r="A212" s="15" t="s">
        <v>306</v>
      </c>
      <c r="B212" s="12" t="s">
        <v>45</v>
      </c>
      <c r="C212" s="12" t="s">
        <v>68</v>
      </c>
      <c r="D212" s="12" t="s">
        <v>266</v>
      </c>
      <c r="E212" s="12" t="s">
        <v>46</v>
      </c>
      <c r="F212" s="12" t="s">
        <v>38</v>
      </c>
      <c r="G212" s="18">
        <v>540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459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378</v>
      </c>
      <c r="J212" s="12"/>
    </row>
    <row r="213" spans="1:10" ht="21.95" customHeight="1">
      <c r="A213" s="15" t="s">
        <v>307</v>
      </c>
      <c r="B213" s="12" t="s">
        <v>280</v>
      </c>
      <c r="C213" s="12" t="s">
        <v>68</v>
      </c>
      <c r="D213" s="12" t="s">
        <v>266</v>
      </c>
      <c r="E213" s="12"/>
      <c r="F213" s="12" t="s">
        <v>38</v>
      </c>
      <c r="G213" s="18">
        <v>555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471.75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388.5</v>
      </c>
      <c r="J213" s="12"/>
    </row>
    <row r="214" spans="1:10" ht="21.95" customHeight="1">
      <c r="A214" s="15" t="s">
        <v>308</v>
      </c>
      <c r="B214" s="12" t="s">
        <v>50</v>
      </c>
      <c r="C214" s="12" t="s">
        <v>68</v>
      </c>
      <c r="D214" s="12" t="s">
        <v>266</v>
      </c>
      <c r="E214" s="12"/>
      <c r="F214" s="12" t="s">
        <v>15</v>
      </c>
      <c r="G214" s="18">
        <v>434</v>
      </c>
      <c r="H214" s="21">
        <f>IF(SUMIFS(İndirimler!$C$2:$C$110,İndirimler!$A$2:$A$110,B214,İndirimler!$B$2:$B$110,C214)&gt;0,ROUND(G214*(1-SUMIFS(İndirimler!$C$2:$C$110,İndirimler!$A$2:$A$110,B214,İndirimler!$B$2:$B$110,C214)),2),"")</f>
        <v>368.9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303.8</v>
      </c>
      <c r="J214" s="12" t="s">
        <v>309</v>
      </c>
    </row>
    <row r="215" spans="1:10" ht="21.95" customHeight="1">
      <c r="A215" s="15" t="s">
        <v>310</v>
      </c>
      <c r="B215" s="12" t="s">
        <v>121</v>
      </c>
      <c r="C215" s="12" t="s">
        <v>68</v>
      </c>
      <c r="D215" s="12" t="s">
        <v>266</v>
      </c>
      <c r="E215" s="12"/>
      <c r="F215" s="12" t="s">
        <v>15</v>
      </c>
      <c r="G215" s="18">
        <v>528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448.8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369.6</v>
      </c>
      <c r="J215" s="12"/>
    </row>
    <row r="216" spans="1:10" ht="21.95" customHeight="1">
      <c r="A216" s="15" t="s">
        <v>311</v>
      </c>
      <c r="B216" s="12" t="s">
        <v>17</v>
      </c>
      <c r="C216" s="12" t="s">
        <v>68</v>
      </c>
      <c r="D216" s="12" t="s">
        <v>266</v>
      </c>
      <c r="E216" s="12"/>
      <c r="F216" s="12" t="s">
        <v>15</v>
      </c>
      <c r="G216" s="18">
        <v>519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441.15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363.3</v>
      </c>
      <c r="J216" s="12"/>
    </row>
    <row r="217" spans="1:10" ht="21.95" customHeight="1">
      <c r="A217" s="15" t="s">
        <v>312</v>
      </c>
      <c r="B217" s="12" t="s">
        <v>286</v>
      </c>
      <c r="C217" s="12" t="s">
        <v>68</v>
      </c>
      <c r="D217" s="12" t="s">
        <v>266</v>
      </c>
      <c r="E217" s="12"/>
      <c r="F217" s="12" t="s">
        <v>15</v>
      </c>
      <c r="G217" s="18">
        <v>479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407.15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335.3</v>
      </c>
      <c r="J217" s="12"/>
    </row>
    <row r="218" spans="1:10" ht="21.95" customHeight="1">
      <c r="A218" s="15" t="s">
        <v>313</v>
      </c>
      <c r="B218" s="12" t="s">
        <v>286</v>
      </c>
      <c r="C218" s="12" t="s">
        <v>68</v>
      </c>
      <c r="D218" s="12" t="s">
        <v>266</v>
      </c>
      <c r="E218" s="12"/>
      <c r="F218" s="12" t="s">
        <v>15</v>
      </c>
      <c r="G218" s="18">
        <v>479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407.15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335.3</v>
      </c>
      <c r="J218" s="12"/>
    </row>
    <row r="219" spans="1:10" ht="21.95" customHeight="1">
      <c r="A219" s="15" t="s">
        <v>314</v>
      </c>
      <c r="B219" s="12" t="s">
        <v>40</v>
      </c>
      <c r="C219" s="12" t="s">
        <v>68</v>
      </c>
      <c r="D219" s="12" t="s">
        <v>266</v>
      </c>
      <c r="E219" s="12" t="s">
        <v>54</v>
      </c>
      <c r="F219" s="12" t="s">
        <v>15</v>
      </c>
      <c r="G219" s="18">
        <v>274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232.9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191.8</v>
      </c>
      <c r="J219" s="12" t="s">
        <v>315</v>
      </c>
    </row>
    <row r="220" spans="1:10" ht="21.95" customHeight="1">
      <c r="A220" s="15" t="s">
        <v>316</v>
      </c>
      <c r="B220" s="12" t="s">
        <v>265</v>
      </c>
      <c r="C220" s="12" t="s">
        <v>68</v>
      </c>
      <c r="D220" s="12" t="s">
        <v>266</v>
      </c>
      <c r="E220" s="12"/>
      <c r="F220" s="12" t="s">
        <v>15</v>
      </c>
      <c r="G220" s="18">
        <v>359</v>
      </c>
      <c r="H220" s="21">
        <f>IF(SUMIFS(İndirimler!$C$2:$C$110,İndirimler!$A$2:$A$110,B220,İndirimler!$B$2:$B$110,C220)&gt;0,ROUND(G220*(1-SUMIFS(İndirimler!$C$2:$C$110,İndirimler!$A$2:$A$110,B220,İndirimler!$B$2:$B$110,C220)),2),"")</f>
        <v>305.14999999999998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251.3</v>
      </c>
      <c r="J220" s="12"/>
    </row>
    <row r="221" spans="1:10" ht="21.95" customHeight="1">
      <c r="A221" s="15" t="s">
        <v>317</v>
      </c>
      <c r="B221" s="12" t="s">
        <v>265</v>
      </c>
      <c r="C221" s="12" t="s">
        <v>68</v>
      </c>
      <c r="D221" s="12" t="s">
        <v>266</v>
      </c>
      <c r="E221" s="12"/>
      <c r="F221" s="12" t="s">
        <v>15</v>
      </c>
      <c r="G221" s="18">
        <v>299</v>
      </c>
      <c r="H221" s="21">
        <f>IF(SUMIFS(İndirimler!$C$2:$C$110,İndirimler!$A$2:$A$110,B221,İndirimler!$B$2:$B$110,C221)&gt;0,ROUND(G221*(1-SUMIFS(İndirimler!$C$2:$C$110,İndirimler!$A$2:$A$110,B221,İndirimler!$B$2:$B$110,C221)),2),"")</f>
        <v>254.15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209.3</v>
      </c>
      <c r="J221" s="12"/>
    </row>
    <row r="222" spans="1:10" ht="21.95" customHeight="1">
      <c r="A222" s="15" t="s">
        <v>318</v>
      </c>
      <c r="B222" s="12" t="s">
        <v>57</v>
      </c>
      <c r="C222" s="12" t="s">
        <v>68</v>
      </c>
      <c r="D222" s="12" t="s">
        <v>266</v>
      </c>
      <c r="E222" s="12" t="s">
        <v>58</v>
      </c>
      <c r="F222" s="12" t="s">
        <v>15</v>
      </c>
      <c r="G222" s="18">
        <v>525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446.25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367.5</v>
      </c>
      <c r="J222" s="12"/>
    </row>
    <row r="223" spans="1:10" ht="21.95" customHeight="1">
      <c r="A223" s="15" t="s">
        <v>319</v>
      </c>
      <c r="B223" s="12" t="s">
        <v>21</v>
      </c>
      <c r="C223" s="12" t="s">
        <v>68</v>
      </c>
      <c r="D223" s="12" t="s">
        <v>266</v>
      </c>
      <c r="E223" s="12"/>
      <c r="F223" s="12" t="s">
        <v>15</v>
      </c>
      <c r="G223" s="18">
        <v>590</v>
      </c>
      <c r="H223" s="21">
        <f>IF(SUMIFS(İndirimler!$C$2:$C$110,İndirimler!$A$2:$A$110,B223,İndirimler!$B$2:$B$110,C223)&gt;0,ROUND(G223*(1-SUMIFS(İndirimler!$C$2:$C$110,İndirimler!$A$2:$A$110,B223,İndirimler!$B$2:$B$110,C223)),2),"")</f>
        <v>501.5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413</v>
      </c>
      <c r="J223" s="12"/>
    </row>
    <row r="224" spans="1:10" ht="21.95" customHeight="1">
      <c r="A224" s="15" t="s">
        <v>320</v>
      </c>
      <c r="B224" s="12" t="s">
        <v>45</v>
      </c>
      <c r="C224" s="12" t="s">
        <v>68</v>
      </c>
      <c r="D224" s="12" t="s">
        <v>266</v>
      </c>
      <c r="E224" s="12" t="s">
        <v>61</v>
      </c>
      <c r="F224" s="12" t="s">
        <v>15</v>
      </c>
      <c r="G224" s="18">
        <v>458</v>
      </c>
      <c r="H224" s="21">
        <f>IF(SUMIFS(İndirimler!$C$2:$C$110,İndirimler!$A$2:$A$110,B224,İndirimler!$B$2:$B$110,C224)&gt;0,ROUND(G224*(1-SUMIFS(İndirimler!$C$2:$C$110,İndirimler!$A$2:$A$110,B224,İndirimler!$B$2:$B$110,C224)),2),"")</f>
        <v>389.3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320.60000000000002</v>
      </c>
      <c r="J224" s="12"/>
    </row>
    <row r="225" spans="1:10" ht="21.95" customHeight="1">
      <c r="A225" s="15" t="s">
        <v>321</v>
      </c>
      <c r="B225" s="12" t="s">
        <v>35</v>
      </c>
      <c r="C225" s="12" t="s">
        <v>68</v>
      </c>
      <c r="D225" s="12" t="s">
        <v>266</v>
      </c>
      <c r="E225" s="12" t="s">
        <v>61</v>
      </c>
      <c r="F225" s="12" t="s">
        <v>15</v>
      </c>
      <c r="G225" s="18">
        <v>505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429.25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353.5</v>
      </c>
      <c r="J225" s="12"/>
    </row>
    <row r="226" spans="1:10" ht="21.95" customHeight="1">
      <c r="A226" s="15" t="s">
        <v>322</v>
      </c>
      <c r="B226" s="12" t="s">
        <v>64</v>
      </c>
      <c r="C226" s="12" t="s">
        <v>68</v>
      </c>
      <c r="D226" s="12" t="s">
        <v>266</v>
      </c>
      <c r="E226" s="12"/>
      <c r="F226" s="12" t="s">
        <v>65</v>
      </c>
      <c r="G226" s="18">
        <v>455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386.75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318.5</v>
      </c>
      <c r="J226" s="12"/>
    </row>
    <row r="227" spans="1:10" ht="21.95" customHeight="1">
      <c r="A227" s="15" t="s">
        <v>323</v>
      </c>
      <c r="B227" s="12" t="s">
        <v>23</v>
      </c>
      <c r="C227" s="12" t="s">
        <v>87</v>
      </c>
      <c r="D227" s="12" t="s">
        <v>266</v>
      </c>
      <c r="E227" s="12" t="s">
        <v>110</v>
      </c>
      <c r="F227" s="12" t="s">
        <v>33</v>
      </c>
      <c r="G227" s="18">
        <v>269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228.65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188.3</v>
      </c>
      <c r="J227" s="12"/>
    </row>
    <row r="228" spans="1:10" ht="21.95" customHeight="1">
      <c r="A228" s="15" t="s">
        <v>324</v>
      </c>
      <c r="B228" s="12" t="s">
        <v>23</v>
      </c>
      <c r="C228" s="12" t="s">
        <v>87</v>
      </c>
      <c r="D228" s="12" t="s">
        <v>266</v>
      </c>
      <c r="E228" s="12" t="s">
        <v>110</v>
      </c>
      <c r="F228" s="12" t="s">
        <v>33</v>
      </c>
      <c r="G228" s="18">
        <v>500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425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350</v>
      </c>
      <c r="J228" s="12"/>
    </row>
    <row r="229" spans="1:10" ht="21.95" customHeight="1">
      <c r="A229" s="15" t="s">
        <v>325</v>
      </c>
      <c r="B229" s="12" t="s">
        <v>35</v>
      </c>
      <c r="C229" s="12" t="s">
        <v>87</v>
      </c>
      <c r="D229" s="12" t="s">
        <v>266</v>
      </c>
      <c r="E229" s="12"/>
      <c r="F229" s="12" t="s">
        <v>33</v>
      </c>
      <c r="G229" s="18">
        <v>800</v>
      </c>
      <c r="H229" s="21">
        <f>IF(SUMIFS(İndirimler!$C$2:$C$110,İndirimler!$A$2:$A$110,B229,İndirimler!$B$2:$B$110,C229)&gt;0,ROUND(G229*(1-SUMIFS(İndirimler!$C$2:$C$110,İndirimler!$A$2:$A$110,B229,İndirimler!$B$2:$B$110,C229)),2),"")</f>
        <v>680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560</v>
      </c>
      <c r="J229" s="12"/>
    </row>
    <row r="230" spans="1:10" ht="21.95" customHeight="1">
      <c r="A230" s="15" t="s">
        <v>326</v>
      </c>
      <c r="B230" s="12" t="s">
        <v>121</v>
      </c>
      <c r="C230" s="12" t="s">
        <v>87</v>
      </c>
      <c r="D230" s="12" t="s">
        <v>266</v>
      </c>
      <c r="E230" s="12" t="s">
        <v>273</v>
      </c>
      <c r="F230" s="12" t="s">
        <v>38</v>
      </c>
      <c r="G230" s="18">
        <v>773</v>
      </c>
      <c r="H230" s="21">
        <f>IF(SUMIFS(İndirimler!$C$2:$C$110,İndirimler!$A$2:$A$110,B230,İndirimler!$B$2:$B$110,C230)&gt;0,ROUND(G230*(1-SUMIFS(İndirimler!$C$2:$C$110,İndirimler!$A$2:$A$110,B230,İndirimler!$B$2:$B$110,C230)),2),"")</f>
        <v>657.05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541.1</v>
      </c>
      <c r="J230" s="12"/>
    </row>
    <row r="231" spans="1:10" ht="21.95" customHeight="1">
      <c r="A231" s="15" t="s">
        <v>327</v>
      </c>
      <c r="B231" s="12" t="s">
        <v>17</v>
      </c>
      <c r="C231" s="12" t="s">
        <v>87</v>
      </c>
      <c r="D231" s="12" t="s">
        <v>266</v>
      </c>
      <c r="E231" s="12" t="s">
        <v>37</v>
      </c>
      <c r="F231" s="12" t="s">
        <v>38</v>
      </c>
      <c r="G231" s="18">
        <v>500</v>
      </c>
      <c r="H231" s="21">
        <f>IF(SUMIFS(İndirimler!$C$2:$C$110,İndirimler!$A$2:$A$110,B231,İndirimler!$B$2:$B$110,C231)&gt;0,ROUND(G231*(1-SUMIFS(İndirimler!$C$2:$C$110,İndirimler!$A$2:$A$110,B231,İndirimler!$B$2:$B$110,C231)),2),"")</f>
        <v>425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350</v>
      </c>
      <c r="J231" s="12"/>
    </row>
    <row r="232" spans="1:10" ht="21.95" customHeight="1">
      <c r="A232" s="15" t="s">
        <v>328</v>
      </c>
      <c r="B232" s="12" t="s">
        <v>64</v>
      </c>
      <c r="C232" s="12" t="s">
        <v>87</v>
      </c>
      <c r="D232" s="12" t="s">
        <v>266</v>
      </c>
      <c r="E232" s="12" t="s">
        <v>90</v>
      </c>
      <c r="F232" s="12" t="s">
        <v>38</v>
      </c>
      <c r="G232" s="18">
        <v>500</v>
      </c>
      <c r="H232" s="21">
        <f>IF(SUMIFS(İndirimler!$C$2:$C$110,İndirimler!$A$2:$A$110,B232,İndirimler!$B$2:$B$110,C232)&gt;0,ROUND(G232*(1-SUMIFS(İndirimler!$C$2:$C$110,İndirimler!$A$2:$A$110,B232,İndirimler!$B$2:$B$110,C232)),2),"")</f>
        <v>425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350</v>
      </c>
      <c r="J232" s="12"/>
    </row>
    <row r="233" spans="1:10" ht="21.95" customHeight="1">
      <c r="A233" s="15" t="s">
        <v>329</v>
      </c>
      <c r="B233" s="12" t="s">
        <v>21</v>
      </c>
      <c r="C233" s="12" t="s">
        <v>87</v>
      </c>
      <c r="D233" s="12" t="s">
        <v>266</v>
      </c>
      <c r="E233" s="12"/>
      <c r="F233" s="12" t="s">
        <v>38</v>
      </c>
      <c r="G233" s="18">
        <v>490</v>
      </c>
      <c r="H233" s="21">
        <f>IF(SUMIFS(İndirimler!$C$2:$C$110,İndirimler!$A$2:$A$110,B233,İndirimler!$B$2:$B$110,C233)&gt;0,ROUND(G233*(1-SUMIFS(İndirimler!$C$2:$C$110,İndirimler!$A$2:$A$110,B233,İndirimler!$B$2:$B$110,C233)),2),"")</f>
        <v>416.5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343</v>
      </c>
      <c r="J233" s="12"/>
    </row>
    <row r="234" spans="1:10" ht="21.95" customHeight="1">
      <c r="A234" s="15" t="s">
        <v>330</v>
      </c>
      <c r="B234" s="12" t="s">
        <v>45</v>
      </c>
      <c r="C234" s="12" t="s">
        <v>87</v>
      </c>
      <c r="D234" s="12" t="s">
        <v>266</v>
      </c>
      <c r="E234" s="12" t="s">
        <v>46</v>
      </c>
      <c r="F234" s="12" t="s">
        <v>38</v>
      </c>
      <c r="G234" s="18">
        <v>480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408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336</v>
      </c>
      <c r="J234" s="12"/>
    </row>
    <row r="235" spans="1:10" ht="21.95" customHeight="1">
      <c r="A235" s="15" t="s">
        <v>331</v>
      </c>
      <c r="B235" s="12" t="s">
        <v>50</v>
      </c>
      <c r="C235" s="12" t="s">
        <v>87</v>
      </c>
      <c r="D235" s="12" t="s">
        <v>266</v>
      </c>
      <c r="E235" s="12"/>
      <c r="F235" s="12" t="s">
        <v>15</v>
      </c>
      <c r="G235" s="18">
        <v>498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423.3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348.6</v>
      </c>
      <c r="J235" s="12"/>
    </row>
    <row r="236" spans="1:10" ht="21.95" customHeight="1">
      <c r="A236" s="15" t="s">
        <v>332</v>
      </c>
      <c r="B236" s="12" t="s">
        <v>121</v>
      </c>
      <c r="C236" s="12" t="s">
        <v>87</v>
      </c>
      <c r="D236" s="12" t="s">
        <v>266</v>
      </c>
      <c r="E236" s="12"/>
      <c r="F236" s="12" t="s">
        <v>15</v>
      </c>
      <c r="G236" s="18">
        <v>672</v>
      </c>
      <c r="H236" s="21">
        <f>IF(SUMIFS(İndirimler!$C$2:$C$110,İndirimler!$A$2:$A$110,B236,İndirimler!$B$2:$B$110,C236)&gt;0,ROUND(G236*(1-SUMIFS(İndirimler!$C$2:$C$110,İndirimler!$A$2:$A$110,B236,İndirimler!$B$2:$B$110,C236)),2),"")</f>
        <v>571.20000000000005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470.4</v>
      </c>
      <c r="J236" s="12"/>
    </row>
    <row r="237" spans="1:10" ht="21.95" customHeight="1">
      <c r="A237" s="15" t="s">
        <v>333</v>
      </c>
      <c r="B237" s="12" t="s">
        <v>17</v>
      </c>
      <c r="C237" s="12" t="s">
        <v>87</v>
      </c>
      <c r="D237" s="12" t="s">
        <v>266</v>
      </c>
      <c r="E237" s="12"/>
      <c r="F237" s="12" t="s">
        <v>15</v>
      </c>
      <c r="G237" s="18">
        <v>500</v>
      </c>
      <c r="H237" s="21">
        <f>IF(SUMIFS(İndirimler!$C$2:$C$110,İndirimler!$A$2:$A$110,B237,İndirimler!$B$2:$B$110,C237)&gt;0,ROUND(G237*(1-SUMIFS(İndirimler!$C$2:$C$110,İndirimler!$A$2:$A$110,B237,İndirimler!$B$2:$B$110,C237)),2),"")</f>
        <v>425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350</v>
      </c>
      <c r="J237" s="12"/>
    </row>
    <row r="238" spans="1:10" ht="21.95" customHeight="1">
      <c r="A238" s="15" t="s">
        <v>334</v>
      </c>
      <c r="B238" s="12" t="s">
        <v>286</v>
      </c>
      <c r="C238" s="12" t="s">
        <v>87</v>
      </c>
      <c r="D238" s="12" t="s">
        <v>266</v>
      </c>
      <c r="E238" s="12"/>
      <c r="F238" s="12" t="s">
        <v>15</v>
      </c>
      <c r="G238" s="18">
        <v>500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425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350</v>
      </c>
      <c r="J238" s="12"/>
    </row>
    <row r="239" spans="1:10" ht="21.95" customHeight="1">
      <c r="A239" s="15" t="s">
        <v>335</v>
      </c>
      <c r="B239" s="12" t="s">
        <v>265</v>
      </c>
      <c r="C239" s="12" t="s">
        <v>87</v>
      </c>
      <c r="D239" s="12" t="s">
        <v>266</v>
      </c>
      <c r="E239" s="12"/>
      <c r="F239" s="12" t="s">
        <v>15</v>
      </c>
      <c r="G239" s="18">
        <v>500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425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350</v>
      </c>
      <c r="J239" s="12"/>
    </row>
    <row r="240" spans="1:10" ht="21.95" customHeight="1">
      <c r="A240" s="15" t="s">
        <v>336</v>
      </c>
      <c r="B240" s="12" t="s">
        <v>265</v>
      </c>
      <c r="C240" s="12" t="s">
        <v>87</v>
      </c>
      <c r="D240" s="12" t="s">
        <v>266</v>
      </c>
      <c r="E240" s="12"/>
      <c r="F240" s="12" t="s">
        <v>15</v>
      </c>
      <c r="G240" s="18">
        <v>299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254.15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209.3</v>
      </c>
      <c r="J240" s="12"/>
    </row>
    <row r="241" spans="1:10" ht="21.95" customHeight="1">
      <c r="A241" s="15" t="s">
        <v>337</v>
      </c>
      <c r="B241" s="12" t="s">
        <v>57</v>
      </c>
      <c r="C241" s="12" t="s">
        <v>87</v>
      </c>
      <c r="D241" s="12" t="s">
        <v>266</v>
      </c>
      <c r="E241" s="12" t="s">
        <v>58</v>
      </c>
      <c r="F241" s="12" t="s">
        <v>15</v>
      </c>
      <c r="G241" s="18">
        <v>500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425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350</v>
      </c>
      <c r="J241" s="12"/>
    </row>
    <row r="242" spans="1:10" ht="21.95" customHeight="1">
      <c r="A242" s="15" t="s">
        <v>338</v>
      </c>
      <c r="B242" s="12" t="s">
        <v>21</v>
      </c>
      <c r="C242" s="12" t="s">
        <v>87</v>
      </c>
      <c r="D242" s="12" t="s">
        <v>266</v>
      </c>
      <c r="E242" s="12"/>
      <c r="F242" s="12" t="s">
        <v>15</v>
      </c>
      <c r="G242" s="18">
        <v>498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423.3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348.6</v>
      </c>
      <c r="J242" s="12"/>
    </row>
    <row r="243" spans="1:10" ht="21.95" customHeight="1">
      <c r="A243" s="15" t="s">
        <v>339</v>
      </c>
      <c r="B243" s="12" t="s">
        <v>45</v>
      </c>
      <c r="C243" s="12" t="s">
        <v>87</v>
      </c>
      <c r="D243" s="12" t="s">
        <v>266</v>
      </c>
      <c r="E243" s="12" t="s">
        <v>61</v>
      </c>
      <c r="F243" s="12" t="s">
        <v>15</v>
      </c>
      <c r="G243" s="18">
        <v>387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328.95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270.89999999999998</v>
      </c>
      <c r="J243" s="12"/>
    </row>
    <row r="244" spans="1:10" ht="21.95" customHeight="1">
      <c r="A244" s="15" t="s">
        <v>340</v>
      </c>
      <c r="B244" s="12" t="s">
        <v>35</v>
      </c>
      <c r="C244" s="12" t="s">
        <v>87</v>
      </c>
      <c r="D244" s="12" t="s">
        <v>266</v>
      </c>
      <c r="E244" s="12"/>
      <c r="F244" s="12" t="s">
        <v>15</v>
      </c>
      <c r="G244" s="18">
        <v>500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425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350</v>
      </c>
      <c r="J244" s="12"/>
    </row>
    <row r="245" spans="1:10" ht="21.95" customHeight="1">
      <c r="A245" s="15" t="s">
        <v>341</v>
      </c>
      <c r="B245" s="12" t="s">
        <v>64</v>
      </c>
      <c r="C245" s="12" t="s">
        <v>87</v>
      </c>
      <c r="D245" s="12" t="s">
        <v>266</v>
      </c>
      <c r="E245" s="12"/>
      <c r="F245" s="12" t="s">
        <v>65</v>
      </c>
      <c r="G245" s="18">
        <v>500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425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350</v>
      </c>
      <c r="J245" s="12"/>
    </row>
    <row r="246" spans="1:10" ht="21.95" customHeight="1">
      <c r="A246" s="15" t="s">
        <v>342</v>
      </c>
      <c r="B246" s="12" t="s">
        <v>23</v>
      </c>
      <c r="C246" s="12" t="s">
        <v>214</v>
      </c>
      <c r="D246" s="12" t="s">
        <v>266</v>
      </c>
      <c r="E246" s="12" t="s">
        <v>110</v>
      </c>
      <c r="F246" s="12" t="s">
        <v>33</v>
      </c>
      <c r="G246" s="18">
        <v>399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339.15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279.3</v>
      </c>
      <c r="J246" s="12"/>
    </row>
    <row r="247" spans="1:10" ht="21.95" customHeight="1">
      <c r="A247" s="15" t="s">
        <v>343</v>
      </c>
      <c r="B247" s="12" t="s">
        <v>23</v>
      </c>
      <c r="C247" s="12" t="s">
        <v>214</v>
      </c>
      <c r="D247" s="12" t="s">
        <v>266</v>
      </c>
      <c r="E247" s="12" t="s">
        <v>110</v>
      </c>
      <c r="F247" s="12" t="s">
        <v>33</v>
      </c>
      <c r="G247" s="18">
        <v>199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169.15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139.30000000000001</v>
      </c>
      <c r="J247" s="12"/>
    </row>
    <row r="248" spans="1:10" ht="21.95" customHeight="1">
      <c r="A248" s="15" t="s">
        <v>344</v>
      </c>
      <c r="B248" s="12" t="s">
        <v>35</v>
      </c>
      <c r="C248" s="12" t="s">
        <v>214</v>
      </c>
      <c r="D248" s="12" t="s">
        <v>266</v>
      </c>
      <c r="E248" s="12" t="s">
        <v>188</v>
      </c>
      <c r="F248" s="12" t="s">
        <v>33</v>
      </c>
      <c r="G248" s="18">
        <v>685</v>
      </c>
      <c r="H248" s="21">
        <f>IF(SUMIFS(İndirimler!$C$2:$C$110,İndirimler!$A$2:$A$110,B248,İndirimler!$B$2:$B$110,C248)&gt;0,ROUND(G248*(1-SUMIFS(İndirimler!$C$2:$C$110,İndirimler!$A$2:$A$110,B248,İndirimler!$B$2:$B$110,C248)),2),"")</f>
        <v>582.25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479.5</v>
      </c>
      <c r="J248" s="12"/>
    </row>
    <row r="249" spans="1:10" ht="21.95" customHeight="1">
      <c r="A249" s="15" t="s">
        <v>345</v>
      </c>
      <c r="B249" s="12" t="s">
        <v>35</v>
      </c>
      <c r="C249" s="12" t="s">
        <v>214</v>
      </c>
      <c r="D249" s="12" t="s">
        <v>266</v>
      </c>
      <c r="E249" s="12" t="s">
        <v>190</v>
      </c>
      <c r="F249" s="12" t="s">
        <v>33</v>
      </c>
      <c r="G249" s="18">
        <v>685</v>
      </c>
      <c r="H249" s="21">
        <f>IF(SUMIFS(İndirimler!$C$2:$C$110,İndirimler!$A$2:$A$110,B249,İndirimler!$B$2:$B$110,C249)&gt;0,ROUND(G249*(1-SUMIFS(İndirimler!$C$2:$C$110,İndirimler!$A$2:$A$110,B249,İndirimler!$B$2:$B$110,C249)),2),"")</f>
        <v>582.25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479.5</v>
      </c>
      <c r="J249" s="12"/>
    </row>
    <row r="250" spans="1:10" ht="21.95" customHeight="1">
      <c r="A250" s="15" t="s">
        <v>346</v>
      </c>
      <c r="B250" s="12" t="s">
        <v>121</v>
      </c>
      <c r="C250" s="12" t="s">
        <v>214</v>
      </c>
      <c r="D250" s="12" t="s">
        <v>266</v>
      </c>
      <c r="E250" s="12" t="s">
        <v>273</v>
      </c>
      <c r="F250" s="12" t="s">
        <v>38</v>
      </c>
      <c r="G250" s="18">
        <v>348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295.8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243.6</v>
      </c>
      <c r="J250" s="12"/>
    </row>
    <row r="251" spans="1:10" ht="21.95" customHeight="1">
      <c r="A251" s="15" t="s">
        <v>347</v>
      </c>
      <c r="B251" s="12" t="s">
        <v>45</v>
      </c>
      <c r="C251" s="12" t="s">
        <v>214</v>
      </c>
      <c r="D251" s="12" t="s">
        <v>266</v>
      </c>
      <c r="E251" s="12" t="s">
        <v>46</v>
      </c>
      <c r="F251" s="12" t="s">
        <v>38</v>
      </c>
      <c r="G251" s="18">
        <v>428</v>
      </c>
      <c r="H251" s="21">
        <f>IF(SUMIFS(İndirimler!$C$2:$C$110,İndirimler!$A$2:$A$110,B251,İndirimler!$B$2:$B$110,C251)&gt;0,ROUND(G251*(1-SUMIFS(İndirimler!$C$2:$C$110,İndirimler!$A$2:$A$110,B251,İndirimler!$B$2:$B$110,C251)),2),"")</f>
        <v>363.8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299.60000000000002</v>
      </c>
      <c r="J251" s="12"/>
    </row>
    <row r="252" spans="1:10" ht="21.95" customHeight="1">
      <c r="A252" s="15" t="s">
        <v>348</v>
      </c>
      <c r="B252" s="12" t="s">
        <v>280</v>
      </c>
      <c r="C252" s="12" t="s">
        <v>214</v>
      </c>
      <c r="D252" s="12" t="s">
        <v>266</v>
      </c>
      <c r="E252" s="12"/>
      <c r="F252" s="12" t="s">
        <v>38</v>
      </c>
      <c r="G252" s="18">
        <v>362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307.7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253.4</v>
      </c>
      <c r="J252" s="12"/>
    </row>
    <row r="253" spans="1:10" ht="21.95" customHeight="1">
      <c r="A253" s="15" t="s">
        <v>349</v>
      </c>
      <c r="B253" s="12" t="s">
        <v>280</v>
      </c>
      <c r="C253" s="12" t="s">
        <v>214</v>
      </c>
      <c r="D253" s="12" t="s">
        <v>266</v>
      </c>
      <c r="E253" s="12"/>
      <c r="F253" s="12" t="s">
        <v>38</v>
      </c>
      <c r="G253" s="18">
        <v>338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287.3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236.6</v>
      </c>
      <c r="J253" s="12"/>
    </row>
    <row r="254" spans="1:10" ht="21.95" customHeight="1">
      <c r="A254" s="15" t="s">
        <v>350</v>
      </c>
      <c r="B254" s="12" t="s">
        <v>121</v>
      </c>
      <c r="C254" s="12" t="s">
        <v>12</v>
      </c>
      <c r="D254" s="12" t="s">
        <v>266</v>
      </c>
      <c r="E254" s="12"/>
      <c r="F254" s="12" t="s">
        <v>15</v>
      </c>
      <c r="G254" s="18">
        <v>605</v>
      </c>
      <c r="H254" s="21">
        <f>IF(SUMIFS(İndirimler!$C$2:$C$110,İndirimler!$A$2:$A$110,B254,İndirimler!$B$2:$B$110,C254)&gt;0,ROUND(G254*(1-SUMIFS(İndirimler!$C$2:$C$110,İndirimler!$A$2:$A$110,B254,İndirimler!$B$2:$B$110,C254)),2),"")</f>
        <v>514.25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423.5</v>
      </c>
      <c r="J254" s="12"/>
    </row>
    <row r="255" spans="1:10" ht="21.95" customHeight="1">
      <c r="A255" s="15" t="s">
        <v>351</v>
      </c>
      <c r="B255" s="12" t="s">
        <v>17</v>
      </c>
      <c r="C255" s="12" t="s">
        <v>12</v>
      </c>
      <c r="D255" s="12" t="s">
        <v>266</v>
      </c>
      <c r="E255" s="12"/>
      <c r="F255" s="12" t="s">
        <v>15</v>
      </c>
      <c r="G255" s="18">
        <v>499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424.15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349.3</v>
      </c>
      <c r="J255" s="12"/>
    </row>
    <row r="256" spans="1:10" ht="21.95" customHeight="1">
      <c r="A256" s="15" t="s">
        <v>352</v>
      </c>
      <c r="B256" s="12" t="s">
        <v>286</v>
      </c>
      <c r="C256" s="12" t="s">
        <v>12</v>
      </c>
      <c r="D256" s="12" t="s">
        <v>266</v>
      </c>
      <c r="E256" s="12"/>
      <c r="F256" s="12" t="s">
        <v>15</v>
      </c>
      <c r="G256" s="18">
        <v>500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425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350</v>
      </c>
      <c r="J256" s="12"/>
    </row>
    <row r="257" spans="1:10" ht="21.95" customHeight="1">
      <c r="A257" s="15" t="s">
        <v>353</v>
      </c>
      <c r="B257" s="12" t="s">
        <v>265</v>
      </c>
      <c r="C257" s="12" t="s">
        <v>12</v>
      </c>
      <c r="D257" s="12" t="s">
        <v>266</v>
      </c>
      <c r="E257" s="12"/>
      <c r="F257" s="12" t="s">
        <v>15</v>
      </c>
      <c r="G257" s="18">
        <v>500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350</v>
      </c>
      <c r="J257" s="12"/>
    </row>
    <row r="258" spans="1:10" ht="21.95" customHeight="1">
      <c r="A258" s="15" t="s">
        <v>354</v>
      </c>
      <c r="B258" s="12" t="s">
        <v>21</v>
      </c>
      <c r="C258" s="12" t="s">
        <v>12</v>
      </c>
      <c r="D258" s="12" t="s">
        <v>266</v>
      </c>
      <c r="E258" s="12"/>
      <c r="F258" s="12" t="s">
        <v>15</v>
      </c>
      <c r="G258" s="18">
        <v>478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406.3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334.6</v>
      </c>
      <c r="J258" s="12"/>
    </row>
    <row r="259" spans="1:10" ht="21.95" customHeight="1">
      <c r="A259" s="15" t="s">
        <v>355</v>
      </c>
      <c r="B259" s="12" t="s">
        <v>23</v>
      </c>
      <c r="C259" s="12" t="s">
        <v>12</v>
      </c>
      <c r="D259" s="12" t="s">
        <v>266</v>
      </c>
      <c r="E259" s="12" t="s">
        <v>26</v>
      </c>
      <c r="F259" s="12" t="s">
        <v>15</v>
      </c>
      <c r="G259" s="18">
        <v>500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425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350</v>
      </c>
      <c r="J259" s="12"/>
    </row>
    <row r="260" spans="1:10" ht="21.95" customHeight="1">
      <c r="A260" s="15" t="s">
        <v>356</v>
      </c>
      <c r="B260" s="12" t="s">
        <v>45</v>
      </c>
      <c r="C260" s="12" t="s">
        <v>12</v>
      </c>
      <c r="D260" s="12" t="s">
        <v>266</v>
      </c>
      <c r="E260" s="12"/>
      <c r="F260" s="12" t="s">
        <v>15</v>
      </c>
      <c r="G260" s="18">
        <v>504</v>
      </c>
      <c r="H260" s="21">
        <f>IF(SUMIFS(İndirimler!$C$2:$C$110,İndirimler!$A$2:$A$110,B260,İndirimler!$B$2:$B$110,C260)&gt;0,ROUND(G260*(1-SUMIFS(İndirimler!$C$2:$C$110,İndirimler!$A$2:$A$110,B260,İndirimler!$B$2:$B$110,C260)),2),"")</f>
        <v>428.4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352.8</v>
      </c>
      <c r="J260" s="12"/>
    </row>
    <row r="261" spans="1:10" ht="21.95" customHeight="1">
      <c r="A261" s="15" t="s">
        <v>357</v>
      </c>
      <c r="B261" s="12" t="s">
        <v>112</v>
      </c>
      <c r="C261" s="12" t="s">
        <v>12</v>
      </c>
      <c r="D261" s="12" t="s">
        <v>266</v>
      </c>
      <c r="E261" s="12"/>
      <c r="F261" s="12" t="s">
        <v>15</v>
      </c>
      <c r="G261" s="18">
        <v>499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424.15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349.3</v>
      </c>
      <c r="J261" s="12"/>
    </row>
    <row r="262" spans="1:10" ht="21.95" customHeight="1">
      <c r="A262" s="15" t="s">
        <v>358</v>
      </c>
      <c r="B262" s="12" t="s">
        <v>112</v>
      </c>
      <c r="C262" s="12" t="s">
        <v>12</v>
      </c>
      <c r="D262" s="12" t="s">
        <v>266</v>
      </c>
      <c r="E262" s="12"/>
      <c r="F262" s="12" t="s">
        <v>15</v>
      </c>
      <c r="G262" s="18">
        <v>500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425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350</v>
      </c>
      <c r="J262" s="12"/>
    </row>
    <row r="263" spans="1:10" ht="21.95" customHeight="1">
      <c r="A263" s="15" t="s">
        <v>359</v>
      </c>
      <c r="B263" s="12" t="s">
        <v>35</v>
      </c>
      <c r="C263" s="12" t="s">
        <v>12</v>
      </c>
      <c r="D263" s="12" t="s">
        <v>266</v>
      </c>
      <c r="E263" s="12" t="s">
        <v>61</v>
      </c>
      <c r="F263" s="12" t="s">
        <v>15</v>
      </c>
      <c r="G263" s="18">
        <v>365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310.25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255.5</v>
      </c>
      <c r="J263" s="12"/>
    </row>
    <row r="264" spans="1:10" ht="21.95" customHeight="1">
      <c r="A264" s="15" t="s">
        <v>360</v>
      </c>
      <c r="B264" s="12" t="s">
        <v>361</v>
      </c>
      <c r="C264" s="12" t="s">
        <v>31</v>
      </c>
      <c r="D264" s="12" t="s">
        <v>362</v>
      </c>
      <c r="E264" s="12" t="s">
        <v>363</v>
      </c>
      <c r="F264" s="12" t="s">
        <v>33</v>
      </c>
      <c r="G264" s="18">
        <v>649</v>
      </c>
      <c r="H264" s="21">
        <f>IF(SUMIFS(İndirimler!$C$2:$C$110,İndirimler!$A$2:$A$110,B264,İndirimler!$B$2:$B$110,C264)&gt;0,ROUND(G264*(1-SUMIFS(İndirimler!$C$2:$C$110,İndirimler!$A$2:$A$110,B264,İndirimler!$B$2:$B$110,C264)),2),"")</f>
        <v>551.65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454.3</v>
      </c>
      <c r="J264" s="12"/>
    </row>
    <row r="265" spans="1:10" ht="21.95" customHeight="1">
      <c r="A265" s="15" t="s">
        <v>364</v>
      </c>
      <c r="B265" s="12" t="s">
        <v>30</v>
      </c>
      <c r="C265" s="12" t="s">
        <v>31</v>
      </c>
      <c r="D265" s="12" t="s">
        <v>362</v>
      </c>
      <c r="E265" s="12"/>
      <c r="F265" s="12" t="s">
        <v>33</v>
      </c>
      <c r="G265" s="18">
        <v>499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424.15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349.3</v>
      </c>
      <c r="J265" s="12"/>
    </row>
    <row r="266" spans="1:10" ht="21.95" customHeight="1">
      <c r="A266" s="15" t="s">
        <v>365</v>
      </c>
      <c r="B266" s="12" t="s">
        <v>35</v>
      </c>
      <c r="C266" s="12" t="s">
        <v>31</v>
      </c>
      <c r="D266" s="12" t="s">
        <v>362</v>
      </c>
      <c r="E266" s="12"/>
      <c r="F266" s="12" t="s">
        <v>33</v>
      </c>
      <c r="G266" s="18">
        <v>615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522.75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430.5</v>
      </c>
      <c r="J266" s="12"/>
    </row>
    <row r="267" spans="1:10" ht="21.95" customHeight="1">
      <c r="A267" s="15" t="s">
        <v>366</v>
      </c>
      <c r="B267" s="12" t="s">
        <v>121</v>
      </c>
      <c r="C267" s="12" t="s">
        <v>31</v>
      </c>
      <c r="D267" s="12" t="s">
        <v>362</v>
      </c>
      <c r="E267" s="12" t="s">
        <v>273</v>
      </c>
      <c r="F267" s="12" t="s">
        <v>38</v>
      </c>
      <c r="G267" s="18">
        <v>515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437.75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360.5</v>
      </c>
      <c r="J267" s="12"/>
    </row>
    <row r="268" spans="1:10" ht="21.95" customHeight="1">
      <c r="A268" s="15" t="s">
        <v>367</v>
      </c>
      <c r="B268" s="12" t="s">
        <v>17</v>
      </c>
      <c r="C268" s="12" t="s">
        <v>31</v>
      </c>
      <c r="D268" s="12" t="s">
        <v>362</v>
      </c>
      <c r="E268" s="12" t="s">
        <v>37</v>
      </c>
      <c r="F268" s="12" t="s">
        <v>38</v>
      </c>
      <c r="G268" s="18">
        <v>500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425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350</v>
      </c>
      <c r="J268" s="12"/>
    </row>
    <row r="269" spans="1:10" ht="21.95" customHeight="1">
      <c r="A269" s="15" t="s">
        <v>368</v>
      </c>
      <c r="B269" s="12" t="s">
        <v>40</v>
      </c>
      <c r="C269" s="12" t="s">
        <v>31</v>
      </c>
      <c r="D269" s="12" t="s">
        <v>362</v>
      </c>
      <c r="E269" s="12" t="s">
        <v>41</v>
      </c>
      <c r="F269" s="12" t="s">
        <v>38</v>
      </c>
      <c r="G269" s="18">
        <v>376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319.60000000000002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263.2</v>
      </c>
      <c r="J269" s="12" t="s">
        <v>369</v>
      </c>
    </row>
    <row r="270" spans="1:10" ht="21.95" customHeight="1">
      <c r="A270" s="15" t="s">
        <v>370</v>
      </c>
      <c r="B270" s="12" t="s">
        <v>21</v>
      </c>
      <c r="C270" s="12" t="s">
        <v>31</v>
      </c>
      <c r="D270" s="12" t="s">
        <v>362</v>
      </c>
      <c r="E270" s="12"/>
      <c r="F270" s="12" t="s">
        <v>38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12"/>
    </row>
    <row r="271" spans="1:10" ht="21.95" customHeight="1">
      <c r="A271" s="15" t="s">
        <v>371</v>
      </c>
      <c r="B271" s="12" t="s">
        <v>45</v>
      </c>
      <c r="C271" s="12" t="s">
        <v>31</v>
      </c>
      <c r="D271" s="12" t="s">
        <v>362</v>
      </c>
      <c r="E271" s="12" t="s">
        <v>46</v>
      </c>
      <c r="F271" s="12" t="s">
        <v>38</v>
      </c>
      <c r="G271" s="18">
        <v>720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612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504</v>
      </c>
      <c r="J271" s="12"/>
    </row>
    <row r="272" spans="1:10" ht="21.95" customHeight="1">
      <c r="A272" s="15" t="s">
        <v>372</v>
      </c>
      <c r="B272" s="12" t="s">
        <v>373</v>
      </c>
      <c r="C272" s="12" t="s">
        <v>31</v>
      </c>
      <c r="D272" s="12" t="s">
        <v>362</v>
      </c>
      <c r="E272" s="12"/>
      <c r="F272" s="12" t="s">
        <v>38</v>
      </c>
      <c r="G272" s="18">
        <v>500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425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350</v>
      </c>
      <c r="J272" s="12"/>
    </row>
    <row r="273" spans="1:10" ht="21.95" customHeight="1">
      <c r="A273" s="15" t="s">
        <v>374</v>
      </c>
      <c r="B273" s="12" t="s">
        <v>50</v>
      </c>
      <c r="C273" s="12" t="s">
        <v>31</v>
      </c>
      <c r="D273" s="12" t="s">
        <v>362</v>
      </c>
      <c r="E273" s="12"/>
      <c r="F273" s="12" t="s">
        <v>15</v>
      </c>
      <c r="G273" s="18">
        <v>366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311.10000000000002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256.2</v>
      </c>
      <c r="J273" s="12" t="s">
        <v>375</v>
      </c>
    </row>
    <row r="274" spans="1:10" ht="21.95" customHeight="1">
      <c r="A274" s="15" t="s">
        <v>376</v>
      </c>
      <c r="B274" s="12" t="s">
        <v>121</v>
      </c>
      <c r="C274" s="12" t="s">
        <v>31</v>
      </c>
      <c r="D274" s="12" t="s">
        <v>362</v>
      </c>
      <c r="E274" s="12"/>
      <c r="F274" s="12" t="s">
        <v>15</v>
      </c>
      <c r="G274" s="18">
        <v>592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503.2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414.4</v>
      </c>
      <c r="J274" s="12"/>
    </row>
    <row r="275" spans="1:10" ht="21.95" customHeight="1">
      <c r="A275" s="15" t="s">
        <v>377</v>
      </c>
      <c r="B275" s="12" t="s">
        <v>17</v>
      </c>
      <c r="C275" s="12" t="s">
        <v>31</v>
      </c>
      <c r="D275" s="12" t="s">
        <v>362</v>
      </c>
      <c r="E275" s="12"/>
      <c r="F275" s="12" t="s">
        <v>15</v>
      </c>
      <c r="G275" s="18">
        <v>479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407.15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335.3</v>
      </c>
      <c r="J275" s="12"/>
    </row>
    <row r="276" spans="1:10" ht="21.95" customHeight="1">
      <c r="A276" s="15" t="s">
        <v>378</v>
      </c>
      <c r="B276" s="12" t="s">
        <v>40</v>
      </c>
      <c r="C276" s="12" t="s">
        <v>31</v>
      </c>
      <c r="D276" s="12" t="s">
        <v>362</v>
      </c>
      <c r="E276" s="12" t="s">
        <v>54</v>
      </c>
      <c r="F276" s="12" t="s">
        <v>15</v>
      </c>
      <c r="G276" s="18">
        <v>274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232.9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191.8</v>
      </c>
      <c r="J276" s="12" t="s">
        <v>379</v>
      </c>
    </row>
    <row r="277" spans="1:10" ht="21.95" customHeight="1">
      <c r="A277" s="15" t="s">
        <v>380</v>
      </c>
      <c r="B277" s="12" t="s">
        <v>57</v>
      </c>
      <c r="C277" s="12" t="s">
        <v>31</v>
      </c>
      <c r="D277" s="12" t="s">
        <v>362</v>
      </c>
      <c r="E277" s="12" t="s">
        <v>58</v>
      </c>
      <c r="F277" s="12" t="s">
        <v>15</v>
      </c>
      <c r="G277" s="18">
        <v>475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403.75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332.5</v>
      </c>
      <c r="J277" s="12"/>
    </row>
    <row r="278" spans="1:10" ht="21.95" customHeight="1">
      <c r="A278" s="15" t="s">
        <v>381</v>
      </c>
      <c r="B278" s="12" t="s">
        <v>21</v>
      </c>
      <c r="C278" s="12" t="s">
        <v>31</v>
      </c>
      <c r="D278" s="12" t="s">
        <v>362</v>
      </c>
      <c r="E278" s="12"/>
      <c r="F278" s="12" t="s">
        <v>15</v>
      </c>
      <c r="G278" s="18">
        <v>548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465.8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383.6</v>
      </c>
      <c r="J278" s="12"/>
    </row>
    <row r="279" spans="1:10" ht="21.95" customHeight="1">
      <c r="A279" s="15" t="s">
        <v>382</v>
      </c>
      <c r="B279" s="12" t="s">
        <v>45</v>
      </c>
      <c r="C279" s="12" t="s">
        <v>31</v>
      </c>
      <c r="D279" s="12" t="s">
        <v>362</v>
      </c>
      <c r="E279" s="12" t="s">
        <v>61</v>
      </c>
      <c r="F279" s="12" t="s">
        <v>15</v>
      </c>
      <c r="G279" s="18">
        <v>510</v>
      </c>
      <c r="H279" s="21">
        <f>IF(SUMIFS(İndirimler!$C$2:$C$110,İndirimler!$A$2:$A$110,B279,İndirimler!$B$2:$B$110,C279)&gt;0,ROUND(G279*(1-SUMIFS(İndirimler!$C$2:$C$110,İndirimler!$A$2:$A$110,B279,İndirimler!$B$2:$B$110,C279)),2),"")</f>
        <v>433.5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357</v>
      </c>
      <c r="J279" s="12"/>
    </row>
    <row r="280" spans="1:10" ht="21.95" customHeight="1">
      <c r="A280" s="15" t="s">
        <v>383</v>
      </c>
      <c r="B280" s="12" t="s">
        <v>361</v>
      </c>
      <c r="C280" s="12" t="s">
        <v>31</v>
      </c>
      <c r="D280" s="12" t="s">
        <v>362</v>
      </c>
      <c r="E280" s="12"/>
      <c r="F280" s="12" t="s">
        <v>15</v>
      </c>
      <c r="G280" s="18">
        <v>449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381.65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314.3</v>
      </c>
      <c r="J280" s="12"/>
    </row>
    <row r="281" spans="1:10" ht="21.95" customHeight="1">
      <c r="A281" s="15" t="s">
        <v>384</v>
      </c>
      <c r="B281" s="12" t="s">
        <v>35</v>
      </c>
      <c r="C281" s="12" t="s">
        <v>31</v>
      </c>
      <c r="D281" s="12" t="s">
        <v>362</v>
      </c>
      <c r="E281" s="12" t="s">
        <v>61</v>
      </c>
      <c r="F281" s="12" t="s">
        <v>15</v>
      </c>
      <c r="G281" s="18">
        <v>345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293.25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241.5</v>
      </c>
      <c r="J281" s="12"/>
    </row>
    <row r="282" spans="1:10" ht="21.95" customHeight="1">
      <c r="A282" s="15" t="s">
        <v>385</v>
      </c>
      <c r="B282" s="12" t="s">
        <v>64</v>
      </c>
      <c r="C282" s="12" t="s">
        <v>31</v>
      </c>
      <c r="D282" s="12" t="s">
        <v>362</v>
      </c>
      <c r="E282" s="12"/>
      <c r="F282" s="12" t="s">
        <v>65</v>
      </c>
      <c r="G282" s="18">
        <v>409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347.65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286.3</v>
      </c>
      <c r="J282" s="12"/>
    </row>
    <row r="283" spans="1:10" ht="21.95" customHeight="1">
      <c r="A283" s="15" t="s">
        <v>386</v>
      </c>
      <c r="B283" s="12" t="s">
        <v>361</v>
      </c>
      <c r="C283" s="12" t="s">
        <v>68</v>
      </c>
      <c r="D283" s="12" t="s">
        <v>362</v>
      </c>
      <c r="E283" s="12" t="s">
        <v>363</v>
      </c>
      <c r="F283" s="12" t="s">
        <v>33</v>
      </c>
      <c r="G283" s="18">
        <v>625</v>
      </c>
      <c r="H283" s="21">
        <f>IF(SUMIFS(İndirimler!$C$2:$C$110,İndirimler!$A$2:$A$110,B283,İndirimler!$B$2:$B$110,C283)&gt;0,ROUND(G283*(1-SUMIFS(İndirimler!$C$2:$C$110,İndirimler!$A$2:$A$110,B283,İndirimler!$B$2:$B$110,C283)),2),"")</f>
        <v>531.25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437.5</v>
      </c>
      <c r="J283" s="12"/>
    </row>
    <row r="284" spans="1:10" ht="21.95" customHeight="1">
      <c r="A284" s="15" t="s">
        <v>387</v>
      </c>
      <c r="B284" s="12" t="s">
        <v>30</v>
      </c>
      <c r="C284" s="12" t="s">
        <v>68</v>
      </c>
      <c r="D284" s="12" t="s">
        <v>362</v>
      </c>
      <c r="E284" s="12"/>
      <c r="F284" s="12" t="s">
        <v>33</v>
      </c>
      <c r="G284" s="18">
        <v>499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424.15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349.3</v>
      </c>
      <c r="J284" s="12"/>
    </row>
    <row r="285" spans="1:10" ht="21.95" customHeight="1">
      <c r="A285" s="15" t="s">
        <v>388</v>
      </c>
      <c r="B285" s="12" t="s">
        <v>35</v>
      </c>
      <c r="C285" s="12" t="s">
        <v>68</v>
      </c>
      <c r="D285" s="12" t="s">
        <v>362</v>
      </c>
      <c r="E285" s="12"/>
      <c r="F285" s="12" t="s">
        <v>33</v>
      </c>
      <c r="G285" s="18">
        <v>635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539.75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444.5</v>
      </c>
      <c r="J285" s="12"/>
    </row>
    <row r="286" spans="1:10" ht="21.95" customHeight="1">
      <c r="A286" s="15" t="s">
        <v>389</v>
      </c>
      <c r="B286" s="12" t="s">
        <v>121</v>
      </c>
      <c r="C286" s="12" t="s">
        <v>68</v>
      </c>
      <c r="D286" s="12" t="s">
        <v>362</v>
      </c>
      <c r="E286" s="12" t="s">
        <v>273</v>
      </c>
      <c r="F286" s="12" t="s">
        <v>38</v>
      </c>
      <c r="G286" s="18">
        <v>552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469.2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386.4</v>
      </c>
      <c r="J286" s="12"/>
    </row>
    <row r="287" spans="1:10" ht="21.95" customHeight="1">
      <c r="A287" s="15" t="s">
        <v>390</v>
      </c>
      <c r="B287" s="12" t="s">
        <v>17</v>
      </c>
      <c r="C287" s="12" t="s">
        <v>68</v>
      </c>
      <c r="D287" s="12" t="s">
        <v>362</v>
      </c>
      <c r="E287" s="12" t="s">
        <v>37</v>
      </c>
      <c r="F287" s="12" t="s">
        <v>38</v>
      </c>
      <c r="G287" s="18">
        <v>500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425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350</v>
      </c>
      <c r="J287" s="12"/>
    </row>
    <row r="288" spans="1:10" ht="21.95" customHeight="1">
      <c r="A288" s="15" t="s">
        <v>391</v>
      </c>
      <c r="B288" s="12" t="s">
        <v>40</v>
      </c>
      <c r="C288" s="12" t="s">
        <v>68</v>
      </c>
      <c r="D288" s="12" t="s">
        <v>362</v>
      </c>
      <c r="E288" s="12" t="s">
        <v>41</v>
      </c>
      <c r="F288" s="12" t="s">
        <v>38</v>
      </c>
      <c r="G288" s="18">
        <v>376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319.60000000000002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263.2</v>
      </c>
      <c r="J288" s="12" t="s">
        <v>392</v>
      </c>
    </row>
    <row r="289" spans="1:10" ht="21.95" customHeight="1">
      <c r="A289" s="15" t="s">
        <v>393</v>
      </c>
      <c r="B289" s="12" t="s">
        <v>21</v>
      </c>
      <c r="C289" s="12" t="s">
        <v>68</v>
      </c>
      <c r="D289" s="12" t="s">
        <v>362</v>
      </c>
      <c r="E289" s="12"/>
      <c r="F289" s="12" t="s">
        <v>38</v>
      </c>
      <c r="G289" s="18">
        <v>620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527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434</v>
      </c>
      <c r="J289" s="12"/>
    </row>
    <row r="290" spans="1:10" ht="21.95" customHeight="1">
      <c r="A290" s="15" t="s">
        <v>394</v>
      </c>
      <c r="B290" s="12" t="s">
        <v>45</v>
      </c>
      <c r="C290" s="12" t="s">
        <v>68</v>
      </c>
      <c r="D290" s="12" t="s">
        <v>362</v>
      </c>
      <c r="E290" s="12" t="s">
        <v>46</v>
      </c>
      <c r="F290" s="12" t="s">
        <v>38</v>
      </c>
      <c r="G290" s="18">
        <v>580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493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406</v>
      </c>
      <c r="J290" s="12"/>
    </row>
    <row r="291" spans="1:10" ht="21.95" customHeight="1">
      <c r="A291" s="15" t="s">
        <v>395</v>
      </c>
      <c r="B291" s="12" t="s">
        <v>373</v>
      </c>
      <c r="C291" s="12" t="s">
        <v>68</v>
      </c>
      <c r="D291" s="12" t="s">
        <v>362</v>
      </c>
      <c r="E291" s="12"/>
      <c r="F291" s="12" t="s">
        <v>38</v>
      </c>
      <c r="G291" s="18">
        <v>500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425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350</v>
      </c>
      <c r="J291" s="12"/>
    </row>
    <row r="292" spans="1:10" ht="21.95" customHeight="1">
      <c r="A292" s="15" t="s">
        <v>396</v>
      </c>
      <c r="B292" s="12" t="s">
        <v>50</v>
      </c>
      <c r="C292" s="12" t="s">
        <v>68</v>
      </c>
      <c r="D292" s="12" t="s">
        <v>362</v>
      </c>
      <c r="E292" s="12"/>
      <c r="F292" s="12" t="s">
        <v>15</v>
      </c>
      <c r="G292" s="18">
        <v>328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278.8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229.6</v>
      </c>
      <c r="J292" s="12" t="s">
        <v>397</v>
      </c>
    </row>
    <row r="293" spans="1:10" ht="21.95" customHeight="1">
      <c r="A293" s="15" t="s">
        <v>398</v>
      </c>
      <c r="B293" s="12" t="s">
        <v>121</v>
      </c>
      <c r="C293" s="12" t="s">
        <v>68</v>
      </c>
      <c r="D293" s="12" t="s">
        <v>362</v>
      </c>
      <c r="E293" s="12"/>
      <c r="F293" s="12" t="s">
        <v>15</v>
      </c>
      <c r="G293" s="18">
        <v>560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476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392</v>
      </c>
      <c r="J293" s="12"/>
    </row>
    <row r="294" spans="1:10" ht="21.95" customHeight="1">
      <c r="A294" s="15" t="s">
        <v>399</v>
      </c>
      <c r="B294" s="12" t="s">
        <v>17</v>
      </c>
      <c r="C294" s="12" t="s">
        <v>68</v>
      </c>
      <c r="D294" s="12" t="s">
        <v>362</v>
      </c>
      <c r="E294" s="12"/>
      <c r="F294" s="12" t="s">
        <v>15</v>
      </c>
      <c r="G294" s="18">
        <v>519</v>
      </c>
      <c r="H294" s="21">
        <f>IF(SUMIFS(İndirimler!$C$2:$C$110,İndirimler!$A$2:$A$110,B294,İndirimler!$B$2:$B$110,C294)&gt;0,ROUND(G294*(1-SUMIFS(İndirimler!$C$2:$C$110,İndirimler!$A$2:$A$110,B294,İndirimler!$B$2:$B$110,C294)),2),"")</f>
        <v>441.15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363.3</v>
      </c>
      <c r="J294" s="12"/>
    </row>
    <row r="295" spans="1:10" ht="21.95" customHeight="1">
      <c r="A295" s="15" t="s">
        <v>400</v>
      </c>
      <c r="B295" s="12" t="s">
        <v>40</v>
      </c>
      <c r="C295" s="12" t="s">
        <v>68</v>
      </c>
      <c r="D295" s="12" t="s">
        <v>362</v>
      </c>
      <c r="E295" s="12" t="s">
        <v>54</v>
      </c>
      <c r="F295" s="12" t="s">
        <v>15</v>
      </c>
      <c r="G295" s="18">
        <v>274</v>
      </c>
      <c r="H295" s="21">
        <f>IF(SUMIFS(İndirimler!$C$2:$C$110,İndirimler!$A$2:$A$110,B295,İndirimler!$B$2:$B$110,C295)&gt;0,ROUND(G295*(1-SUMIFS(İndirimler!$C$2:$C$110,İndirimler!$A$2:$A$110,B295,İndirimler!$B$2:$B$110,C295)),2),"")</f>
        <v>232.9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191.8</v>
      </c>
      <c r="J295" s="12" t="s">
        <v>401</v>
      </c>
    </row>
    <row r="296" spans="1:10" ht="21.95" customHeight="1">
      <c r="A296" s="15" t="s">
        <v>402</v>
      </c>
      <c r="B296" s="12" t="s">
        <v>57</v>
      </c>
      <c r="C296" s="12" t="s">
        <v>68</v>
      </c>
      <c r="D296" s="12" t="s">
        <v>362</v>
      </c>
      <c r="E296" s="12" t="s">
        <v>58</v>
      </c>
      <c r="F296" s="12" t="s">
        <v>15</v>
      </c>
      <c r="G296" s="18">
        <v>475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403.75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332.5</v>
      </c>
      <c r="J296" s="12"/>
    </row>
    <row r="297" spans="1:10" ht="21.95" customHeight="1">
      <c r="A297" s="15" t="s">
        <v>403</v>
      </c>
      <c r="B297" s="12" t="s">
        <v>21</v>
      </c>
      <c r="C297" s="12" t="s">
        <v>68</v>
      </c>
      <c r="D297" s="12" t="s">
        <v>362</v>
      </c>
      <c r="E297" s="12"/>
      <c r="F297" s="12" t="s">
        <v>15</v>
      </c>
      <c r="G297" s="18">
        <v>578</v>
      </c>
      <c r="H297" s="21">
        <f>IF(SUMIFS(İndirimler!$C$2:$C$110,İndirimler!$A$2:$A$110,B297,İndirimler!$B$2:$B$110,C297)&gt;0,ROUND(G297*(1-SUMIFS(İndirimler!$C$2:$C$110,İndirimler!$A$2:$A$110,B297,İndirimler!$B$2:$B$110,C297)),2),"")</f>
        <v>491.3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404.6</v>
      </c>
      <c r="J297" s="12"/>
    </row>
    <row r="298" spans="1:10" ht="21.95" customHeight="1">
      <c r="A298" s="15" t="s">
        <v>404</v>
      </c>
      <c r="B298" s="12" t="s">
        <v>45</v>
      </c>
      <c r="C298" s="12" t="s">
        <v>68</v>
      </c>
      <c r="D298" s="12" t="s">
        <v>362</v>
      </c>
      <c r="E298" s="12" t="s">
        <v>61</v>
      </c>
      <c r="F298" s="12" t="s">
        <v>15</v>
      </c>
      <c r="G298" s="18">
        <v>422</v>
      </c>
      <c r="H298" s="21">
        <f>IF(SUMIFS(İndirimler!$C$2:$C$110,İndirimler!$A$2:$A$110,B298,İndirimler!$B$2:$B$110,C298)&gt;0,ROUND(G298*(1-SUMIFS(İndirimler!$C$2:$C$110,İndirimler!$A$2:$A$110,B298,İndirimler!$B$2:$B$110,C298)),2),"")</f>
        <v>358.7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295.39999999999998</v>
      </c>
      <c r="J298" s="12"/>
    </row>
    <row r="299" spans="1:10" ht="21.95" customHeight="1">
      <c r="A299" s="15" t="s">
        <v>405</v>
      </c>
      <c r="B299" s="12" t="s">
        <v>361</v>
      </c>
      <c r="C299" s="12" t="s">
        <v>68</v>
      </c>
      <c r="D299" s="12" t="s">
        <v>362</v>
      </c>
      <c r="E299" s="12"/>
      <c r="F299" s="12" t="s">
        <v>15</v>
      </c>
      <c r="G299" s="18">
        <v>439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373.15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307.3</v>
      </c>
      <c r="J299" s="12"/>
    </row>
    <row r="300" spans="1:10" ht="21.95" customHeight="1">
      <c r="A300" s="15" t="s">
        <v>406</v>
      </c>
      <c r="B300" s="12" t="s">
        <v>35</v>
      </c>
      <c r="C300" s="12" t="s">
        <v>68</v>
      </c>
      <c r="D300" s="12" t="s">
        <v>362</v>
      </c>
      <c r="E300" s="12" t="s">
        <v>61</v>
      </c>
      <c r="F300" s="12" t="s">
        <v>15</v>
      </c>
      <c r="G300" s="18">
        <v>345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293.25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241.5</v>
      </c>
      <c r="J300" s="12"/>
    </row>
    <row r="301" spans="1:10" ht="21.95" customHeight="1">
      <c r="A301" s="15" t="s">
        <v>407</v>
      </c>
      <c r="B301" s="12" t="s">
        <v>64</v>
      </c>
      <c r="C301" s="12" t="s">
        <v>68</v>
      </c>
      <c r="D301" s="12" t="s">
        <v>362</v>
      </c>
      <c r="E301" s="12"/>
      <c r="F301" s="12" t="s">
        <v>65</v>
      </c>
      <c r="G301" s="18">
        <v>409</v>
      </c>
      <c r="H301" s="21">
        <f>IF(SUMIFS(İndirimler!$C$2:$C$110,İndirimler!$A$2:$A$110,B301,İndirimler!$B$2:$B$110,C301)&gt;0,ROUND(G301*(1-SUMIFS(İndirimler!$C$2:$C$110,İndirimler!$A$2:$A$110,B301,İndirimler!$B$2:$B$110,C301)),2),"")</f>
        <v>347.65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286.3</v>
      </c>
      <c r="J301" s="12"/>
    </row>
    <row r="302" spans="1:10" ht="21.95" customHeight="1">
      <c r="A302" s="15" t="s">
        <v>408</v>
      </c>
      <c r="B302" s="12" t="s">
        <v>361</v>
      </c>
      <c r="C302" s="12" t="s">
        <v>87</v>
      </c>
      <c r="D302" s="12" t="s">
        <v>362</v>
      </c>
      <c r="E302" s="12" t="s">
        <v>363</v>
      </c>
      <c r="F302" s="12" t="s">
        <v>33</v>
      </c>
      <c r="G302" s="18">
        <v>700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595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490</v>
      </c>
      <c r="J302" s="12"/>
    </row>
    <row r="303" spans="1:10" ht="21.95" customHeight="1">
      <c r="A303" s="15" t="s">
        <v>409</v>
      </c>
      <c r="B303" s="12" t="s">
        <v>35</v>
      </c>
      <c r="C303" s="12" t="s">
        <v>87</v>
      </c>
      <c r="D303" s="12" t="s">
        <v>362</v>
      </c>
      <c r="E303" s="12"/>
      <c r="F303" s="12" t="s">
        <v>33</v>
      </c>
      <c r="G303" s="18">
        <v>800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680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560</v>
      </c>
      <c r="J303" s="12"/>
    </row>
    <row r="304" spans="1:10" ht="21.95" customHeight="1">
      <c r="A304" s="15" t="s">
        <v>410</v>
      </c>
      <c r="B304" s="12" t="s">
        <v>121</v>
      </c>
      <c r="C304" s="12" t="s">
        <v>87</v>
      </c>
      <c r="D304" s="12" t="s">
        <v>362</v>
      </c>
      <c r="E304" s="12" t="s">
        <v>273</v>
      </c>
      <c r="F304" s="12" t="s">
        <v>38</v>
      </c>
      <c r="G304" s="18">
        <v>589</v>
      </c>
      <c r="H304" s="21">
        <f>IF(SUMIFS(İndirimler!$C$2:$C$110,İndirimler!$A$2:$A$110,B304,İndirimler!$B$2:$B$110,C304)&gt;0,ROUND(G304*(1-SUMIFS(İndirimler!$C$2:$C$110,İndirimler!$A$2:$A$110,B304,İndirimler!$B$2:$B$110,C304)),2),"")</f>
        <v>500.65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412.3</v>
      </c>
      <c r="J304" s="12"/>
    </row>
    <row r="305" spans="1:10" ht="21.95" customHeight="1">
      <c r="A305" s="15" t="s">
        <v>411</v>
      </c>
      <c r="B305" s="12" t="s">
        <v>17</v>
      </c>
      <c r="C305" s="12" t="s">
        <v>87</v>
      </c>
      <c r="D305" s="12" t="s">
        <v>362</v>
      </c>
      <c r="E305" s="12" t="s">
        <v>37</v>
      </c>
      <c r="F305" s="12" t="s">
        <v>38</v>
      </c>
      <c r="G305" s="18">
        <v>500</v>
      </c>
      <c r="H305" s="21">
        <f>IF(SUMIFS(İndirimler!$C$2:$C$110,İndirimler!$A$2:$A$110,B305,İndirimler!$B$2:$B$110,C305)&gt;0,ROUND(G305*(1-SUMIFS(İndirimler!$C$2:$C$110,İndirimler!$A$2:$A$110,B305,İndirimler!$B$2:$B$110,C305)),2),"")</f>
        <v>425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350</v>
      </c>
      <c r="J305" s="12"/>
    </row>
    <row r="306" spans="1:10" ht="21.95" customHeight="1">
      <c r="A306" s="15" t="s">
        <v>412</v>
      </c>
      <c r="B306" s="12" t="s">
        <v>64</v>
      </c>
      <c r="C306" s="12" t="s">
        <v>87</v>
      </c>
      <c r="D306" s="12" t="s">
        <v>362</v>
      </c>
      <c r="E306" s="12" t="s">
        <v>90</v>
      </c>
      <c r="F306" s="12" t="s">
        <v>38</v>
      </c>
      <c r="G306" s="18">
        <v>500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425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350</v>
      </c>
      <c r="J306" s="12"/>
    </row>
    <row r="307" spans="1:10" ht="21.95" customHeight="1">
      <c r="A307" s="15" t="s">
        <v>413</v>
      </c>
      <c r="B307" s="12" t="s">
        <v>21</v>
      </c>
      <c r="C307" s="12" t="s">
        <v>87</v>
      </c>
      <c r="D307" s="12" t="s">
        <v>362</v>
      </c>
      <c r="E307" s="12"/>
      <c r="F307" s="12" t="s">
        <v>38</v>
      </c>
      <c r="G307" s="18">
        <v>490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416.5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343</v>
      </c>
      <c r="J307" s="12"/>
    </row>
    <row r="308" spans="1:10" ht="21.95" customHeight="1">
      <c r="A308" s="15" t="s">
        <v>414</v>
      </c>
      <c r="B308" s="12" t="s">
        <v>45</v>
      </c>
      <c r="C308" s="12" t="s">
        <v>87</v>
      </c>
      <c r="D308" s="12" t="s">
        <v>362</v>
      </c>
      <c r="E308" s="12" t="s">
        <v>46</v>
      </c>
      <c r="F308" s="12" t="s">
        <v>38</v>
      </c>
      <c r="G308" s="18">
        <v>580</v>
      </c>
      <c r="H308" s="21">
        <f>IF(SUMIFS(İndirimler!$C$2:$C$110,İndirimler!$A$2:$A$110,B308,İndirimler!$B$2:$B$110,C308)&gt;0,ROUND(G308*(1-SUMIFS(İndirimler!$C$2:$C$110,İndirimler!$A$2:$A$110,B308,İndirimler!$B$2:$B$110,C308)),2),"")</f>
        <v>493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406</v>
      </c>
      <c r="J308" s="12"/>
    </row>
    <row r="309" spans="1:10" ht="21.95" customHeight="1">
      <c r="A309" s="15" t="s">
        <v>415</v>
      </c>
      <c r="B309" s="12" t="s">
        <v>373</v>
      </c>
      <c r="C309" s="12" t="s">
        <v>87</v>
      </c>
      <c r="D309" s="12" t="s">
        <v>362</v>
      </c>
      <c r="E309" s="12"/>
      <c r="F309" s="12" t="s">
        <v>38</v>
      </c>
      <c r="G309" s="18">
        <v>500</v>
      </c>
      <c r="H309" s="21">
        <f>IF(SUMIFS(İndirimler!$C$2:$C$110,İndirimler!$A$2:$A$110,B309,İndirimler!$B$2:$B$110,C309)&gt;0,ROUND(G309*(1-SUMIFS(İndirimler!$C$2:$C$110,İndirimler!$A$2:$A$110,B309,İndirimler!$B$2:$B$110,C309)),2),"")</f>
        <v>425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350</v>
      </c>
      <c r="J309" s="12"/>
    </row>
    <row r="310" spans="1:10" ht="21.95" customHeight="1">
      <c r="A310" s="15" t="s">
        <v>416</v>
      </c>
      <c r="B310" s="12" t="s">
        <v>50</v>
      </c>
      <c r="C310" s="12" t="s">
        <v>87</v>
      </c>
      <c r="D310" s="12" t="s">
        <v>362</v>
      </c>
      <c r="E310" s="12"/>
      <c r="F310" s="12" t="s">
        <v>15</v>
      </c>
      <c r="G310" s="18">
        <v>328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278.8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229.6</v>
      </c>
      <c r="J310" s="12"/>
    </row>
    <row r="311" spans="1:10" ht="21.95" customHeight="1">
      <c r="A311" s="15" t="s">
        <v>417</v>
      </c>
      <c r="B311" s="12" t="s">
        <v>121</v>
      </c>
      <c r="C311" s="12" t="s">
        <v>87</v>
      </c>
      <c r="D311" s="12" t="s">
        <v>362</v>
      </c>
      <c r="E311" s="12"/>
      <c r="F311" s="12" t="s">
        <v>15</v>
      </c>
      <c r="G311" s="18">
        <v>464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394.4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324.8</v>
      </c>
      <c r="J311" s="12"/>
    </row>
    <row r="312" spans="1:10" ht="21.95" customHeight="1">
      <c r="A312" s="15" t="s">
        <v>418</v>
      </c>
      <c r="B312" s="12" t="s">
        <v>17</v>
      </c>
      <c r="C312" s="12" t="s">
        <v>87</v>
      </c>
      <c r="D312" s="12" t="s">
        <v>362</v>
      </c>
      <c r="E312" s="12"/>
      <c r="F312" s="12" t="s">
        <v>15</v>
      </c>
      <c r="G312" s="18">
        <v>500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425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350</v>
      </c>
      <c r="J312" s="12"/>
    </row>
    <row r="313" spans="1:10" ht="21.95" customHeight="1">
      <c r="A313" s="15" t="s">
        <v>419</v>
      </c>
      <c r="B313" s="12" t="s">
        <v>57</v>
      </c>
      <c r="C313" s="12" t="s">
        <v>87</v>
      </c>
      <c r="D313" s="12" t="s">
        <v>362</v>
      </c>
      <c r="E313" s="12" t="s">
        <v>58</v>
      </c>
      <c r="F313" s="12" t="s">
        <v>15</v>
      </c>
      <c r="G313" s="18">
        <v>500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425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350</v>
      </c>
      <c r="J313" s="12"/>
    </row>
    <row r="314" spans="1:10" ht="21.95" customHeight="1">
      <c r="A314" s="15" t="s">
        <v>420</v>
      </c>
      <c r="B314" s="12" t="s">
        <v>21</v>
      </c>
      <c r="C314" s="12" t="s">
        <v>87</v>
      </c>
      <c r="D314" s="12" t="s">
        <v>362</v>
      </c>
      <c r="E314" s="12"/>
      <c r="F314" s="12" t="s">
        <v>15</v>
      </c>
      <c r="G314" s="18">
        <v>448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380.8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313.60000000000002</v>
      </c>
      <c r="J314" s="12"/>
    </row>
    <row r="315" spans="1:10" ht="21.95" customHeight="1">
      <c r="A315" s="15" t="s">
        <v>421</v>
      </c>
      <c r="B315" s="12" t="s">
        <v>45</v>
      </c>
      <c r="C315" s="12" t="s">
        <v>87</v>
      </c>
      <c r="D315" s="12" t="s">
        <v>362</v>
      </c>
      <c r="E315" s="12" t="s">
        <v>61</v>
      </c>
      <c r="F315" s="12" t="s">
        <v>15</v>
      </c>
      <c r="G315" s="18">
        <v>458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389.3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320.60000000000002</v>
      </c>
      <c r="J315" s="12"/>
    </row>
    <row r="316" spans="1:10" ht="21.95" customHeight="1">
      <c r="A316" s="15" t="s">
        <v>422</v>
      </c>
      <c r="B316" s="12" t="s">
        <v>35</v>
      </c>
      <c r="C316" s="12" t="s">
        <v>87</v>
      </c>
      <c r="D316" s="12" t="s">
        <v>362</v>
      </c>
      <c r="E316" s="12"/>
      <c r="F316" s="12" t="s">
        <v>15</v>
      </c>
      <c r="G316" s="18">
        <v>500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425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350</v>
      </c>
      <c r="J316" s="12"/>
    </row>
    <row r="317" spans="1:10" ht="21.95" customHeight="1">
      <c r="A317" s="15" t="s">
        <v>423</v>
      </c>
      <c r="B317" s="12" t="s">
        <v>64</v>
      </c>
      <c r="C317" s="12" t="s">
        <v>87</v>
      </c>
      <c r="D317" s="12" t="s">
        <v>362</v>
      </c>
      <c r="E317" s="12"/>
      <c r="F317" s="12" t="s">
        <v>65</v>
      </c>
      <c r="G317" s="18">
        <v>500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425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350</v>
      </c>
      <c r="J317" s="12"/>
    </row>
    <row r="318" spans="1:10" ht="21.95" customHeight="1">
      <c r="A318" s="15" t="s">
        <v>424</v>
      </c>
      <c r="B318" s="12" t="s">
        <v>35</v>
      </c>
      <c r="C318" s="12" t="s">
        <v>214</v>
      </c>
      <c r="D318" s="12" t="s">
        <v>362</v>
      </c>
      <c r="E318" s="12" t="s">
        <v>188</v>
      </c>
      <c r="F318" s="12" t="s">
        <v>33</v>
      </c>
      <c r="G318" s="18">
        <v>615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522.75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430.5</v>
      </c>
      <c r="J318" s="12"/>
    </row>
    <row r="319" spans="1:10" ht="21.95" customHeight="1">
      <c r="A319" s="15" t="s">
        <v>425</v>
      </c>
      <c r="B319" s="12" t="s">
        <v>35</v>
      </c>
      <c r="C319" s="12" t="s">
        <v>214</v>
      </c>
      <c r="D319" s="12" t="s">
        <v>362</v>
      </c>
      <c r="E319" s="12" t="s">
        <v>190</v>
      </c>
      <c r="F319" s="12" t="s">
        <v>33</v>
      </c>
      <c r="G319" s="18">
        <v>615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522.75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430.5</v>
      </c>
      <c r="J319" s="12"/>
    </row>
    <row r="320" spans="1:10" ht="21.95" customHeight="1">
      <c r="A320" s="15" t="s">
        <v>426</v>
      </c>
      <c r="B320" s="12" t="s">
        <v>121</v>
      </c>
      <c r="C320" s="12" t="s">
        <v>214</v>
      </c>
      <c r="D320" s="12" t="s">
        <v>362</v>
      </c>
      <c r="E320" s="12" t="s">
        <v>273</v>
      </c>
      <c r="F320" s="12" t="s">
        <v>38</v>
      </c>
      <c r="G320" s="18">
        <v>358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304.3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250.6</v>
      </c>
      <c r="J320" s="12"/>
    </row>
    <row r="321" spans="1:10" ht="21.95" customHeight="1">
      <c r="A321" s="15" t="s">
        <v>427</v>
      </c>
      <c r="B321" s="12" t="s">
        <v>45</v>
      </c>
      <c r="C321" s="12" t="s">
        <v>214</v>
      </c>
      <c r="D321" s="12" t="s">
        <v>362</v>
      </c>
      <c r="E321" s="12" t="s">
        <v>46</v>
      </c>
      <c r="F321" s="12" t="s">
        <v>38</v>
      </c>
      <c r="G321" s="18">
        <v>634</v>
      </c>
      <c r="H321" s="21">
        <f>IF(SUMIFS(İndirimler!$C$2:$C$110,İndirimler!$A$2:$A$110,B321,İndirimler!$B$2:$B$110,C321)&gt;0,ROUND(G321*(1-SUMIFS(İndirimler!$C$2:$C$110,İndirimler!$A$2:$A$110,B321,İndirimler!$B$2:$B$110,C321)),2),"")</f>
        <v>538.9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443.8</v>
      </c>
      <c r="J321" s="12"/>
    </row>
    <row r="322" spans="1:10" ht="21.95" customHeight="1">
      <c r="A322" s="15" t="s">
        <v>428</v>
      </c>
      <c r="B322" s="12" t="s">
        <v>361</v>
      </c>
      <c r="C322" s="12" t="s">
        <v>214</v>
      </c>
      <c r="D322" s="12" t="s">
        <v>362</v>
      </c>
      <c r="E322" s="12" t="s">
        <v>363</v>
      </c>
      <c r="F322" s="12" t="s">
        <v>38</v>
      </c>
      <c r="G322" s="18">
        <v>275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233.75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192.5</v>
      </c>
      <c r="J322" s="12"/>
    </row>
    <row r="323" spans="1:10" ht="21.95" customHeight="1">
      <c r="A323" s="15" t="s">
        <v>429</v>
      </c>
      <c r="B323" s="12" t="s">
        <v>361</v>
      </c>
      <c r="C323" s="12" t="s">
        <v>214</v>
      </c>
      <c r="D323" s="12" t="s">
        <v>362</v>
      </c>
      <c r="E323" s="12" t="s">
        <v>363</v>
      </c>
      <c r="F323" s="12" t="s">
        <v>38</v>
      </c>
      <c r="G323" s="18">
        <v>305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259.25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213.5</v>
      </c>
      <c r="J323" s="12"/>
    </row>
    <row r="324" spans="1:10" ht="21.95" customHeight="1">
      <c r="A324" s="15" t="s">
        <v>430</v>
      </c>
      <c r="B324" s="12" t="s">
        <v>45</v>
      </c>
      <c r="C324" s="12" t="s">
        <v>214</v>
      </c>
      <c r="D324" s="12" t="s">
        <v>362</v>
      </c>
      <c r="E324" s="12"/>
      <c r="F324" s="12" t="s">
        <v>15</v>
      </c>
      <c r="G324" s="18">
        <v>275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233.75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192.5</v>
      </c>
      <c r="J324" s="12"/>
    </row>
    <row r="325" spans="1:10" ht="21.95" customHeight="1">
      <c r="A325" s="15" t="s">
        <v>431</v>
      </c>
      <c r="B325" s="12" t="s">
        <v>121</v>
      </c>
      <c r="C325" s="12" t="s">
        <v>12</v>
      </c>
      <c r="D325" s="12" t="s">
        <v>362</v>
      </c>
      <c r="E325" s="12"/>
      <c r="F325" s="12" t="s">
        <v>15</v>
      </c>
      <c r="G325" s="18">
        <v>655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556.75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458.5</v>
      </c>
      <c r="J325" s="12"/>
    </row>
    <row r="326" spans="1:10" ht="21.95" customHeight="1">
      <c r="A326" s="15" t="s">
        <v>432</v>
      </c>
      <c r="B326" s="12" t="s">
        <v>17</v>
      </c>
      <c r="C326" s="12" t="s">
        <v>12</v>
      </c>
      <c r="D326" s="12" t="s">
        <v>362</v>
      </c>
      <c r="E326" s="12"/>
      <c r="F326" s="12" t="s">
        <v>15</v>
      </c>
      <c r="G326" s="18">
        <v>479</v>
      </c>
      <c r="H326" s="21">
        <f>IF(SUMIFS(İndirimler!$C$2:$C$110,İndirimler!$A$2:$A$110,B326,İndirimler!$B$2:$B$110,C326)&gt;0,ROUND(G326*(1-SUMIFS(İndirimler!$C$2:$C$110,İndirimler!$A$2:$A$110,B326,İndirimler!$B$2:$B$110,C326)),2),"")</f>
        <v>407.15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335.3</v>
      </c>
      <c r="J326" s="12"/>
    </row>
    <row r="327" spans="1:10" ht="21.95" customHeight="1">
      <c r="A327" s="15" t="s">
        <v>433</v>
      </c>
      <c r="B327" s="12" t="s">
        <v>21</v>
      </c>
      <c r="C327" s="12" t="s">
        <v>12</v>
      </c>
      <c r="D327" s="12" t="s">
        <v>362</v>
      </c>
      <c r="E327" s="12"/>
      <c r="F327" s="12" t="s">
        <v>15</v>
      </c>
      <c r="G327" s="18">
        <v>465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395.25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325.5</v>
      </c>
      <c r="J327" s="12"/>
    </row>
    <row r="328" spans="1:10" ht="21.95" customHeight="1">
      <c r="A328" s="15" t="s">
        <v>434</v>
      </c>
      <c r="B328" s="12" t="s">
        <v>45</v>
      </c>
      <c r="C328" s="12" t="s">
        <v>12</v>
      </c>
      <c r="D328" s="12" t="s">
        <v>362</v>
      </c>
      <c r="E328" s="12"/>
      <c r="F328" s="12" t="s">
        <v>15</v>
      </c>
      <c r="G328" s="18">
        <v>538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457.3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376.6</v>
      </c>
      <c r="J328" s="12"/>
    </row>
    <row r="329" spans="1:10" ht="21.95" customHeight="1">
      <c r="A329" s="15" t="s">
        <v>435</v>
      </c>
      <c r="B329" s="12" t="s">
        <v>373</v>
      </c>
      <c r="C329" s="12" t="s">
        <v>12</v>
      </c>
      <c r="D329" s="12" t="s">
        <v>362</v>
      </c>
      <c r="E329" s="12"/>
      <c r="F329" s="12" t="s">
        <v>15</v>
      </c>
      <c r="G329" s="18">
        <v>500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425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350</v>
      </c>
      <c r="J329" s="12"/>
    </row>
    <row r="330" spans="1:10" ht="21.95" customHeight="1">
      <c r="A330" s="15" t="s">
        <v>436</v>
      </c>
      <c r="B330" s="12" t="s">
        <v>361</v>
      </c>
      <c r="C330" s="12" t="s">
        <v>12</v>
      </c>
      <c r="D330" s="12" t="s">
        <v>362</v>
      </c>
      <c r="E330" s="12"/>
      <c r="F330" s="12" t="s">
        <v>15</v>
      </c>
      <c r="G330" s="18">
        <v>599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509.15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419.3</v>
      </c>
      <c r="J330" s="12"/>
    </row>
    <row r="331" spans="1:10" ht="21.95" customHeight="1">
      <c r="A331" s="15" t="s">
        <v>437</v>
      </c>
      <c r="B331" s="12" t="s">
        <v>35</v>
      </c>
      <c r="C331" s="12" t="s">
        <v>12</v>
      </c>
      <c r="D331" s="12" t="s">
        <v>362</v>
      </c>
      <c r="E331" s="12" t="s">
        <v>61</v>
      </c>
      <c r="F331" s="12" t="s">
        <v>15</v>
      </c>
      <c r="G331" s="18">
        <v>395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335.75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276.5</v>
      </c>
      <c r="J331" s="12"/>
    </row>
    <row r="332" spans="1:10" ht="21.95" customHeight="1">
      <c r="A332" s="15" t="s">
        <v>438</v>
      </c>
      <c r="B332" s="12" t="s">
        <v>30</v>
      </c>
      <c r="C332" s="12" t="s">
        <v>31</v>
      </c>
      <c r="D332" s="12" t="s">
        <v>439</v>
      </c>
      <c r="E332" s="12"/>
      <c r="F332" s="12" t="s">
        <v>33</v>
      </c>
      <c r="G332" s="18">
        <v>549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466.65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384.3</v>
      </c>
      <c r="J332" s="12"/>
    </row>
    <row r="333" spans="1:10" ht="21.95" customHeight="1">
      <c r="A333" s="15" t="s">
        <v>440</v>
      </c>
      <c r="B333" s="12" t="s">
        <v>35</v>
      </c>
      <c r="C333" s="12" t="s">
        <v>31</v>
      </c>
      <c r="D333" s="12" t="s">
        <v>439</v>
      </c>
      <c r="E333" s="12"/>
      <c r="F333" s="12" t="s">
        <v>33</v>
      </c>
      <c r="G333" s="18">
        <v>755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641.75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528.5</v>
      </c>
      <c r="J333" s="12"/>
    </row>
    <row r="334" spans="1:10" ht="21.95" customHeight="1">
      <c r="A334" s="15" t="s">
        <v>441</v>
      </c>
      <c r="B334" s="12" t="s">
        <v>17</v>
      </c>
      <c r="C334" s="12" t="s">
        <v>31</v>
      </c>
      <c r="D334" s="12" t="s">
        <v>439</v>
      </c>
      <c r="E334" s="12" t="s">
        <v>37</v>
      </c>
      <c r="F334" s="12" t="s">
        <v>38</v>
      </c>
      <c r="G334" s="18">
        <v>500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425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350</v>
      </c>
      <c r="J334" s="12"/>
    </row>
    <row r="335" spans="1:10" ht="21.95" customHeight="1">
      <c r="A335" s="15" t="s">
        <v>442</v>
      </c>
      <c r="B335" s="12" t="s">
        <v>443</v>
      </c>
      <c r="C335" s="12" t="s">
        <v>31</v>
      </c>
      <c r="D335" s="12" t="s">
        <v>439</v>
      </c>
      <c r="E335" s="12"/>
      <c r="F335" s="12" t="s">
        <v>38</v>
      </c>
      <c r="G335" s="18">
        <v>499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424.15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349.3</v>
      </c>
      <c r="J335" s="12"/>
    </row>
    <row r="336" spans="1:10" ht="21.95" customHeight="1">
      <c r="A336" s="15" t="s">
        <v>444</v>
      </c>
      <c r="B336" s="12" t="s">
        <v>443</v>
      </c>
      <c r="C336" s="12" t="s">
        <v>31</v>
      </c>
      <c r="D336" s="12" t="s">
        <v>439</v>
      </c>
      <c r="E336" s="12"/>
      <c r="F336" s="12" t="s">
        <v>38</v>
      </c>
      <c r="G336" s="18">
        <v>499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424.15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349.3</v>
      </c>
      <c r="J336" s="12"/>
    </row>
    <row r="337" spans="1:10" ht="21.95" customHeight="1">
      <c r="A337" s="15" t="s">
        <v>445</v>
      </c>
      <c r="B337" s="12" t="s">
        <v>40</v>
      </c>
      <c r="C337" s="12" t="s">
        <v>31</v>
      </c>
      <c r="D337" s="12" t="s">
        <v>439</v>
      </c>
      <c r="E337" s="12" t="s">
        <v>41</v>
      </c>
      <c r="F337" s="12" t="s">
        <v>38</v>
      </c>
      <c r="G337" s="18">
        <v>376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319.60000000000002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263.2</v>
      </c>
      <c r="J337" s="12" t="s">
        <v>446</v>
      </c>
    </row>
    <row r="338" spans="1:10" ht="21.95" customHeight="1">
      <c r="A338" s="15" t="s">
        <v>447</v>
      </c>
      <c r="B338" s="12" t="s">
        <v>21</v>
      </c>
      <c r="C338" s="12" t="s">
        <v>31</v>
      </c>
      <c r="D338" s="12" t="s">
        <v>439</v>
      </c>
      <c r="E338" s="12"/>
      <c r="F338" s="12" t="s">
        <v>38</v>
      </c>
      <c r="G338" s="18">
        <v>520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442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364</v>
      </c>
      <c r="J338" s="12"/>
    </row>
    <row r="339" spans="1:10" ht="21.95" customHeight="1">
      <c r="A339" s="15" t="s">
        <v>448</v>
      </c>
      <c r="B339" s="12" t="s">
        <v>45</v>
      </c>
      <c r="C339" s="12" t="s">
        <v>31</v>
      </c>
      <c r="D339" s="12" t="s">
        <v>439</v>
      </c>
      <c r="E339" s="12" t="s">
        <v>46</v>
      </c>
      <c r="F339" s="12" t="s">
        <v>38</v>
      </c>
      <c r="G339" s="18">
        <v>500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425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350</v>
      </c>
      <c r="J339" s="12"/>
    </row>
    <row r="340" spans="1:10" ht="21.95" customHeight="1">
      <c r="A340" s="15" t="s">
        <v>449</v>
      </c>
      <c r="B340" s="12" t="s">
        <v>50</v>
      </c>
      <c r="C340" s="12" t="s">
        <v>31</v>
      </c>
      <c r="D340" s="12" t="s">
        <v>439</v>
      </c>
      <c r="E340" s="12"/>
      <c r="F340" s="12" t="s">
        <v>15</v>
      </c>
      <c r="G340" s="18">
        <v>366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311.10000000000002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256.2</v>
      </c>
      <c r="J340" s="12" t="s">
        <v>450</v>
      </c>
    </row>
    <row r="341" spans="1:10" ht="21.95" customHeight="1">
      <c r="A341" s="15" t="s">
        <v>451</v>
      </c>
      <c r="B341" s="12" t="s">
        <v>121</v>
      </c>
      <c r="C341" s="12" t="s">
        <v>31</v>
      </c>
      <c r="D341" s="12" t="s">
        <v>439</v>
      </c>
      <c r="E341" s="12"/>
      <c r="F341" s="12" t="s">
        <v>15</v>
      </c>
      <c r="G341" s="18">
        <v>480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408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336</v>
      </c>
      <c r="J341" s="12"/>
    </row>
    <row r="342" spans="1:10" ht="21.95" customHeight="1">
      <c r="A342" s="15" t="s">
        <v>452</v>
      </c>
      <c r="B342" s="12" t="s">
        <v>17</v>
      </c>
      <c r="C342" s="12" t="s">
        <v>31</v>
      </c>
      <c r="D342" s="12" t="s">
        <v>439</v>
      </c>
      <c r="E342" s="12"/>
      <c r="F342" s="12" t="s">
        <v>15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</row>
    <row r="343" spans="1:10" ht="21.95" customHeight="1">
      <c r="A343" s="15" t="s">
        <v>453</v>
      </c>
      <c r="B343" s="12" t="s">
        <v>443</v>
      </c>
      <c r="C343" s="12" t="s">
        <v>31</v>
      </c>
      <c r="D343" s="12" t="s">
        <v>439</v>
      </c>
      <c r="E343" s="12"/>
      <c r="F343" s="12" t="s">
        <v>15</v>
      </c>
      <c r="G343" s="18">
        <v>449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381.65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314.3</v>
      </c>
      <c r="J343" s="12"/>
    </row>
    <row r="344" spans="1:10" ht="21.95" customHeight="1">
      <c r="A344" s="15" t="s">
        <v>454</v>
      </c>
      <c r="B344" s="12" t="s">
        <v>443</v>
      </c>
      <c r="C344" s="12" t="s">
        <v>31</v>
      </c>
      <c r="D344" s="12" t="s">
        <v>439</v>
      </c>
      <c r="E344" s="12"/>
      <c r="F344" s="12" t="s">
        <v>15</v>
      </c>
      <c r="G344" s="18">
        <v>449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381.65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314.3</v>
      </c>
      <c r="J344" s="12"/>
    </row>
    <row r="345" spans="1:10" ht="21.95" customHeight="1">
      <c r="A345" s="15" t="s">
        <v>455</v>
      </c>
      <c r="B345" s="12" t="s">
        <v>443</v>
      </c>
      <c r="C345" s="12" t="s">
        <v>31</v>
      </c>
      <c r="D345" s="12" t="s">
        <v>439</v>
      </c>
      <c r="E345" s="12" t="s">
        <v>456</v>
      </c>
      <c r="F345" s="12" t="s">
        <v>15</v>
      </c>
      <c r="G345" s="18">
        <v>449</v>
      </c>
      <c r="H345" s="21">
        <f>IF(SUMIFS(İndirimler!$C$2:$C$110,İndirimler!$A$2:$A$110,B345,İndirimler!$B$2:$B$110,C345)&gt;0,ROUND(G345*(1-SUMIFS(İndirimler!$C$2:$C$110,İndirimler!$A$2:$A$110,B345,İndirimler!$B$2:$B$110,C345)),2),"")</f>
        <v>381.65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314.3</v>
      </c>
      <c r="J345" s="12"/>
    </row>
    <row r="346" spans="1:10" ht="21.95" customHeight="1">
      <c r="A346" s="15" t="s">
        <v>457</v>
      </c>
      <c r="B346" s="12" t="s">
        <v>443</v>
      </c>
      <c r="C346" s="12" t="s">
        <v>31</v>
      </c>
      <c r="D346" s="12" t="s">
        <v>439</v>
      </c>
      <c r="E346" s="12" t="s">
        <v>456</v>
      </c>
      <c r="F346" s="12" t="s">
        <v>15</v>
      </c>
      <c r="G346" s="18">
        <v>449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381.65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314.3</v>
      </c>
      <c r="J346" s="12"/>
    </row>
    <row r="347" spans="1:10" ht="21.95" customHeight="1">
      <c r="A347" s="15" t="s">
        <v>458</v>
      </c>
      <c r="B347" s="12" t="s">
        <v>40</v>
      </c>
      <c r="C347" s="12" t="s">
        <v>31</v>
      </c>
      <c r="D347" s="12" t="s">
        <v>439</v>
      </c>
      <c r="E347" s="12" t="s">
        <v>54</v>
      </c>
      <c r="F347" s="12" t="s">
        <v>15</v>
      </c>
      <c r="G347" s="18">
        <v>274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232.9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191.8</v>
      </c>
      <c r="J347" s="12" t="s">
        <v>459</v>
      </c>
    </row>
    <row r="348" spans="1:10" ht="21.95" customHeight="1">
      <c r="A348" s="15" t="s">
        <v>460</v>
      </c>
      <c r="B348" s="12" t="s">
        <v>57</v>
      </c>
      <c r="C348" s="12" t="s">
        <v>31</v>
      </c>
      <c r="D348" s="12" t="s">
        <v>439</v>
      </c>
      <c r="E348" s="12" t="s">
        <v>58</v>
      </c>
      <c r="F348" s="12" t="s">
        <v>15</v>
      </c>
      <c r="G348" s="18">
        <v>449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381.65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314.3</v>
      </c>
      <c r="J348" s="12"/>
    </row>
    <row r="349" spans="1:10" ht="21.95" customHeight="1">
      <c r="A349" s="15" t="s">
        <v>461</v>
      </c>
      <c r="B349" s="12" t="s">
        <v>21</v>
      </c>
      <c r="C349" s="12" t="s">
        <v>31</v>
      </c>
      <c r="D349" s="12" t="s">
        <v>439</v>
      </c>
      <c r="E349" s="12"/>
      <c r="F349" s="12" t="s">
        <v>15</v>
      </c>
      <c r="G349" s="18">
        <v>580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493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406</v>
      </c>
      <c r="J349" s="12"/>
    </row>
    <row r="350" spans="1:10" ht="21.95" customHeight="1">
      <c r="A350" s="15" t="s">
        <v>462</v>
      </c>
      <c r="B350" s="12" t="s">
        <v>45</v>
      </c>
      <c r="C350" s="12" t="s">
        <v>31</v>
      </c>
      <c r="D350" s="12" t="s">
        <v>439</v>
      </c>
      <c r="E350" s="12" t="s">
        <v>61</v>
      </c>
      <c r="F350" s="12" t="s">
        <v>15</v>
      </c>
      <c r="G350" s="18">
        <v>475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403.75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332.5</v>
      </c>
      <c r="J350" s="12"/>
    </row>
    <row r="351" spans="1:10" ht="21.95" customHeight="1">
      <c r="A351" s="15" t="s">
        <v>463</v>
      </c>
      <c r="B351" s="12" t="s">
        <v>464</v>
      </c>
      <c r="C351" s="12" t="s">
        <v>31</v>
      </c>
      <c r="D351" s="12" t="s">
        <v>439</v>
      </c>
      <c r="E351" s="12"/>
      <c r="F351" s="12" t="s">
        <v>15</v>
      </c>
      <c r="G351" s="18">
        <v>329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279.64999999999998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230.3</v>
      </c>
      <c r="J351" s="12"/>
    </row>
    <row r="352" spans="1:10" ht="21.95" customHeight="1">
      <c r="A352" s="15" t="s">
        <v>465</v>
      </c>
      <c r="B352" s="12" t="s">
        <v>35</v>
      </c>
      <c r="C352" s="12" t="s">
        <v>31</v>
      </c>
      <c r="D352" s="12" t="s">
        <v>439</v>
      </c>
      <c r="E352" s="12" t="s">
        <v>61</v>
      </c>
      <c r="F352" s="12" t="s">
        <v>15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12"/>
    </row>
    <row r="353" spans="1:10" ht="21.95" customHeight="1">
      <c r="A353" s="15" t="s">
        <v>466</v>
      </c>
      <c r="B353" s="12" t="s">
        <v>64</v>
      </c>
      <c r="C353" s="12" t="s">
        <v>31</v>
      </c>
      <c r="D353" s="12" t="s">
        <v>439</v>
      </c>
      <c r="E353" s="12"/>
      <c r="F353" s="12" t="s">
        <v>65</v>
      </c>
      <c r="G353" s="18">
        <v>359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305.14999999999998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251.3</v>
      </c>
      <c r="J353" s="12"/>
    </row>
    <row r="354" spans="1:10" ht="21.95" customHeight="1">
      <c r="A354" s="15" t="s">
        <v>467</v>
      </c>
      <c r="B354" s="12" t="s">
        <v>30</v>
      </c>
      <c r="C354" s="12" t="s">
        <v>68</v>
      </c>
      <c r="D354" s="12" t="s">
        <v>439</v>
      </c>
      <c r="E354" s="12"/>
      <c r="F354" s="12" t="s">
        <v>33</v>
      </c>
      <c r="G354" s="18">
        <v>629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534.65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440.3</v>
      </c>
      <c r="J354" s="12"/>
    </row>
    <row r="355" spans="1:10" ht="21.95" customHeight="1">
      <c r="A355" s="15" t="s">
        <v>468</v>
      </c>
      <c r="B355" s="12" t="s">
        <v>35</v>
      </c>
      <c r="C355" s="12" t="s">
        <v>68</v>
      </c>
      <c r="D355" s="12" t="s">
        <v>439</v>
      </c>
      <c r="E355" s="12"/>
      <c r="F355" s="12" t="s">
        <v>33</v>
      </c>
      <c r="G355" s="18">
        <v>729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619.65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510.3</v>
      </c>
      <c r="J355" s="12"/>
    </row>
    <row r="356" spans="1:10" ht="21.95" customHeight="1">
      <c r="A356" s="15" t="s">
        <v>469</v>
      </c>
      <c r="B356" s="12" t="s">
        <v>17</v>
      </c>
      <c r="C356" s="12" t="s">
        <v>68</v>
      </c>
      <c r="D356" s="12" t="s">
        <v>439</v>
      </c>
      <c r="E356" s="12" t="s">
        <v>37</v>
      </c>
      <c r="F356" s="12" t="s">
        <v>38</v>
      </c>
      <c r="G356" s="18">
        <v>500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425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350</v>
      </c>
      <c r="J356" s="12"/>
    </row>
    <row r="357" spans="1:10" ht="21.95" customHeight="1">
      <c r="A357" s="15" t="s">
        <v>470</v>
      </c>
      <c r="B357" s="12" t="s">
        <v>443</v>
      </c>
      <c r="C357" s="12" t="s">
        <v>68</v>
      </c>
      <c r="D357" s="12" t="s">
        <v>439</v>
      </c>
      <c r="E357" s="12"/>
      <c r="F357" s="12" t="s">
        <v>38</v>
      </c>
      <c r="G357" s="18">
        <v>499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424.15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349.3</v>
      </c>
      <c r="J357" s="12"/>
    </row>
    <row r="358" spans="1:10" ht="21.95" customHeight="1">
      <c r="A358" s="15" t="s">
        <v>471</v>
      </c>
      <c r="B358" s="12" t="s">
        <v>443</v>
      </c>
      <c r="C358" s="12" t="s">
        <v>68</v>
      </c>
      <c r="D358" s="12" t="s">
        <v>439</v>
      </c>
      <c r="E358" s="12"/>
      <c r="F358" s="12" t="s">
        <v>38</v>
      </c>
      <c r="G358" s="18">
        <v>499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424.15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349.3</v>
      </c>
      <c r="J358" s="12"/>
    </row>
    <row r="359" spans="1:10" ht="21.95" customHeight="1">
      <c r="A359" s="15" t="s">
        <v>472</v>
      </c>
      <c r="B359" s="12" t="s">
        <v>40</v>
      </c>
      <c r="C359" s="12" t="s">
        <v>68</v>
      </c>
      <c r="D359" s="12" t="s">
        <v>439</v>
      </c>
      <c r="E359" s="12" t="s">
        <v>41</v>
      </c>
      <c r="F359" s="12" t="s">
        <v>38</v>
      </c>
      <c r="G359" s="18">
        <v>346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294.10000000000002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242.2</v>
      </c>
      <c r="J359" s="12" t="s">
        <v>473</v>
      </c>
    </row>
    <row r="360" spans="1:10" ht="21.95" customHeight="1">
      <c r="A360" s="15" t="s">
        <v>474</v>
      </c>
      <c r="B360" s="12" t="s">
        <v>21</v>
      </c>
      <c r="C360" s="12" t="s">
        <v>68</v>
      </c>
      <c r="D360" s="12" t="s">
        <v>439</v>
      </c>
      <c r="E360" s="12"/>
      <c r="F360" s="12" t="s">
        <v>38</v>
      </c>
      <c r="G360" s="18">
        <v>608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516.79999999999995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425.6</v>
      </c>
      <c r="J360" s="12"/>
    </row>
    <row r="361" spans="1:10" ht="21.95" customHeight="1">
      <c r="A361" s="15" t="s">
        <v>475</v>
      </c>
      <c r="B361" s="12" t="s">
        <v>45</v>
      </c>
      <c r="C361" s="12" t="s">
        <v>68</v>
      </c>
      <c r="D361" s="12" t="s">
        <v>439</v>
      </c>
      <c r="E361" s="12" t="s">
        <v>46</v>
      </c>
      <c r="F361" s="12" t="s">
        <v>38</v>
      </c>
      <c r="G361" s="18">
        <v>540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459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378</v>
      </c>
      <c r="J361" s="12"/>
    </row>
    <row r="362" spans="1:10" ht="21.95" customHeight="1">
      <c r="A362" s="15" t="s">
        <v>476</v>
      </c>
      <c r="B362" s="12" t="s">
        <v>50</v>
      </c>
      <c r="C362" s="12" t="s">
        <v>68</v>
      </c>
      <c r="D362" s="12" t="s">
        <v>439</v>
      </c>
      <c r="E362" s="12"/>
      <c r="F362" s="12" t="s">
        <v>15</v>
      </c>
      <c r="G362" s="18">
        <v>366</v>
      </c>
      <c r="H362" s="21">
        <f>IF(SUMIFS(İndirimler!$C$2:$C$110,İndirimler!$A$2:$A$110,B362,İndirimler!$B$2:$B$110,C362)&gt;0,ROUND(G362*(1-SUMIFS(İndirimler!$C$2:$C$110,İndirimler!$A$2:$A$110,B362,İndirimler!$B$2:$B$110,C362)),2),"")</f>
        <v>311.10000000000002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256.2</v>
      </c>
      <c r="J362" s="12" t="s">
        <v>477</v>
      </c>
    </row>
    <row r="363" spans="1:10" ht="21.95" customHeight="1">
      <c r="A363" s="15" t="s">
        <v>478</v>
      </c>
      <c r="B363" s="12" t="s">
        <v>121</v>
      </c>
      <c r="C363" s="12" t="s">
        <v>68</v>
      </c>
      <c r="D363" s="12" t="s">
        <v>439</v>
      </c>
      <c r="E363" s="12"/>
      <c r="F363" s="12" t="s">
        <v>15</v>
      </c>
      <c r="G363" s="18">
        <v>496</v>
      </c>
      <c r="H363" s="21">
        <f>IF(SUMIFS(İndirimler!$C$2:$C$110,İndirimler!$A$2:$A$110,B363,İndirimler!$B$2:$B$110,C363)&gt;0,ROUND(G363*(1-SUMIFS(İndirimler!$C$2:$C$110,İndirimler!$A$2:$A$110,B363,İndirimler!$B$2:$B$110,C363)),2),"")</f>
        <v>421.6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347.2</v>
      </c>
      <c r="J363" s="12"/>
    </row>
    <row r="364" spans="1:10" ht="21.95" customHeight="1">
      <c r="A364" s="15" t="s">
        <v>479</v>
      </c>
      <c r="B364" s="12" t="s">
        <v>17</v>
      </c>
      <c r="C364" s="12" t="s">
        <v>68</v>
      </c>
      <c r="D364" s="12" t="s">
        <v>439</v>
      </c>
      <c r="E364" s="12"/>
      <c r="F364" s="12" t="s">
        <v>15</v>
      </c>
      <c r="G364" s="18">
        <v>359</v>
      </c>
      <c r="H364" s="21">
        <f>IF(SUMIFS(İndirimler!$C$2:$C$110,İndirimler!$A$2:$A$110,B364,İndirimler!$B$2:$B$110,C364)&gt;0,ROUND(G364*(1-SUMIFS(İndirimler!$C$2:$C$110,İndirimler!$A$2:$A$110,B364,İndirimler!$B$2:$B$110,C364)),2),"")</f>
        <v>305.14999999999998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251.3</v>
      </c>
      <c r="J364" s="12"/>
    </row>
    <row r="365" spans="1:10" ht="21.95" customHeight="1">
      <c r="A365" s="15" t="s">
        <v>480</v>
      </c>
      <c r="B365" s="12" t="s">
        <v>443</v>
      </c>
      <c r="C365" s="12" t="s">
        <v>68</v>
      </c>
      <c r="D365" s="12" t="s">
        <v>439</v>
      </c>
      <c r="E365" s="12"/>
      <c r="F365" s="12" t="s">
        <v>15</v>
      </c>
      <c r="G365" s="18">
        <v>449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381.65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314.3</v>
      </c>
      <c r="J365" s="12"/>
    </row>
    <row r="366" spans="1:10" ht="21.95" customHeight="1">
      <c r="A366" s="15" t="s">
        <v>481</v>
      </c>
      <c r="B366" s="12" t="s">
        <v>443</v>
      </c>
      <c r="C366" s="12" t="s">
        <v>68</v>
      </c>
      <c r="D366" s="12" t="s">
        <v>439</v>
      </c>
      <c r="E366" s="12"/>
      <c r="F366" s="12" t="s">
        <v>15</v>
      </c>
      <c r="G366" s="18">
        <v>449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381.65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314.3</v>
      </c>
      <c r="J366" s="12"/>
    </row>
    <row r="367" spans="1:10" ht="21.95" customHeight="1">
      <c r="A367" s="15" t="s">
        <v>482</v>
      </c>
      <c r="B367" s="12" t="s">
        <v>443</v>
      </c>
      <c r="C367" s="12" t="s">
        <v>68</v>
      </c>
      <c r="D367" s="12" t="s">
        <v>439</v>
      </c>
      <c r="E367" s="12" t="s">
        <v>456</v>
      </c>
      <c r="F367" s="12" t="s">
        <v>15</v>
      </c>
      <c r="G367" s="18">
        <v>449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381.65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314.3</v>
      </c>
      <c r="J367" s="12"/>
    </row>
    <row r="368" spans="1:10" ht="21.95" customHeight="1">
      <c r="A368" s="15" t="s">
        <v>483</v>
      </c>
      <c r="B368" s="12" t="s">
        <v>443</v>
      </c>
      <c r="C368" s="12" t="s">
        <v>68</v>
      </c>
      <c r="D368" s="12" t="s">
        <v>439</v>
      </c>
      <c r="E368" s="12" t="s">
        <v>456</v>
      </c>
      <c r="F368" s="12" t="s">
        <v>15</v>
      </c>
      <c r="G368" s="18">
        <v>449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381.65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314.3</v>
      </c>
      <c r="J368" s="12"/>
    </row>
    <row r="369" spans="1:10" ht="21.95" customHeight="1">
      <c r="A369" s="15" t="s">
        <v>484</v>
      </c>
      <c r="B369" s="12" t="s">
        <v>40</v>
      </c>
      <c r="C369" s="12" t="s">
        <v>68</v>
      </c>
      <c r="D369" s="12" t="s">
        <v>439</v>
      </c>
      <c r="E369" s="12" t="s">
        <v>54</v>
      </c>
      <c r="F369" s="12" t="s">
        <v>15</v>
      </c>
      <c r="G369" s="18">
        <v>274</v>
      </c>
      <c r="H369" s="21">
        <f>IF(SUMIFS(İndirimler!$C$2:$C$110,İndirimler!$A$2:$A$110,B369,İndirimler!$B$2:$B$110,C369)&gt;0,ROUND(G369*(1-SUMIFS(İndirimler!$C$2:$C$110,İndirimler!$A$2:$A$110,B369,İndirimler!$B$2:$B$110,C369)),2),"")</f>
        <v>232.9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191.8</v>
      </c>
      <c r="J369" s="12" t="s">
        <v>485</v>
      </c>
    </row>
    <row r="370" spans="1:10" ht="21.95" customHeight="1">
      <c r="A370" s="15" t="s">
        <v>486</v>
      </c>
      <c r="B370" s="12" t="s">
        <v>57</v>
      </c>
      <c r="C370" s="12" t="s">
        <v>68</v>
      </c>
      <c r="D370" s="12" t="s">
        <v>439</v>
      </c>
      <c r="E370" s="12" t="s">
        <v>58</v>
      </c>
      <c r="F370" s="12" t="s">
        <v>15</v>
      </c>
      <c r="G370" s="18">
        <v>449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381.65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314.3</v>
      </c>
      <c r="J370" s="12"/>
    </row>
    <row r="371" spans="1:10" ht="21.95" customHeight="1">
      <c r="A371" s="15" t="s">
        <v>487</v>
      </c>
      <c r="B371" s="12" t="s">
        <v>21</v>
      </c>
      <c r="C371" s="12" t="s">
        <v>68</v>
      </c>
      <c r="D371" s="12" t="s">
        <v>439</v>
      </c>
      <c r="E371" s="12"/>
      <c r="F371" s="12" t="s">
        <v>15</v>
      </c>
      <c r="G371" s="18">
        <v>490</v>
      </c>
      <c r="H371" s="21">
        <f>IF(SUMIFS(İndirimler!$C$2:$C$110,İndirimler!$A$2:$A$110,B371,İndirimler!$B$2:$B$110,C371)&gt;0,ROUND(G371*(1-SUMIFS(İndirimler!$C$2:$C$110,İndirimler!$A$2:$A$110,B371,İndirimler!$B$2:$B$110,C371)),2),"")</f>
        <v>416.5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343</v>
      </c>
      <c r="J371" s="12"/>
    </row>
    <row r="372" spans="1:10" ht="21.95" customHeight="1">
      <c r="A372" s="15" t="s">
        <v>488</v>
      </c>
      <c r="B372" s="12" t="s">
        <v>45</v>
      </c>
      <c r="C372" s="12" t="s">
        <v>68</v>
      </c>
      <c r="D372" s="12" t="s">
        <v>439</v>
      </c>
      <c r="E372" s="12" t="s">
        <v>61</v>
      </c>
      <c r="F372" s="12" t="s">
        <v>15</v>
      </c>
      <c r="G372" s="18">
        <v>422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358.7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295.39999999999998</v>
      </c>
      <c r="J372" s="12"/>
    </row>
    <row r="373" spans="1:10" ht="21.95" customHeight="1">
      <c r="A373" s="15" t="s">
        <v>489</v>
      </c>
      <c r="B373" s="12" t="s">
        <v>464</v>
      </c>
      <c r="C373" s="12" t="s">
        <v>68</v>
      </c>
      <c r="D373" s="12" t="s">
        <v>439</v>
      </c>
      <c r="E373" s="12"/>
      <c r="F373" s="12" t="s">
        <v>15</v>
      </c>
      <c r="G373" s="18">
        <v>355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301.75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248.5</v>
      </c>
      <c r="J373" s="12"/>
    </row>
    <row r="374" spans="1:10" ht="21.95" customHeight="1">
      <c r="A374" s="15" t="s">
        <v>490</v>
      </c>
      <c r="B374" s="12" t="s">
        <v>35</v>
      </c>
      <c r="C374" s="12" t="s">
        <v>68</v>
      </c>
      <c r="D374" s="12" t="s">
        <v>439</v>
      </c>
      <c r="E374" s="12" t="s">
        <v>61</v>
      </c>
      <c r="F374" s="12" t="s">
        <v>15</v>
      </c>
      <c r="G374" s="18">
        <v>269</v>
      </c>
      <c r="H374" s="21">
        <f>IF(SUMIFS(İndirimler!$C$2:$C$110,İndirimler!$A$2:$A$110,B374,İndirimler!$B$2:$B$110,C374)&gt;0,ROUND(G374*(1-SUMIFS(İndirimler!$C$2:$C$110,İndirimler!$A$2:$A$110,B374,İndirimler!$B$2:$B$110,C374)),2),"")</f>
        <v>228.65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188.3</v>
      </c>
      <c r="J374" s="12"/>
    </row>
    <row r="375" spans="1:10" ht="21.95" customHeight="1">
      <c r="A375" s="15" t="s">
        <v>491</v>
      </c>
      <c r="B375" s="12" t="s">
        <v>64</v>
      </c>
      <c r="C375" s="12" t="s">
        <v>68</v>
      </c>
      <c r="D375" s="12" t="s">
        <v>439</v>
      </c>
      <c r="E375" s="12"/>
      <c r="F375" s="12" t="s">
        <v>65</v>
      </c>
      <c r="G375" s="18">
        <v>429</v>
      </c>
      <c r="H375" s="21">
        <f>IF(SUMIFS(İndirimler!$C$2:$C$110,İndirimler!$A$2:$A$110,B375,İndirimler!$B$2:$B$110,C375)&gt;0,ROUND(G375*(1-SUMIFS(İndirimler!$C$2:$C$110,İndirimler!$A$2:$A$110,B375,İndirimler!$B$2:$B$110,C375)),2),"")</f>
        <v>364.65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300.3</v>
      </c>
      <c r="J375" s="12"/>
    </row>
    <row r="376" spans="1:10" ht="21.95" customHeight="1">
      <c r="A376" s="15" t="s">
        <v>492</v>
      </c>
      <c r="B376" s="12" t="s">
        <v>35</v>
      </c>
      <c r="C376" s="12" t="s">
        <v>87</v>
      </c>
      <c r="D376" s="12" t="s">
        <v>439</v>
      </c>
      <c r="E376" s="12"/>
      <c r="F376" s="12" t="s">
        <v>33</v>
      </c>
      <c r="G376" s="18">
        <v>600</v>
      </c>
      <c r="H376" s="21">
        <f>IF(SUMIFS(İndirimler!$C$2:$C$110,İndirimler!$A$2:$A$110,B376,İndirimler!$B$2:$B$110,C376)&gt;0,ROUND(G376*(1-SUMIFS(İndirimler!$C$2:$C$110,İndirimler!$A$2:$A$110,B376,İndirimler!$B$2:$B$110,C376)),2),"")</f>
        <v>510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420</v>
      </c>
      <c r="J376" s="12"/>
    </row>
    <row r="377" spans="1:10" ht="21.95" customHeight="1">
      <c r="A377" s="15" t="s">
        <v>493</v>
      </c>
      <c r="B377" s="12" t="s">
        <v>35</v>
      </c>
      <c r="C377" s="12" t="s">
        <v>87</v>
      </c>
      <c r="D377" s="12" t="s">
        <v>439</v>
      </c>
      <c r="E377" s="12" t="s">
        <v>190</v>
      </c>
      <c r="F377" s="12" t="s">
        <v>33</v>
      </c>
      <c r="G377" s="18">
        <v>559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475.15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391.3</v>
      </c>
      <c r="J377" s="12"/>
    </row>
    <row r="378" spans="1:10" ht="21.95" customHeight="1">
      <c r="A378" s="15" t="s">
        <v>494</v>
      </c>
      <c r="B378" s="12" t="s">
        <v>17</v>
      </c>
      <c r="C378" s="12" t="s">
        <v>87</v>
      </c>
      <c r="D378" s="12" t="s">
        <v>439</v>
      </c>
      <c r="E378" s="12" t="s">
        <v>37</v>
      </c>
      <c r="F378" s="12" t="s">
        <v>38</v>
      </c>
      <c r="G378" s="18">
        <v>500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425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350</v>
      </c>
      <c r="J378" s="12"/>
    </row>
    <row r="379" spans="1:10" ht="21.95" customHeight="1">
      <c r="A379" s="15" t="s">
        <v>495</v>
      </c>
      <c r="B379" s="12" t="s">
        <v>443</v>
      </c>
      <c r="C379" s="12" t="s">
        <v>87</v>
      </c>
      <c r="D379" s="12" t="s">
        <v>439</v>
      </c>
      <c r="E379" s="12"/>
      <c r="F379" s="12" t="s">
        <v>38</v>
      </c>
      <c r="G379" s="18">
        <v>500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425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350</v>
      </c>
      <c r="J379" s="12"/>
    </row>
    <row r="380" spans="1:10" ht="21.95" customHeight="1">
      <c r="A380" s="15" t="s">
        <v>496</v>
      </c>
      <c r="B380" s="12" t="s">
        <v>64</v>
      </c>
      <c r="C380" s="12" t="s">
        <v>87</v>
      </c>
      <c r="D380" s="12" t="s">
        <v>439</v>
      </c>
      <c r="E380" s="12" t="s">
        <v>90</v>
      </c>
      <c r="F380" s="12" t="s">
        <v>38</v>
      </c>
      <c r="G380" s="18">
        <v>500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425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350</v>
      </c>
      <c r="J380" s="12"/>
    </row>
    <row r="381" spans="1:10" ht="21.95" customHeight="1">
      <c r="A381" s="15" t="s">
        <v>497</v>
      </c>
      <c r="B381" s="12" t="s">
        <v>21</v>
      </c>
      <c r="C381" s="12" t="s">
        <v>87</v>
      </c>
      <c r="D381" s="12" t="s">
        <v>439</v>
      </c>
      <c r="E381" s="12"/>
      <c r="F381" s="12" t="s">
        <v>38</v>
      </c>
      <c r="G381" s="18">
        <v>486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413.1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340.2</v>
      </c>
      <c r="J381" s="12"/>
    </row>
    <row r="382" spans="1:10" ht="21.95" customHeight="1">
      <c r="A382" s="15" t="s">
        <v>498</v>
      </c>
      <c r="B382" s="12" t="s">
        <v>45</v>
      </c>
      <c r="C382" s="12" t="s">
        <v>87</v>
      </c>
      <c r="D382" s="12" t="s">
        <v>439</v>
      </c>
      <c r="E382" s="12" t="s">
        <v>46</v>
      </c>
      <c r="F382" s="12" t="s">
        <v>38</v>
      </c>
      <c r="G382" s="18">
        <v>520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442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364</v>
      </c>
      <c r="J382" s="12"/>
    </row>
    <row r="383" spans="1:10" ht="21.95" customHeight="1">
      <c r="A383" s="15" t="s">
        <v>499</v>
      </c>
      <c r="B383" s="12" t="s">
        <v>50</v>
      </c>
      <c r="C383" s="12" t="s">
        <v>87</v>
      </c>
      <c r="D383" s="12" t="s">
        <v>439</v>
      </c>
      <c r="E383" s="12"/>
      <c r="F383" s="12" t="s">
        <v>15</v>
      </c>
      <c r="G383" s="18">
        <v>366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311.10000000000002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256.2</v>
      </c>
      <c r="J383" s="12"/>
    </row>
    <row r="384" spans="1:10" ht="21.95" customHeight="1">
      <c r="A384" s="15" t="s">
        <v>500</v>
      </c>
      <c r="B384" s="12" t="s">
        <v>121</v>
      </c>
      <c r="C384" s="12" t="s">
        <v>87</v>
      </c>
      <c r="D384" s="12" t="s">
        <v>439</v>
      </c>
      <c r="E384" s="12"/>
      <c r="F384" s="12" t="s">
        <v>15</v>
      </c>
      <c r="G384" s="18">
        <v>608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516.79999999999995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425.6</v>
      </c>
      <c r="J384" s="12"/>
    </row>
    <row r="385" spans="1:10" ht="21.95" customHeight="1">
      <c r="A385" s="15" t="s">
        <v>501</v>
      </c>
      <c r="B385" s="12" t="s">
        <v>17</v>
      </c>
      <c r="C385" s="12" t="s">
        <v>87</v>
      </c>
      <c r="D385" s="12" t="s">
        <v>439</v>
      </c>
      <c r="E385" s="12"/>
      <c r="F385" s="12" t="s">
        <v>15</v>
      </c>
      <c r="G385" s="18">
        <v>500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425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350</v>
      </c>
      <c r="J385" s="12"/>
    </row>
    <row r="386" spans="1:10" ht="21.95" customHeight="1">
      <c r="A386" s="15" t="s">
        <v>502</v>
      </c>
      <c r="B386" s="12" t="s">
        <v>17</v>
      </c>
      <c r="C386" s="12" t="s">
        <v>87</v>
      </c>
      <c r="D386" s="12" t="s">
        <v>439</v>
      </c>
      <c r="E386" s="12"/>
      <c r="F386" s="12" t="s">
        <v>15</v>
      </c>
      <c r="G386" s="18">
        <v>500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425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350</v>
      </c>
      <c r="J386" s="12"/>
    </row>
    <row r="387" spans="1:10" ht="21.95" customHeight="1">
      <c r="A387" s="15" t="s">
        <v>503</v>
      </c>
      <c r="B387" s="12" t="s">
        <v>443</v>
      </c>
      <c r="C387" s="12" t="s">
        <v>87</v>
      </c>
      <c r="D387" s="12" t="s">
        <v>439</v>
      </c>
      <c r="E387" s="12"/>
      <c r="F387" s="12" t="s">
        <v>15</v>
      </c>
      <c r="G387" s="18">
        <v>339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288.14999999999998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237.3</v>
      </c>
      <c r="J387" s="12"/>
    </row>
    <row r="388" spans="1:10" ht="21.95" customHeight="1">
      <c r="A388" s="15" t="s">
        <v>504</v>
      </c>
      <c r="B388" s="12" t="s">
        <v>443</v>
      </c>
      <c r="C388" s="12" t="s">
        <v>87</v>
      </c>
      <c r="D388" s="12" t="s">
        <v>439</v>
      </c>
      <c r="E388" s="12"/>
      <c r="F388" s="12" t="s">
        <v>15</v>
      </c>
      <c r="G388" s="18">
        <v>499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424.15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349.3</v>
      </c>
      <c r="J388" s="12"/>
    </row>
    <row r="389" spans="1:10" ht="21.95" customHeight="1">
      <c r="A389" s="15" t="s">
        <v>505</v>
      </c>
      <c r="B389" s="12" t="s">
        <v>57</v>
      </c>
      <c r="C389" s="12" t="s">
        <v>87</v>
      </c>
      <c r="D389" s="12" t="s">
        <v>439</v>
      </c>
      <c r="E389" s="12" t="s">
        <v>58</v>
      </c>
      <c r="F389" s="12" t="s">
        <v>15</v>
      </c>
      <c r="G389" s="18">
        <v>500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425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350</v>
      </c>
      <c r="J389" s="12"/>
    </row>
    <row r="390" spans="1:10" ht="21.95" customHeight="1">
      <c r="A390" s="15" t="s">
        <v>506</v>
      </c>
      <c r="B390" s="12" t="s">
        <v>21</v>
      </c>
      <c r="C390" s="12" t="s">
        <v>87</v>
      </c>
      <c r="D390" s="12" t="s">
        <v>439</v>
      </c>
      <c r="E390" s="12"/>
      <c r="F390" s="12" t="s">
        <v>15</v>
      </c>
      <c r="G390" s="18">
        <v>438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372.3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306.60000000000002</v>
      </c>
      <c r="J390" s="12"/>
    </row>
    <row r="391" spans="1:10" ht="21.95" customHeight="1">
      <c r="A391" s="15" t="s">
        <v>507</v>
      </c>
      <c r="B391" s="12" t="s">
        <v>45</v>
      </c>
      <c r="C391" s="12" t="s">
        <v>87</v>
      </c>
      <c r="D391" s="12" t="s">
        <v>439</v>
      </c>
      <c r="E391" s="12" t="s">
        <v>61</v>
      </c>
      <c r="F391" s="12" t="s">
        <v>15</v>
      </c>
      <c r="G391" s="18">
        <v>458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389.3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320.60000000000002</v>
      </c>
      <c r="J391" s="12"/>
    </row>
    <row r="392" spans="1:10" ht="21.95" customHeight="1">
      <c r="A392" s="15" t="s">
        <v>508</v>
      </c>
      <c r="B392" s="12" t="s">
        <v>464</v>
      </c>
      <c r="C392" s="12" t="s">
        <v>87</v>
      </c>
      <c r="D392" s="12" t="s">
        <v>439</v>
      </c>
      <c r="E392" s="12"/>
      <c r="F392" s="12" t="s">
        <v>15</v>
      </c>
      <c r="G392" s="18">
        <v>500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425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350</v>
      </c>
      <c r="J392" s="12"/>
    </row>
    <row r="393" spans="1:10" ht="21.95" customHeight="1">
      <c r="A393" s="15" t="s">
        <v>509</v>
      </c>
      <c r="B393" s="12" t="s">
        <v>35</v>
      </c>
      <c r="C393" s="12" t="s">
        <v>87</v>
      </c>
      <c r="D393" s="12" t="s">
        <v>439</v>
      </c>
      <c r="E393" s="12"/>
      <c r="F393" s="12" t="s">
        <v>15</v>
      </c>
      <c r="G393" s="18">
        <v>500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425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350</v>
      </c>
      <c r="J393" s="12"/>
    </row>
    <row r="394" spans="1:10" ht="21.95" customHeight="1">
      <c r="A394" s="15" t="s">
        <v>510</v>
      </c>
      <c r="B394" s="12" t="s">
        <v>64</v>
      </c>
      <c r="C394" s="12" t="s">
        <v>87</v>
      </c>
      <c r="D394" s="12" t="s">
        <v>439</v>
      </c>
      <c r="E394" s="12"/>
      <c r="F394" s="12" t="s">
        <v>65</v>
      </c>
      <c r="G394" s="18">
        <v>500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425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350</v>
      </c>
      <c r="J394" s="12"/>
    </row>
    <row r="395" spans="1:10" ht="21.95" customHeight="1">
      <c r="A395" s="15" t="s">
        <v>511</v>
      </c>
      <c r="B395" s="12" t="s">
        <v>35</v>
      </c>
      <c r="C395" s="12" t="s">
        <v>214</v>
      </c>
      <c r="D395" s="12" t="s">
        <v>439</v>
      </c>
      <c r="E395" s="12" t="s">
        <v>188</v>
      </c>
      <c r="F395" s="12" t="s">
        <v>33</v>
      </c>
      <c r="G395" s="18">
        <v>589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500.65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412.3</v>
      </c>
      <c r="J395" s="12"/>
    </row>
    <row r="396" spans="1:10" ht="21.95" customHeight="1">
      <c r="A396" s="15" t="s">
        <v>512</v>
      </c>
      <c r="B396" s="12" t="s">
        <v>35</v>
      </c>
      <c r="C396" s="12" t="s">
        <v>214</v>
      </c>
      <c r="D396" s="12" t="s">
        <v>439</v>
      </c>
      <c r="E396" s="12" t="s">
        <v>190</v>
      </c>
      <c r="F396" s="12" t="s">
        <v>33</v>
      </c>
      <c r="G396" s="18">
        <v>589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500.65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412.3</v>
      </c>
      <c r="J396" s="12"/>
    </row>
    <row r="397" spans="1:10" ht="21.95" customHeight="1">
      <c r="A397" s="15" t="s">
        <v>513</v>
      </c>
      <c r="B397" s="12" t="s">
        <v>45</v>
      </c>
      <c r="C397" s="12" t="s">
        <v>214</v>
      </c>
      <c r="D397" s="12" t="s">
        <v>439</v>
      </c>
      <c r="E397" s="12" t="s">
        <v>46</v>
      </c>
      <c r="F397" s="12" t="s">
        <v>38</v>
      </c>
      <c r="G397" s="18">
        <v>333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283.05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233.1</v>
      </c>
      <c r="J397" s="12"/>
    </row>
    <row r="398" spans="1:10" ht="21.95" customHeight="1">
      <c r="A398" s="15" t="s">
        <v>514</v>
      </c>
      <c r="B398" s="12" t="s">
        <v>443</v>
      </c>
      <c r="C398" s="12" t="s">
        <v>12</v>
      </c>
      <c r="D398" s="12" t="s">
        <v>439</v>
      </c>
      <c r="E398" s="12"/>
      <c r="F398" s="12" t="s">
        <v>38</v>
      </c>
      <c r="G398" s="18">
        <v>405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344.25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283.5</v>
      </c>
      <c r="J398" s="12"/>
    </row>
    <row r="399" spans="1:10" ht="21.95" customHeight="1">
      <c r="A399" s="15" t="s">
        <v>515</v>
      </c>
      <c r="B399" s="12" t="s">
        <v>121</v>
      </c>
      <c r="C399" s="12" t="s">
        <v>12</v>
      </c>
      <c r="D399" s="12" t="s">
        <v>439</v>
      </c>
      <c r="E399" s="12"/>
      <c r="F399" s="12" t="s">
        <v>15</v>
      </c>
      <c r="G399" s="18">
        <v>638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542.29999999999995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446.6</v>
      </c>
      <c r="J399" s="12"/>
    </row>
    <row r="400" spans="1:10" ht="21.95" customHeight="1">
      <c r="A400" s="15" t="s">
        <v>516</v>
      </c>
      <c r="B400" s="12" t="s">
        <v>17</v>
      </c>
      <c r="C400" s="12" t="s">
        <v>12</v>
      </c>
      <c r="D400" s="12" t="s">
        <v>439</v>
      </c>
      <c r="E400" s="12"/>
      <c r="F400" s="12" t="s">
        <v>15</v>
      </c>
      <c r="G400" s="18">
        <v>479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407.15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335.3</v>
      </c>
      <c r="J400" s="12"/>
    </row>
    <row r="401" spans="1:10" ht="21.95" customHeight="1">
      <c r="A401" s="15" t="s">
        <v>517</v>
      </c>
      <c r="B401" s="12" t="s">
        <v>443</v>
      </c>
      <c r="C401" s="12" t="s">
        <v>12</v>
      </c>
      <c r="D401" s="12" t="s">
        <v>439</v>
      </c>
      <c r="E401" s="12"/>
      <c r="F401" s="12" t="s">
        <v>15</v>
      </c>
      <c r="G401" s="18">
        <v>359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305.14999999999998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251.3</v>
      </c>
      <c r="J401" s="12"/>
    </row>
    <row r="402" spans="1:10" ht="21.95" customHeight="1">
      <c r="A402" s="15" t="s">
        <v>518</v>
      </c>
      <c r="B402" s="12" t="s">
        <v>21</v>
      </c>
      <c r="C402" s="12" t="s">
        <v>12</v>
      </c>
      <c r="D402" s="12" t="s">
        <v>439</v>
      </c>
      <c r="E402" s="12"/>
      <c r="F402" s="12" t="s">
        <v>15</v>
      </c>
      <c r="G402" s="18">
        <v>465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395.25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325.5</v>
      </c>
      <c r="J402" s="12"/>
    </row>
    <row r="403" spans="1:10" ht="21.95" customHeight="1">
      <c r="A403" s="15" t="s">
        <v>519</v>
      </c>
      <c r="B403" s="12" t="s">
        <v>45</v>
      </c>
      <c r="C403" s="12" t="s">
        <v>12</v>
      </c>
      <c r="D403" s="12" t="s">
        <v>439</v>
      </c>
      <c r="E403" s="12"/>
      <c r="F403" s="12" t="s">
        <v>15</v>
      </c>
      <c r="G403" s="18">
        <v>638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542.29999999999995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446.6</v>
      </c>
      <c r="J403" s="12"/>
    </row>
    <row r="404" spans="1:10" ht="21.95" customHeight="1">
      <c r="A404" s="15" t="s">
        <v>520</v>
      </c>
      <c r="B404" s="12" t="s">
        <v>35</v>
      </c>
      <c r="C404" s="12" t="s">
        <v>12</v>
      </c>
      <c r="D404" s="12" t="s">
        <v>439</v>
      </c>
      <c r="E404" s="12" t="s">
        <v>61</v>
      </c>
      <c r="F404" s="12" t="s">
        <v>15</v>
      </c>
      <c r="G404" s="18">
        <v>395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335.75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276.5</v>
      </c>
      <c r="J404" s="12"/>
    </row>
    <row r="405" spans="1:10" ht="21.95" customHeight="1">
      <c r="A405" s="15" t="s">
        <v>521</v>
      </c>
      <c r="B405" s="12" t="s">
        <v>30</v>
      </c>
      <c r="C405" s="12" t="s">
        <v>31</v>
      </c>
      <c r="D405" s="12" t="s">
        <v>522</v>
      </c>
      <c r="E405" s="12"/>
      <c r="F405" s="12" t="s">
        <v>33</v>
      </c>
      <c r="G405" s="18">
        <v>499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424.15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349.3</v>
      </c>
      <c r="J405" s="12"/>
    </row>
    <row r="406" spans="1:10" ht="21.95" customHeight="1">
      <c r="A406" s="15" t="s">
        <v>523</v>
      </c>
      <c r="B406" s="12" t="s">
        <v>35</v>
      </c>
      <c r="C406" s="12" t="s">
        <v>31</v>
      </c>
      <c r="D406" s="12" t="s">
        <v>522</v>
      </c>
      <c r="E406" s="12"/>
      <c r="F406" s="12" t="s">
        <v>33</v>
      </c>
      <c r="G406" s="18">
        <v>539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458.15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377.3</v>
      </c>
      <c r="J406" s="12"/>
    </row>
    <row r="407" spans="1:10" ht="21.95" customHeight="1">
      <c r="A407" s="15" t="s">
        <v>524</v>
      </c>
      <c r="B407" s="12" t="s">
        <v>40</v>
      </c>
      <c r="C407" s="12" t="s">
        <v>31</v>
      </c>
      <c r="D407" s="12" t="s">
        <v>522</v>
      </c>
      <c r="E407" s="12" t="s">
        <v>41</v>
      </c>
      <c r="F407" s="12" t="s">
        <v>38</v>
      </c>
      <c r="G407" s="18">
        <v>274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232.9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191.8</v>
      </c>
      <c r="J407" s="12" t="s">
        <v>525</v>
      </c>
    </row>
    <row r="408" spans="1:10" ht="21.95" customHeight="1">
      <c r="A408" s="15" t="s">
        <v>526</v>
      </c>
      <c r="B408" s="12" t="s">
        <v>21</v>
      </c>
      <c r="C408" s="12" t="s">
        <v>31</v>
      </c>
      <c r="D408" s="12" t="s">
        <v>522</v>
      </c>
      <c r="E408" s="12"/>
      <c r="F408" s="12" t="s">
        <v>38</v>
      </c>
      <c r="G408" s="18">
        <v>548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465.8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383.6</v>
      </c>
      <c r="J408" s="12"/>
    </row>
    <row r="409" spans="1:10" ht="21.95" customHeight="1">
      <c r="A409" s="15" t="s">
        <v>527</v>
      </c>
      <c r="B409" s="12" t="s">
        <v>50</v>
      </c>
      <c r="C409" s="12" t="s">
        <v>31</v>
      </c>
      <c r="D409" s="12" t="s">
        <v>522</v>
      </c>
      <c r="E409" s="12"/>
      <c r="F409" s="12" t="s">
        <v>15</v>
      </c>
      <c r="G409" s="18">
        <v>346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294.10000000000002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242.2</v>
      </c>
      <c r="J409" s="12" t="s">
        <v>528</v>
      </c>
    </row>
    <row r="410" spans="1:10" ht="21.95" customHeight="1">
      <c r="A410" s="15" t="s">
        <v>529</v>
      </c>
      <c r="B410" s="12" t="s">
        <v>530</v>
      </c>
      <c r="C410" s="12" t="s">
        <v>31</v>
      </c>
      <c r="D410" s="12" t="s">
        <v>522</v>
      </c>
      <c r="E410" s="12"/>
      <c r="F410" s="12" t="s">
        <v>15</v>
      </c>
      <c r="G410" s="18">
        <v>249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211.65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174.3</v>
      </c>
      <c r="J410" s="12"/>
    </row>
    <row r="411" spans="1:10" ht="21.95" customHeight="1">
      <c r="A411" s="15" t="s">
        <v>531</v>
      </c>
      <c r="B411" s="12" t="s">
        <v>17</v>
      </c>
      <c r="C411" s="12" t="s">
        <v>31</v>
      </c>
      <c r="D411" s="12" t="s">
        <v>522</v>
      </c>
      <c r="E411" s="12"/>
      <c r="F411" s="12" t="s">
        <v>15</v>
      </c>
      <c r="G411" s="18">
        <v>359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305.14999999999998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251.3</v>
      </c>
      <c r="J411" s="12"/>
    </row>
    <row r="412" spans="1:10" ht="21.95" customHeight="1">
      <c r="A412" s="15" t="s">
        <v>532</v>
      </c>
      <c r="B412" s="12" t="s">
        <v>40</v>
      </c>
      <c r="C412" s="12" t="s">
        <v>31</v>
      </c>
      <c r="D412" s="12" t="s">
        <v>522</v>
      </c>
      <c r="E412" s="12" t="s">
        <v>54</v>
      </c>
      <c r="F412" s="12" t="s">
        <v>15</v>
      </c>
      <c r="G412" s="18">
        <v>274</v>
      </c>
      <c r="H412" s="21">
        <f>IF(SUMIFS(İndirimler!$C$2:$C$110,İndirimler!$A$2:$A$110,B412,İndirimler!$B$2:$B$110,C412)&gt;0,ROUND(G412*(1-SUMIFS(İndirimler!$C$2:$C$110,İndirimler!$A$2:$A$110,B412,İndirimler!$B$2:$B$110,C412)),2),"")</f>
        <v>232.9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191.8</v>
      </c>
      <c r="J412" s="12" t="s">
        <v>533</v>
      </c>
    </row>
    <row r="413" spans="1:10" ht="21.95" customHeight="1">
      <c r="A413" s="15" t="s">
        <v>534</v>
      </c>
      <c r="B413" s="12" t="s">
        <v>57</v>
      </c>
      <c r="C413" s="12" t="s">
        <v>31</v>
      </c>
      <c r="D413" s="12" t="s">
        <v>522</v>
      </c>
      <c r="E413" s="12" t="s">
        <v>58</v>
      </c>
      <c r="F413" s="12" t="s">
        <v>15</v>
      </c>
      <c r="G413" s="18">
        <v>429</v>
      </c>
      <c r="H413" s="21">
        <f>IF(SUMIFS(İndirimler!$C$2:$C$110,İndirimler!$A$2:$A$110,B413,İndirimler!$B$2:$B$110,C413)&gt;0,ROUND(G413*(1-SUMIFS(İndirimler!$C$2:$C$110,İndirimler!$A$2:$A$110,B413,İndirimler!$B$2:$B$110,C413)),2),"")</f>
        <v>364.65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300.3</v>
      </c>
      <c r="J413" s="12"/>
    </row>
    <row r="414" spans="1:10" ht="21.95" customHeight="1">
      <c r="A414" s="15" t="s">
        <v>535</v>
      </c>
      <c r="B414" s="12" t="s">
        <v>21</v>
      </c>
      <c r="C414" s="12" t="s">
        <v>31</v>
      </c>
      <c r="D414" s="12" t="s">
        <v>522</v>
      </c>
      <c r="E414" s="12"/>
      <c r="F414" s="12" t="s">
        <v>15</v>
      </c>
      <c r="G414" s="18">
        <v>548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465.8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383.6</v>
      </c>
      <c r="J414" s="12"/>
    </row>
    <row r="415" spans="1:10" ht="21.95" customHeight="1">
      <c r="A415" s="15" t="s">
        <v>536</v>
      </c>
      <c r="B415" s="12" t="s">
        <v>45</v>
      </c>
      <c r="C415" s="12" t="s">
        <v>31</v>
      </c>
      <c r="D415" s="12" t="s">
        <v>522</v>
      </c>
      <c r="E415" s="12" t="s">
        <v>61</v>
      </c>
      <c r="F415" s="12" t="s">
        <v>15</v>
      </c>
      <c r="G415" s="18">
        <v>440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374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308</v>
      </c>
      <c r="J415" s="12"/>
    </row>
    <row r="416" spans="1:10" ht="21.95" customHeight="1">
      <c r="A416" s="15" t="s">
        <v>537</v>
      </c>
      <c r="B416" s="12" t="s">
        <v>35</v>
      </c>
      <c r="C416" s="12" t="s">
        <v>31</v>
      </c>
      <c r="D416" s="12" t="s">
        <v>522</v>
      </c>
      <c r="E416" s="12" t="s">
        <v>61</v>
      </c>
      <c r="F416" s="12" t="s">
        <v>15</v>
      </c>
      <c r="G416" s="18">
        <v>295</v>
      </c>
      <c r="H416" s="21">
        <f>IF(SUMIFS(İndirimler!$C$2:$C$110,İndirimler!$A$2:$A$110,B416,İndirimler!$B$2:$B$110,C416)&gt;0,ROUND(G416*(1-SUMIFS(İndirimler!$C$2:$C$110,İndirimler!$A$2:$A$110,B416,İndirimler!$B$2:$B$110,C416)),2),"")</f>
        <v>250.75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206.5</v>
      </c>
      <c r="J416" s="12"/>
    </row>
    <row r="417" spans="1:10" ht="21.95" customHeight="1">
      <c r="A417" s="15" t="s">
        <v>538</v>
      </c>
      <c r="B417" s="12" t="s">
        <v>64</v>
      </c>
      <c r="C417" s="12" t="s">
        <v>31</v>
      </c>
      <c r="D417" s="12" t="s">
        <v>522</v>
      </c>
      <c r="E417" s="12"/>
      <c r="F417" s="12" t="s">
        <v>65</v>
      </c>
      <c r="G417" s="18">
        <v>479</v>
      </c>
      <c r="H417" s="21">
        <f>IF(SUMIFS(İndirimler!$C$2:$C$110,İndirimler!$A$2:$A$110,B417,İndirimler!$B$2:$B$110,C417)&gt;0,ROUND(G417*(1-SUMIFS(İndirimler!$C$2:$C$110,İndirimler!$A$2:$A$110,B417,İndirimler!$B$2:$B$110,C417)),2),"")</f>
        <v>407.15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335.3</v>
      </c>
      <c r="J417" s="12"/>
    </row>
    <row r="418" spans="1:10" ht="21.95" customHeight="1">
      <c r="A418" s="15" t="s">
        <v>539</v>
      </c>
      <c r="B418" s="12" t="s">
        <v>35</v>
      </c>
      <c r="C418" s="12" t="s">
        <v>68</v>
      </c>
      <c r="D418" s="12" t="s">
        <v>522</v>
      </c>
      <c r="E418" s="12"/>
      <c r="F418" s="12" t="s">
        <v>33</v>
      </c>
      <c r="G418" s="18">
        <v>779</v>
      </c>
      <c r="H418" s="21">
        <f>IF(SUMIFS(İndirimler!$C$2:$C$110,İndirimler!$A$2:$A$110,B418,İndirimler!$B$2:$B$110,C418)&gt;0,ROUND(G418*(1-SUMIFS(İndirimler!$C$2:$C$110,İndirimler!$A$2:$A$110,B418,İndirimler!$B$2:$B$110,C418)),2),"")</f>
        <v>662.15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545.29999999999995</v>
      </c>
      <c r="J418" s="12"/>
    </row>
    <row r="419" spans="1:10" ht="21.95" customHeight="1">
      <c r="A419" s="15" t="s">
        <v>540</v>
      </c>
      <c r="B419" s="12" t="s">
        <v>40</v>
      </c>
      <c r="C419" s="12" t="s">
        <v>68</v>
      </c>
      <c r="D419" s="12" t="s">
        <v>522</v>
      </c>
      <c r="E419" s="12" t="s">
        <v>41</v>
      </c>
      <c r="F419" s="12" t="s">
        <v>38</v>
      </c>
      <c r="G419" s="18">
        <v>274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232.9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191.8</v>
      </c>
      <c r="J419" s="12" t="s">
        <v>541</v>
      </c>
    </row>
    <row r="420" spans="1:10" ht="21.95" customHeight="1">
      <c r="A420" s="15" t="s">
        <v>542</v>
      </c>
      <c r="B420" s="12" t="s">
        <v>21</v>
      </c>
      <c r="C420" s="12" t="s">
        <v>68</v>
      </c>
      <c r="D420" s="12" t="s">
        <v>522</v>
      </c>
      <c r="E420" s="12"/>
      <c r="F420" s="12" t="s">
        <v>38</v>
      </c>
      <c r="G420" s="18">
        <v>608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516.79999999999995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425.6</v>
      </c>
      <c r="J420" s="12"/>
    </row>
    <row r="421" spans="1:10" ht="21.95" customHeight="1">
      <c r="A421" s="15" t="s">
        <v>543</v>
      </c>
      <c r="B421" s="12" t="s">
        <v>50</v>
      </c>
      <c r="C421" s="12" t="s">
        <v>68</v>
      </c>
      <c r="D421" s="12" t="s">
        <v>522</v>
      </c>
      <c r="E421" s="12"/>
      <c r="F421" s="12" t="s">
        <v>15</v>
      </c>
      <c r="G421" s="18">
        <v>366</v>
      </c>
      <c r="H421" s="21">
        <f>IF(SUMIFS(İndirimler!$C$2:$C$110,İndirimler!$A$2:$A$110,B421,İndirimler!$B$2:$B$110,C421)&gt;0,ROUND(G421*(1-SUMIFS(İndirimler!$C$2:$C$110,İndirimler!$A$2:$A$110,B421,İndirimler!$B$2:$B$110,C421)),2),"")</f>
        <v>311.10000000000002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256.2</v>
      </c>
      <c r="J421" s="12" t="s">
        <v>544</v>
      </c>
    </row>
    <row r="422" spans="1:10" ht="21.95" customHeight="1">
      <c r="A422" s="15" t="s">
        <v>545</v>
      </c>
      <c r="B422" s="12" t="s">
        <v>530</v>
      </c>
      <c r="C422" s="12" t="s">
        <v>68</v>
      </c>
      <c r="D422" s="12" t="s">
        <v>522</v>
      </c>
      <c r="E422" s="12"/>
      <c r="F422" s="12" t="s">
        <v>15</v>
      </c>
      <c r="G422" s="18">
        <v>295</v>
      </c>
      <c r="H422" s="21">
        <f>IF(SUMIFS(İndirimler!$C$2:$C$110,İndirimler!$A$2:$A$110,B422,İndirimler!$B$2:$B$110,C422)&gt;0,ROUND(G422*(1-SUMIFS(İndirimler!$C$2:$C$110,İndirimler!$A$2:$A$110,B422,İndirimler!$B$2:$B$110,C422)),2),"")</f>
        <v>250.75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206.5</v>
      </c>
      <c r="J422" s="12"/>
    </row>
    <row r="423" spans="1:10" ht="21.95" customHeight="1">
      <c r="A423" s="15" t="s">
        <v>546</v>
      </c>
      <c r="B423" s="12" t="s">
        <v>17</v>
      </c>
      <c r="C423" s="12" t="s">
        <v>68</v>
      </c>
      <c r="D423" s="12" t="s">
        <v>522</v>
      </c>
      <c r="E423" s="12"/>
      <c r="F423" s="12" t="s">
        <v>15</v>
      </c>
      <c r="G423" s="18">
        <v>385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327.25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269.5</v>
      </c>
      <c r="J423" s="12"/>
    </row>
    <row r="424" spans="1:10" ht="21.95" customHeight="1">
      <c r="A424" s="15" t="s">
        <v>547</v>
      </c>
      <c r="B424" s="12" t="s">
        <v>40</v>
      </c>
      <c r="C424" s="12" t="s">
        <v>68</v>
      </c>
      <c r="D424" s="12" t="s">
        <v>522</v>
      </c>
      <c r="E424" s="12" t="s">
        <v>54</v>
      </c>
      <c r="F424" s="12" t="s">
        <v>15</v>
      </c>
      <c r="G424" s="18">
        <v>274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232.9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191.8</v>
      </c>
      <c r="J424" s="12" t="s">
        <v>548</v>
      </c>
    </row>
    <row r="425" spans="1:10" ht="21.95" customHeight="1">
      <c r="A425" s="15" t="s">
        <v>549</v>
      </c>
      <c r="B425" s="12" t="s">
        <v>57</v>
      </c>
      <c r="C425" s="12" t="s">
        <v>68</v>
      </c>
      <c r="D425" s="12" t="s">
        <v>522</v>
      </c>
      <c r="E425" s="12" t="s">
        <v>58</v>
      </c>
      <c r="F425" s="12" t="s">
        <v>15</v>
      </c>
      <c r="G425" s="18">
        <v>429</v>
      </c>
      <c r="H425" s="21">
        <f>IF(SUMIFS(İndirimler!$C$2:$C$110,İndirimler!$A$2:$A$110,B425,İndirimler!$B$2:$B$110,C425)&gt;0,ROUND(G425*(1-SUMIFS(İndirimler!$C$2:$C$110,İndirimler!$A$2:$A$110,B425,İndirimler!$B$2:$B$110,C425)),2),"")</f>
        <v>364.65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300.3</v>
      </c>
      <c r="J425" s="12"/>
    </row>
    <row r="426" spans="1:10" ht="21.95" customHeight="1">
      <c r="A426" s="15" t="s">
        <v>550</v>
      </c>
      <c r="B426" s="12" t="s">
        <v>21</v>
      </c>
      <c r="C426" s="12" t="s">
        <v>68</v>
      </c>
      <c r="D426" s="12" t="s">
        <v>522</v>
      </c>
      <c r="E426" s="12"/>
      <c r="F426" s="12" t="s">
        <v>15</v>
      </c>
      <c r="G426" s="18">
        <v>619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526.15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433.3</v>
      </c>
      <c r="J426" s="12"/>
    </row>
    <row r="427" spans="1:10" ht="21.95" customHeight="1">
      <c r="A427" s="15" t="s">
        <v>551</v>
      </c>
      <c r="B427" s="12" t="s">
        <v>45</v>
      </c>
      <c r="C427" s="12" t="s">
        <v>68</v>
      </c>
      <c r="D427" s="12" t="s">
        <v>522</v>
      </c>
      <c r="E427" s="12" t="s">
        <v>61</v>
      </c>
      <c r="F427" s="12" t="s">
        <v>15</v>
      </c>
      <c r="G427" s="18">
        <v>634</v>
      </c>
      <c r="H427" s="21">
        <f>IF(SUMIFS(İndirimler!$C$2:$C$110,İndirimler!$A$2:$A$110,B427,İndirimler!$B$2:$B$110,C427)&gt;0,ROUND(G427*(1-SUMIFS(İndirimler!$C$2:$C$110,İndirimler!$A$2:$A$110,B427,İndirimler!$B$2:$B$110,C427)),2),"")</f>
        <v>538.9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443.8</v>
      </c>
      <c r="J427" s="12"/>
    </row>
    <row r="428" spans="1:10" ht="21.95" customHeight="1">
      <c r="A428" s="15" t="s">
        <v>552</v>
      </c>
      <c r="B428" s="12" t="s">
        <v>35</v>
      </c>
      <c r="C428" s="12" t="s">
        <v>68</v>
      </c>
      <c r="D428" s="12" t="s">
        <v>522</v>
      </c>
      <c r="E428" s="12" t="s">
        <v>61</v>
      </c>
      <c r="F428" s="12" t="s">
        <v>15</v>
      </c>
      <c r="G428" s="18">
        <v>295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250.75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206.5</v>
      </c>
      <c r="J428" s="12"/>
    </row>
    <row r="429" spans="1:10" ht="21.95" customHeight="1">
      <c r="A429" s="15" t="s">
        <v>553</v>
      </c>
      <c r="B429" s="12" t="s">
        <v>64</v>
      </c>
      <c r="C429" s="12" t="s">
        <v>68</v>
      </c>
      <c r="D429" s="12" t="s">
        <v>522</v>
      </c>
      <c r="E429" s="12"/>
      <c r="F429" s="12" t="s">
        <v>65</v>
      </c>
      <c r="G429" s="18">
        <v>385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327.25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269.5</v>
      </c>
      <c r="J429" s="12"/>
    </row>
    <row r="430" spans="1:10" ht="21.95" customHeight="1">
      <c r="A430" s="15" t="s">
        <v>554</v>
      </c>
      <c r="B430" s="12" t="s">
        <v>35</v>
      </c>
      <c r="C430" s="12" t="s">
        <v>87</v>
      </c>
      <c r="D430" s="12" t="s">
        <v>522</v>
      </c>
      <c r="E430" s="12"/>
      <c r="F430" s="12" t="s">
        <v>33</v>
      </c>
      <c r="G430" s="18">
        <v>500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425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350</v>
      </c>
      <c r="J430" s="12"/>
    </row>
    <row r="431" spans="1:10" ht="21.95" customHeight="1">
      <c r="A431" s="15" t="s">
        <v>555</v>
      </c>
      <c r="B431" s="12" t="s">
        <v>64</v>
      </c>
      <c r="C431" s="12" t="s">
        <v>87</v>
      </c>
      <c r="D431" s="12" t="s">
        <v>522</v>
      </c>
      <c r="E431" s="12" t="s">
        <v>90</v>
      </c>
      <c r="F431" s="12" t="s">
        <v>38</v>
      </c>
      <c r="G431" s="18">
        <v>500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425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350</v>
      </c>
      <c r="J431" s="12"/>
    </row>
    <row r="432" spans="1:10" ht="21.95" customHeight="1">
      <c r="A432" s="15" t="s">
        <v>556</v>
      </c>
      <c r="B432" s="12" t="s">
        <v>21</v>
      </c>
      <c r="C432" s="12" t="s">
        <v>87</v>
      </c>
      <c r="D432" s="12" t="s">
        <v>522</v>
      </c>
      <c r="E432" s="12"/>
      <c r="F432" s="12" t="s">
        <v>38</v>
      </c>
      <c r="G432" s="18">
        <v>486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413.1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340.2</v>
      </c>
      <c r="J432" s="12"/>
    </row>
    <row r="433" spans="1:10" ht="21.95" customHeight="1">
      <c r="A433" s="15" t="s">
        <v>557</v>
      </c>
      <c r="B433" s="12" t="s">
        <v>50</v>
      </c>
      <c r="C433" s="12" t="s">
        <v>87</v>
      </c>
      <c r="D433" s="12" t="s">
        <v>522</v>
      </c>
      <c r="E433" s="12"/>
      <c r="F433" s="12" t="s">
        <v>15</v>
      </c>
      <c r="G433" s="18">
        <v>346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294.10000000000002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242.2</v>
      </c>
      <c r="J433" s="12"/>
    </row>
    <row r="434" spans="1:10" ht="21.95" customHeight="1">
      <c r="A434" s="15" t="s">
        <v>558</v>
      </c>
      <c r="B434" s="12" t="s">
        <v>530</v>
      </c>
      <c r="C434" s="12" t="s">
        <v>87</v>
      </c>
      <c r="D434" s="12" t="s">
        <v>522</v>
      </c>
      <c r="E434" s="12"/>
      <c r="F434" s="12" t="s">
        <v>15</v>
      </c>
      <c r="G434" s="18">
        <v>500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425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350</v>
      </c>
      <c r="J434" s="12"/>
    </row>
    <row r="435" spans="1:10" ht="21.95" customHeight="1">
      <c r="A435" s="15" t="s">
        <v>559</v>
      </c>
      <c r="B435" s="12" t="s">
        <v>17</v>
      </c>
      <c r="C435" s="12" t="s">
        <v>87</v>
      </c>
      <c r="D435" s="12" t="s">
        <v>522</v>
      </c>
      <c r="E435" s="12"/>
      <c r="F435" s="12" t="s">
        <v>15</v>
      </c>
      <c r="G435" s="18">
        <v>500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425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350</v>
      </c>
      <c r="J435" s="12"/>
    </row>
    <row r="436" spans="1:10" ht="21.95" customHeight="1">
      <c r="A436" s="15" t="s">
        <v>560</v>
      </c>
      <c r="B436" s="12" t="s">
        <v>17</v>
      </c>
      <c r="C436" s="12" t="s">
        <v>87</v>
      </c>
      <c r="D436" s="12" t="s">
        <v>522</v>
      </c>
      <c r="E436" s="12"/>
      <c r="F436" s="12" t="s">
        <v>15</v>
      </c>
      <c r="G436" s="18">
        <v>500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425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350</v>
      </c>
      <c r="J436" s="12"/>
    </row>
    <row r="437" spans="1:10" ht="21.95" customHeight="1">
      <c r="A437" s="15" t="s">
        <v>561</v>
      </c>
      <c r="B437" s="12" t="s">
        <v>57</v>
      </c>
      <c r="C437" s="12" t="s">
        <v>87</v>
      </c>
      <c r="D437" s="12" t="s">
        <v>522</v>
      </c>
      <c r="E437" s="12" t="s">
        <v>58</v>
      </c>
      <c r="F437" s="12" t="s">
        <v>15</v>
      </c>
      <c r="G437" s="18">
        <v>500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425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350</v>
      </c>
      <c r="J437" s="12"/>
    </row>
    <row r="438" spans="1:10" ht="21.95" customHeight="1">
      <c r="A438" s="15" t="s">
        <v>562</v>
      </c>
      <c r="B438" s="12" t="s">
        <v>21</v>
      </c>
      <c r="C438" s="12" t="s">
        <v>87</v>
      </c>
      <c r="D438" s="12" t="s">
        <v>522</v>
      </c>
      <c r="E438" s="12"/>
      <c r="F438" s="12" t="s">
        <v>15</v>
      </c>
      <c r="G438" s="18">
        <v>464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394.4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324.8</v>
      </c>
      <c r="J438" s="12"/>
    </row>
    <row r="439" spans="1:10" ht="21.95" customHeight="1">
      <c r="A439" s="15" t="s">
        <v>563</v>
      </c>
      <c r="B439" s="12" t="s">
        <v>45</v>
      </c>
      <c r="C439" s="12" t="s">
        <v>87</v>
      </c>
      <c r="D439" s="12" t="s">
        <v>522</v>
      </c>
      <c r="E439" s="12" t="s">
        <v>61</v>
      </c>
      <c r="F439" s="12" t="s">
        <v>15</v>
      </c>
      <c r="G439" s="18">
        <v>510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433.5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357</v>
      </c>
      <c r="J439" s="12"/>
    </row>
    <row r="440" spans="1:10" ht="21.95" customHeight="1">
      <c r="A440" s="15" t="s">
        <v>564</v>
      </c>
      <c r="B440" s="12" t="s">
        <v>35</v>
      </c>
      <c r="C440" s="12" t="s">
        <v>87</v>
      </c>
      <c r="D440" s="12" t="s">
        <v>522</v>
      </c>
      <c r="E440" s="12"/>
      <c r="F440" s="12" t="s">
        <v>15</v>
      </c>
      <c r="G440" s="18">
        <v>500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425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350</v>
      </c>
      <c r="J440" s="12"/>
    </row>
    <row r="441" spans="1:10" ht="21.95" customHeight="1">
      <c r="A441" s="15" t="s">
        <v>565</v>
      </c>
      <c r="B441" s="12" t="s">
        <v>64</v>
      </c>
      <c r="C441" s="12" t="s">
        <v>87</v>
      </c>
      <c r="D441" s="12" t="s">
        <v>522</v>
      </c>
      <c r="E441" s="12"/>
      <c r="F441" s="12" t="s">
        <v>65</v>
      </c>
      <c r="G441" s="18">
        <v>500</v>
      </c>
      <c r="H441" s="21">
        <f>IF(SUMIFS(İndirimler!$C$2:$C$110,İndirimler!$A$2:$A$110,B441,İndirimler!$B$2:$B$110,C441)&gt;0,ROUND(G441*(1-SUMIFS(İndirimler!$C$2:$C$110,İndirimler!$A$2:$A$110,B441,İndirimler!$B$2:$B$110,C441)),2),"")</f>
        <v>425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350</v>
      </c>
      <c r="J441" s="12"/>
    </row>
    <row r="442" spans="1:10" ht="21.95" customHeight="1">
      <c r="A442" s="15" t="s">
        <v>566</v>
      </c>
      <c r="B442" s="12" t="s">
        <v>17</v>
      </c>
      <c r="C442" s="12" t="s">
        <v>12</v>
      </c>
      <c r="D442" s="12" t="s">
        <v>522</v>
      </c>
      <c r="E442" s="12"/>
      <c r="F442" s="12" t="s">
        <v>15</v>
      </c>
      <c r="G442" s="18">
        <v>429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364.65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300.3</v>
      </c>
      <c r="J442" s="12"/>
    </row>
    <row r="443" spans="1:10" ht="21.95" customHeight="1">
      <c r="A443" s="15" t="s">
        <v>567</v>
      </c>
      <c r="B443" s="12" t="s">
        <v>21</v>
      </c>
      <c r="C443" s="12" t="s">
        <v>12</v>
      </c>
      <c r="D443" s="12" t="s">
        <v>522</v>
      </c>
      <c r="E443" s="12"/>
      <c r="F443" s="12" t="s">
        <v>15</v>
      </c>
      <c r="G443" s="18">
        <v>470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399.5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329</v>
      </c>
      <c r="J443" s="12"/>
    </row>
    <row r="444" spans="1:10" ht="21.95" customHeight="1">
      <c r="A444" s="15" t="s">
        <v>568</v>
      </c>
      <c r="B444" s="12" t="s">
        <v>30</v>
      </c>
      <c r="C444" s="12" t="s">
        <v>31</v>
      </c>
      <c r="D444" s="12" t="s">
        <v>569</v>
      </c>
      <c r="E444" s="12"/>
      <c r="F444" s="12" t="s">
        <v>33</v>
      </c>
      <c r="G444" s="18">
        <v>559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475.15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391.3</v>
      </c>
      <c r="J444" s="12"/>
    </row>
    <row r="445" spans="1:10" ht="21.95" customHeight="1">
      <c r="A445" s="15" t="s">
        <v>570</v>
      </c>
      <c r="B445" s="12" t="s">
        <v>35</v>
      </c>
      <c r="C445" s="12" t="s">
        <v>31</v>
      </c>
      <c r="D445" s="12" t="s">
        <v>569</v>
      </c>
      <c r="E445" s="12"/>
      <c r="F445" s="12" t="s">
        <v>33</v>
      </c>
      <c r="G445" s="18">
        <v>659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560.15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461.3</v>
      </c>
      <c r="J445" s="12"/>
    </row>
    <row r="446" spans="1:10" ht="21.95" customHeight="1">
      <c r="A446" s="15" t="s">
        <v>571</v>
      </c>
      <c r="B446" s="12" t="s">
        <v>572</v>
      </c>
      <c r="C446" s="12" t="s">
        <v>31</v>
      </c>
      <c r="D446" s="12" t="s">
        <v>569</v>
      </c>
      <c r="E446" s="12"/>
      <c r="F446" s="12" t="s">
        <v>38</v>
      </c>
      <c r="G446" s="18">
        <v>500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425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350</v>
      </c>
      <c r="J446" s="12"/>
    </row>
    <row r="447" spans="1:10" ht="21.95" customHeight="1">
      <c r="A447" s="15" t="s">
        <v>573</v>
      </c>
      <c r="B447" s="12" t="s">
        <v>40</v>
      </c>
      <c r="C447" s="12" t="s">
        <v>31</v>
      </c>
      <c r="D447" s="12" t="s">
        <v>569</v>
      </c>
      <c r="E447" s="12" t="s">
        <v>41</v>
      </c>
      <c r="F447" s="12" t="s">
        <v>38</v>
      </c>
      <c r="G447" s="18">
        <v>376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319.60000000000002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263.2</v>
      </c>
      <c r="J447" s="12" t="s">
        <v>574</v>
      </c>
    </row>
    <row r="448" spans="1:10" ht="21.95" customHeight="1">
      <c r="A448" s="15" t="s">
        <v>575</v>
      </c>
      <c r="B448" s="12" t="s">
        <v>21</v>
      </c>
      <c r="C448" s="12" t="s">
        <v>31</v>
      </c>
      <c r="D448" s="12" t="s">
        <v>569</v>
      </c>
      <c r="E448" s="12"/>
      <c r="F448" s="12" t="s">
        <v>38</v>
      </c>
      <c r="G448" s="18">
        <v>619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526.15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433.3</v>
      </c>
      <c r="J448" s="12"/>
    </row>
    <row r="449" spans="1:10" ht="21.95" customHeight="1">
      <c r="A449" s="15" t="s">
        <v>576</v>
      </c>
      <c r="B449" s="12" t="s">
        <v>50</v>
      </c>
      <c r="C449" s="12" t="s">
        <v>31</v>
      </c>
      <c r="D449" s="12" t="s">
        <v>569</v>
      </c>
      <c r="E449" s="12"/>
      <c r="F449" s="12" t="s">
        <v>15</v>
      </c>
      <c r="G449" s="18">
        <v>346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294.10000000000002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242.2</v>
      </c>
      <c r="J449" s="12" t="s">
        <v>577</v>
      </c>
    </row>
    <row r="450" spans="1:10" ht="21.95" customHeight="1">
      <c r="A450" s="15" t="s">
        <v>578</v>
      </c>
      <c r="B450" s="12" t="s">
        <v>17</v>
      </c>
      <c r="C450" s="12" t="s">
        <v>31</v>
      </c>
      <c r="D450" s="12" t="s">
        <v>569</v>
      </c>
      <c r="E450" s="12"/>
      <c r="F450" s="12" t="s">
        <v>15</v>
      </c>
      <c r="G450" s="18">
        <v>345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293.25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241.5</v>
      </c>
      <c r="J450" s="12"/>
    </row>
    <row r="451" spans="1:10" ht="21.95" customHeight="1">
      <c r="A451" s="15" t="s">
        <v>579</v>
      </c>
      <c r="B451" s="12" t="s">
        <v>572</v>
      </c>
      <c r="C451" s="12" t="s">
        <v>31</v>
      </c>
      <c r="D451" s="12" t="s">
        <v>569</v>
      </c>
      <c r="E451" s="12"/>
      <c r="F451" s="12" t="s">
        <v>15</v>
      </c>
      <c r="G451" s="18">
        <v>345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293.25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241.5</v>
      </c>
      <c r="J451" s="12"/>
    </row>
    <row r="452" spans="1:10" ht="21.95" customHeight="1">
      <c r="A452" s="15" t="s">
        <v>580</v>
      </c>
      <c r="B452" s="12" t="s">
        <v>40</v>
      </c>
      <c r="C452" s="12" t="s">
        <v>31</v>
      </c>
      <c r="D452" s="12" t="s">
        <v>569</v>
      </c>
      <c r="E452" s="12" t="s">
        <v>54</v>
      </c>
      <c r="F452" s="12" t="s">
        <v>15</v>
      </c>
      <c r="G452" s="18">
        <v>274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232.9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191.8</v>
      </c>
      <c r="J452" s="12" t="s">
        <v>581</v>
      </c>
    </row>
    <row r="453" spans="1:10" ht="21.95" customHeight="1">
      <c r="A453" s="15" t="s">
        <v>582</v>
      </c>
      <c r="B453" s="12" t="s">
        <v>57</v>
      </c>
      <c r="C453" s="12" t="s">
        <v>31</v>
      </c>
      <c r="D453" s="12" t="s">
        <v>569</v>
      </c>
      <c r="E453" s="12" t="s">
        <v>58</v>
      </c>
      <c r="F453" s="12" t="s">
        <v>15</v>
      </c>
      <c r="G453" s="18">
        <v>449</v>
      </c>
      <c r="H453" s="21">
        <f>IF(SUMIFS(İndirimler!$C$2:$C$110,İndirimler!$A$2:$A$110,B453,İndirimler!$B$2:$B$110,C453)&gt;0,ROUND(G453*(1-SUMIFS(İndirimler!$C$2:$C$110,İndirimler!$A$2:$A$110,B453,İndirimler!$B$2:$B$110,C453)),2),"")</f>
        <v>381.65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314.3</v>
      </c>
      <c r="J453" s="12"/>
    </row>
    <row r="454" spans="1:10" ht="21.95" customHeight="1">
      <c r="A454" s="15" t="s">
        <v>583</v>
      </c>
      <c r="B454" s="12" t="s">
        <v>21</v>
      </c>
      <c r="C454" s="12" t="s">
        <v>31</v>
      </c>
      <c r="D454" s="12" t="s">
        <v>569</v>
      </c>
      <c r="E454" s="12"/>
      <c r="F454" s="12" t="s">
        <v>15</v>
      </c>
      <c r="G454" s="18">
        <v>580</v>
      </c>
      <c r="H454" s="21">
        <f>IF(SUMIFS(İndirimler!$C$2:$C$110,İndirimler!$A$2:$A$110,B454,İndirimler!$B$2:$B$110,C454)&gt;0,ROUND(G454*(1-SUMIFS(İndirimler!$C$2:$C$110,İndirimler!$A$2:$A$110,B454,İndirimler!$B$2:$B$110,C454)),2),"")</f>
        <v>493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406</v>
      </c>
      <c r="J454" s="12"/>
    </row>
    <row r="455" spans="1:10" ht="21.95" customHeight="1">
      <c r="A455" s="15" t="s">
        <v>584</v>
      </c>
      <c r="B455" s="12" t="s">
        <v>45</v>
      </c>
      <c r="C455" s="12" t="s">
        <v>31</v>
      </c>
      <c r="D455" s="12" t="s">
        <v>569</v>
      </c>
      <c r="E455" s="12" t="s">
        <v>61</v>
      </c>
      <c r="F455" s="12" t="s">
        <v>15</v>
      </c>
      <c r="G455" s="18">
        <v>563</v>
      </c>
      <c r="H455" s="21">
        <f>IF(SUMIFS(İndirimler!$C$2:$C$110,İndirimler!$A$2:$A$110,B455,İndirimler!$B$2:$B$110,C455)&gt;0,ROUND(G455*(1-SUMIFS(İndirimler!$C$2:$C$110,İndirimler!$A$2:$A$110,B455,İndirimler!$B$2:$B$110,C455)),2),"")</f>
        <v>478.55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394.1</v>
      </c>
      <c r="J455" s="12"/>
    </row>
    <row r="456" spans="1:10" ht="21.95" customHeight="1">
      <c r="A456" s="15" t="s">
        <v>585</v>
      </c>
      <c r="B456" s="12" t="s">
        <v>35</v>
      </c>
      <c r="C456" s="12" t="s">
        <v>31</v>
      </c>
      <c r="D456" s="12" t="s">
        <v>569</v>
      </c>
      <c r="E456" s="12" t="s">
        <v>61</v>
      </c>
      <c r="F456" s="12" t="s">
        <v>15</v>
      </c>
      <c r="G456" s="18">
        <v>385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327.25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269.5</v>
      </c>
      <c r="J456" s="12"/>
    </row>
    <row r="457" spans="1:10" ht="21.95" customHeight="1">
      <c r="A457" s="15" t="s">
        <v>586</v>
      </c>
      <c r="B457" s="12" t="s">
        <v>64</v>
      </c>
      <c r="C457" s="12" t="s">
        <v>31</v>
      </c>
      <c r="D457" s="12" t="s">
        <v>569</v>
      </c>
      <c r="E457" s="12"/>
      <c r="F457" s="12" t="s">
        <v>65</v>
      </c>
      <c r="G457" s="18">
        <v>455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386.75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318.5</v>
      </c>
      <c r="J457" s="12"/>
    </row>
    <row r="458" spans="1:10" ht="21.95" customHeight="1">
      <c r="A458" s="15" t="s">
        <v>587</v>
      </c>
      <c r="B458" s="12" t="s">
        <v>30</v>
      </c>
      <c r="C458" s="12" t="s">
        <v>68</v>
      </c>
      <c r="D458" s="12" t="s">
        <v>569</v>
      </c>
      <c r="E458" s="12"/>
      <c r="F458" s="12" t="s">
        <v>33</v>
      </c>
      <c r="G458" s="18">
        <v>415</v>
      </c>
      <c r="H458" s="21">
        <f>IF(SUMIFS(İndirimler!$C$2:$C$110,İndirimler!$A$2:$A$110,B458,İndirimler!$B$2:$B$110,C458)&gt;0,ROUND(G458*(1-SUMIFS(İndirimler!$C$2:$C$110,İndirimler!$A$2:$A$110,B458,İndirimler!$B$2:$B$110,C458)),2),"")</f>
        <v>352.75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290.5</v>
      </c>
      <c r="J458" s="12"/>
    </row>
    <row r="459" spans="1:10" ht="21.95" customHeight="1">
      <c r="A459" s="15" t="s">
        <v>588</v>
      </c>
      <c r="B459" s="12" t="s">
        <v>35</v>
      </c>
      <c r="C459" s="12" t="s">
        <v>68</v>
      </c>
      <c r="D459" s="12" t="s">
        <v>569</v>
      </c>
      <c r="E459" s="12"/>
      <c r="F459" s="12" t="s">
        <v>33</v>
      </c>
      <c r="G459" s="18">
        <v>589</v>
      </c>
      <c r="H459" s="21">
        <f>IF(SUMIFS(İndirimler!$C$2:$C$110,İndirimler!$A$2:$A$110,B459,İndirimler!$B$2:$B$110,C459)&gt;0,ROUND(G459*(1-SUMIFS(İndirimler!$C$2:$C$110,İndirimler!$A$2:$A$110,B459,İndirimler!$B$2:$B$110,C459)),2),"")</f>
        <v>500.65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412.3</v>
      </c>
      <c r="J459" s="12"/>
    </row>
    <row r="460" spans="1:10" ht="21.95" customHeight="1">
      <c r="A460" s="15" t="s">
        <v>589</v>
      </c>
      <c r="B460" s="12" t="s">
        <v>572</v>
      </c>
      <c r="C460" s="12" t="s">
        <v>68</v>
      </c>
      <c r="D460" s="12" t="s">
        <v>569</v>
      </c>
      <c r="E460" s="12"/>
      <c r="F460" s="12" t="s">
        <v>38</v>
      </c>
      <c r="G460" s="18">
        <v>500</v>
      </c>
      <c r="H460" s="21">
        <f>IF(SUMIFS(İndirimler!$C$2:$C$110,İndirimler!$A$2:$A$110,B460,İndirimler!$B$2:$B$110,C460)&gt;0,ROUND(G460*(1-SUMIFS(İndirimler!$C$2:$C$110,İndirimler!$A$2:$A$110,B460,İndirimler!$B$2:$B$110,C460)),2),"")</f>
        <v>425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350</v>
      </c>
      <c r="J460" s="12"/>
    </row>
    <row r="461" spans="1:10" ht="21.95" customHeight="1">
      <c r="A461" s="15" t="s">
        <v>590</v>
      </c>
      <c r="B461" s="12" t="s">
        <v>40</v>
      </c>
      <c r="C461" s="12" t="s">
        <v>68</v>
      </c>
      <c r="D461" s="12" t="s">
        <v>569</v>
      </c>
      <c r="E461" s="12" t="s">
        <v>41</v>
      </c>
      <c r="F461" s="12" t="s">
        <v>38</v>
      </c>
      <c r="G461" s="18">
        <v>322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273.7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225.4</v>
      </c>
      <c r="J461" s="12" t="s">
        <v>591</v>
      </c>
    </row>
    <row r="462" spans="1:10" ht="21.95" customHeight="1">
      <c r="A462" s="15" t="s">
        <v>592</v>
      </c>
      <c r="B462" s="12" t="s">
        <v>21</v>
      </c>
      <c r="C462" s="12" t="s">
        <v>68</v>
      </c>
      <c r="D462" s="12" t="s">
        <v>569</v>
      </c>
      <c r="E462" s="12"/>
      <c r="F462" s="12" t="s">
        <v>38</v>
      </c>
      <c r="G462" s="18">
        <v>628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533.79999999999995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439.6</v>
      </c>
      <c r="J462" s="12"/>
    </row>
    <row r="463" spans="1:10" ht="21.95" customHeight="1">
      <c r="A463" s="15" t="s">
        <v>593</v>
      </c>
      <c r="B463" s="12" t="s">
        <v>50</v>
      </c>
      <c r="C463" s="12" t="s">
        <v>68</v>
      </c>
      <c r="D463" s="12" t="s">
        <v>569</v>
      </c>
      <c r="E463" s="12"/>
      <c r="F463" s="12" t="s">
        <v>15</v>
      </c>
      <c r="G463" s="18">
        <v>328</v>
      </c>
      <c r="H463" s="21">
        <f>IF(SUMIFS(İndirimler!$C$2:$C$110,İndirimler!$A$2:$A$110,B463,İndirimler!$B$2:$B$110,C463)&gt;0,ROUND(G463*(1-SUMIFS(İndirimler!$C$2:$C$110,İndirimler!$A$2:$A$110,B463,İndirimler!$B$2:$B$110,C463)),2),"")</f>
        <v>278.8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229.6</v>
      </c>
      <c r="J463" s="12" t="s">
        <v>594</v>
      </c>
    </row>
    <row r="464" spans="1:10" ht="21.95" customHeight="1">
      <c r="A464" s="15" t="s">
        <v>595</v>
      </c>
      <c r="B464" s="12" t="s">
        <v>17</v>
      </c>
      <c r="C464" s="12" t="s">
        <v>68</v>
      </c>
      <c r="D464" s="12" t="s">
        <v>569</v>
      </c>
      <c r="E464" s="12"/>
      <c r="F464" s="12" t="s">
        <v>15</v>
      </c>
      <c r="G464" s="18">
        <v>295</v>
      </c>
      <c r="H464" s="21">
        <f>IF(SUMIFS(İndirimler!$C$2:$C$110,İndirimler!$A$2:$A$110,B464,İndirimler!$B$2:$B$110,C464)&gt;0,ROUND(G464*(1-SUMIFS(İndirimler!$C$2:$C$110,İndirimler!$A$2:$A$110,B464,İndirimler!$B$2:$B$110,C464)),2),"")</f>
        <v>250.75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206.5</v>
      </c>
      <c r="J464" s="12"/>
    </row>
    <row r="465" spans="1:10" ht="21.95" customHeight="1">
      <c r="A465" s="15" t="s">
        <v>596</v>
      </c>
      <c r="B465" s="12" t="s">
        <v>572</v>
      </c>
      <c r="C465" s="12" t="s">
        <v>68</v>
      </c>
      <c r="D465" s="12" t="s">
        <v>569</v>
      </c>
      <c r="E465" s="12"/>
      <c r="F465" s="12" t="s">
        <v>15</v>
      </c>
      <c r="G465" s="18">
        <v>359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305.14999999999998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251.3</v>
      </c>
      <c r="J465" s="12"/>
    </row>
    <row r="466" spans="1:10" ht="21.95" customHeight="1">
      <c r="A466" s="15" t="s">
        <v>597</v>
      </c>
      <c r="B466" s="12" t="s">
        <v>40</v>
      </c>
      <c r="C466" s="12" t="s">
        <v>68</v>
      </c>
      <c r="D466" s="12" t="s">
        <v>569</v>
      </c>
      <c r="E466" s="12" t="s">
        <v>54</v>
      </c>
      <c r="F466" s="12" t="s">
        <v>15</v>
      </c>
      <c r="G466" s="18">
        <v>274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232.9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191.8</v>
      </c>
      <c r="J466" s="12" t="s">
        <v>598</v>
      </c>
    </row>
    <row r="467" spans="1:10" ht="21.95" customHeight="1">
      <c r="A467" s="15" t="s">
        <v>599</v>
      </c>
      <c r="B467" s="12" t="s">
        <v>57</v>
      </c>
      <c r="C467" s="12" t="s">
        <v>68</v>
      </c>
      <c r="D467" s="12" t="s">
        <v>569</v>
      </c>
      <c r="E467" s="12" t="s">
        <v>58</v>
      </c>
      <c r="F467" s="12" t="s">
        <v>15</v>
      </c>
      <c r="G467" s="18">
        <v>405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344.25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283.5</v>
      </c>
      <c r="J467" s="12"/>
    </row>
    <row r="468" spans="1:10" ht="21.95" customHeight="1">
      <c r="A468" s="15" t="s">
        <v>600</v>
      </c>
      <c r="B468" s="12" t="s">
        <v>21</v>
      </c>
      <c r="C468" s="12" t="s">
        <v>68</v>
      </c>
      <c r="D468" s="12" t="s">
        <v>569</v>
      </c>
      <c r="E468" s="12"/>
      <c r="F468" s="12" t="s">
        <v>15</v>
      </c>
      <c r="G468" s="18">
        <v>622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528.70000000000005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435.4</v>
      </c>
      <c r="J468" s="12"/>
    </row>
    <row r="469" spans="1:10" ht="21.95" customHeight="1">
      <c r="A469" s="15" t="s">
        <v>601</v>
      </c>
      <c r="B469" s="12" t="s">
        <v>45</v>
      </c>
      <c r="C469" s="12" t="s">
        <v>68</v>
      </c>
      <c r="D469" s="12" t="s">
        <v>569</v>
      </c>
      <c r="E469" s="12" t="s">
        <v>61</v>
      </c>
      <c r="F469" s="12" t="s">
        <v>15</v>
      </c>
      <c r="G469" s="18">
        <v>475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403.75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332.5</v>
      </c>
      <c r="J469" s="12"/>
    </row>
    <row r="470" spans="1:10" ht="21.95" customHeight="1">
      <c r="A470" s="15" t="s">
        <v>602</v>
      </c>
      <c r="B470" s="12" t="s">
        <v>35</v>
      </c>
      <c r="C470" s="12" t="s">
        <v>68</v>
      </c>
      <c r="D470" s="12" t="s">
        <v>569</v>
      </c>
      <c r="E470" s="12" t="s">
        <v>61</v>
      </c>
      <c r="F470" s="12" t="s">
        <v>15</v>
      </c>
      <c r="G470" s="18">
        <v>409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347.65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286.3</v>
      </c>
      <c r="J470" s="12"/>
    </row>
    <row r="471" spans="1:10" ht="21.95" customHeight="1">
      <c r="A471" s="15" t="s">
        <v>603</v>
      </c>
      <c r="B471" s="12" t="s">
        <v>64</v>
      </c>
      <c r="C471" s="12" t="s">
        <v>68</v>
      </c>
      <c r="D471" s="12" t="s">
        <v>569</v>
      </c>
      <c r="E471" s="12"/>
      <c r="F471" s="12" t="s">
        <v>65</v>
      </c>
      <c r="G471" s="18">
        <v>345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293.25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241.5</v>
      </c>
      <c r="J471" s="12"/>
    </row>
    <row r="472" spans="1:10" ht="21.95" customHeight="1">
      <c r="A472" s="15" t="s">
        <v>604</v>
      </c>
      <c r="B472" s="12" t="s">
        <v>35</v>
      </c>
      <c r="C472" s="12" t="s">
        <v>87</v>
      </c>
      <c r="D472" s="12" t="s">
        <v>569</v>
      </c>
      <c r="E472" s="12"/>
      <c r="F472" s="12" t="s">
        <v>33</v>
      </c>
      <c r="G472" s="18">
        <v>600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510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420</v>
      </c>
      <c r="J472" s="12"/>
    </row>
    <row r="473" spans="1:10" ht="21.95" customHeight="1">
      <c r="A473" s="15" t="s">
        <v>605</v>
      </c>
      <c r="B473" s="12" t="s">
        <v>35</v>
      </c>
      <c r="C473" s="12" t="s">
        <v>87</v>
      </c>
      <c r="D473" s="12" t="s">
        <v>569</v>
      </c>
      <c r="E473" s="12" t="s">
        <v>188</v>
      </c>
      <c r="F473" s="12" t="s">
        <v>33</v>
      </c>
      <c r="G473" s="18">
        <v>500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425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350</v>
      </c>
      <c r="J473" s="12"/>
    </row>
    <row r="474" spans="1:10" ht="21.95" customHeight="1">
      <c r="A474" s="15" t="s">
        <v>606</v>
      </c>
      <c r="B474" s="12" t="s">
        <v>572</v>
      </c>
      <c r="C474" s="12" t="s">
        <v>87</v>
      </c>
      <c r="D474" s="12" t="s">
        <v>569</v>
      </c>
      <c r="E474" s="12"/>
      <c r="F474" s="12" t="s">
        <v>38</v>
      </c>
      <c r="G474" s="18">
        <v>500</v>
      </c>
      <c r="H474" s="21">
        <f>IF(SUMIFS(İndirimler!$C$2:$C$110,İndirimler!$A$2:$A$110,B474,İndirimler!$B$2:$B$110,C474)&gt;0,ROUND(G474*(1-SUMIFS(İndirimler!$C$2:$C$110,İndirimler!$A$2:$A$110,B474,İndirimler!$B$2:$B$110,C474)),2),"")</f>
        <v>425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350</v>
      </c>
      <c r="J474" s="12"/>
    </row>
    <row r="475" spans="1:10" ht="21.95" customHeight="1">
      <c r="A475" s="15" t="s">
        <v>607</v>
      </c>
      <c r="B475" s="12" t="s">
        <v>64</v>
      </c>
      <c r="C475" s="12" t="s">
        <v>87</v>
      </c>
      <c r="D475" s="12" t="s">
        <v>569</v>
      </c>
      <c r="E475" s="12" t="s">
        <v>90</v>
      </c>
      <c r="F475" s="12" t="s">
        <v>38</v>
      </c>
      <c r="G475" s="18">
        <v>500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425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350</v>
      </c>
      <c r="J475" s="12"/>
    </row>
    <row r="476" spans="1:10" ht="21.95" customHeight="1">
      <c r="A476" s="15" t="s">
        <v>608</v>
      </c>
      <c r="B476" s="12" t="s">
        <v>21</v>
      </c>
      <c r="C476" s="12" t="s">
        <v>87</v>
      </c>
      <c r="D476" s="12" t="s">
        <v>569</v>
      </c>
      <c r="E476" s="12"/>
      <c r="F476" s="12" t="s">
        <v>38</v>
      </c>
      <c r="G476" s="18">
        <v>498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423.3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348.6</v>
      </c>
      <c r="J476" s="12"/>
    </row>
    <row r="477" spans="1:10" ht="21.95" customHeight="1">
      <c r="A477" s="15" t="s">
        <v>609</v>
      </c>
      <c r="B477" s="12" t="s">
        <v>50</v>
      </c>
      <c r="C477" s="12" t="s">
        <v>87</v>
      </c>
      <c r="D477" s="12" t="s">
        <v>569</v>
      </c>
      <c r="E477" s="12"/>
      <c r="F477" s="12" t="s">
        <v>15</v>
      </c>
      <c r="G477" s="18">
        <v>346</v>
      </c>
      <c r="H477" s="21">
        <f>IF(SUMIFS(İndirimler!$C$2:$C$110,İndirimler!$A$2:$A$110,B477,İndirimler!$B$2:$B$110,C477)&gt;0,ROUND(G477*(1-SUMIFS(İndirimler!$C$2:$C$110,İndirimler!$A$2:$A$110,B477,İndirimler!$B$2:$B$110,C477)),2),"")</f>
        <v>294.10000000000002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242.2</v>
      </c>
      <c r="J477" s="12"/>
    </row>
    <row r="478" spans="1:10" ht="21.95" customHeight="1">
      <c r="A478" s="15" t="s">
        <v>610</v>
      </c>
      <c r="B478" s="12" t="s">
        <v>17</v>
      </c>
      <c r="C478" s="12" t="s">
        <v>87</v>
      </c>
      <c r="D478" s="12" t="s">
        <v>569</v>
      </c>
      <c r="E478" s="12"/>
      <c r="F478" s="12" t="s">
        <v>15</v>
      </c>
      <c r="G478" s="18">
        <v>500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425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350</v>
      </c>
      <c r="J478" s="12"/>
    </row>
    <row r="479" spans="1:10" ht="21.95" customHeight="1">
      <c r="A479" s="15" t="s">
        <v>611</v>
      </c>
      <c r="B479" s="12" t="s">
        <v>572</v>
      </c>
      <c r="C479" s="12" t="s">
        <v>87</v>
      </c>
      <c r="D479" s="12" t="s">
        <v>569</v>
      </c>
      <c r="E479" s="12"/>
      <c r="F479" s="12" t="s">
        <v>15</v>
      </c>
      <c r="G479" s="18">
        <v>500</v>
      </c>
      <c r="H479" s="21">
        <f>IF(SUMIFS(İndirimler!$C$2:$C$110,İndirimler!$A$2:$A$110,B479,İndirimler!$B$2:$B$110,C479)&gt;0,ROUND(G479*(1-SUMIFS(İndirimler!$C$2:$C$110,İndirimler!$A$2:$A$110,B479,İndirimler!$B$2:$B$110,C479)),2),"")</f>
        <v>425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350</v>
      </c>
      <c r="J479" s="12"/>
    </row>
    <row r="480" spans="1:10" ht="21.95" customHeight="1">
      <c r="A480" s="15" t="s">
        <v>612</v>
      </c>
      <c r="B480" s="12" t="s">
        <v>57</v>
      </c>
      <c r="C480" s="12" t="s">
        <v>87</v>
      </c>
      <c r="D480" s="12" t="s">
        <v>569</v>
      </c>
      <c r="E480" s="12" t="s">
        <v>58</v>
      </c>
      <c r="F480" s="12" t="s">
        <v>15</v>
      </c>
      <c r="G480" s="18">
        <v>500</v>
      </c>
      <c r="H480" s="21">
        <f>IF(SUMIFS(İndirimler!$C$2:$C$110,İndirimler!$A$2:$A$110,B480,İndirimler!$B$2:$B$110,C480)&gt;0,ROUND(G480*(1-SUMIFS(İndirimler!$C$2:$C$110,İndirimler!$A$2:$A$110,B480,İndirimler!$B$2:$B$110,C480)),2),"")</f>
        <v>425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350</v>
      </c>
      <c r="J480" s="12"/>
    </row>
    <row r="481" spans="1:10" ht="21.95" customHeight="1">
      <c r="A481" s="15" t="s">
        <v>613</v>
      </c>
      <c r="B481" s="12" t="s">
        <v>21</v>
      </c>
      <c r="C481" s="12" t="s">
        <v>87</v>
      </c>
      <c r="D481" s="12" t="s">
        <v>569</v>
      </c>
      <c r="E481" s="12"/>
      <c r="F481" s="12" t="s">
        <v>15</v>
      </c>
      <c r="G481" s="18">
        <v>490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416.5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343</v>
      </c>
      <c r="J481" s="12"/>
    </row>
    <row r="482" spans="1:10" ht="21.95" customHeight="1">
      <c r="A482" s="15" t="s">
        <v>614</v>
      </c>
      <c r="B482" s="12" t="s">
        <v>45</v>
      </c>
      <c r="C482" s="12" t="s">
        <v>87</v>
      </c>
      <c r="D482" s="12" t="s">
        <v>569</v>
      </c>
      <c r="E482" s="12" t="s">
        <v>61</v>
      </c>
      <c r="F482" s="12" t="s">
        <v>15</v>
      </c>
      <c r="G482" s="18">
        <v>598</v>
      </c>
      <c r="H482" s="21">
        <f>IF(SUMIFS(İndirimler!$C$2:$C$110,İndirimler!$A$2:$A$110,B482,İndirimler!$B$2:$B$110,C482)&gt;0,ROUND(G482*(1-SUMIFS(İndirimler!$C$2:$C$110,İndirimler!$A$2:$A$110,B482,İndirimler!$B$2:$B$110,C482)),2),"")</f>
        <v>508.3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418.6</v>
      </c>
      <c r="J482" s="12"/>
    </row>
    <row r="483" spans="1:10" ht="21.95" customHeight="1">
      <c r="A483" s="15" t="s">
        <v>615</v>
      </c>
      <c r="B483" s="12" t="s">
        <v>35</v>
      </c>
      <c r="C483" s="12" t="s">
        <v>87</v>
      </c>
      <c r="D483" s="12" t="s">
        <v>569</v>
      </c>
      <c r="E483" s="12"/>
      <c r="F483" s="12" t="s">
        <v>15</v>
      </c>
      <c r="G483" s="18">
        <v>500</v>
      </c>
      <c r="H483" s="21">
        <f>IF(SUMIFS(İndirimler!$C$2:$C$110,İndirimler!$A$2:$A$110,B483,İndirimler!$B$2:$B$110,C483)&gt;0,ROUND(G483*(1-SUMIFS(İndirimler!$C$2:$C$110,İndirimler!$A$2:$A$110,B483,İndirimler!$B$2:$B$110,C483)),2),"")</f>
        <v>425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350</v>
      </c>
      <c r="J483" s="12"/>
    </row>
    <row r="484" spans="1:10" ht="21.95" customHeight="1">
      <c r="A484" s="15" t="s">
        <v>616</v>
      </c>
      <c r="B484" s="12" t="s">
        <v>64</v>
      </c>
      <c r="C484" s="12" t="s">
        <v>87</v>
      </c>
      <c r="D484" s="12" t="s">
        <v>569</v>
      </c>
      <c r="E484" s="12"/>
      <c r="F484" s="12" t="s">
        <v>65</v>
      </c>
      <c r="G484" s="18">
        <v>500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425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350</v>
      </c>
      <c r="J484" s="12"/>
    </row>
    <row r="485" spans="1:10" ht="21.95" customHeight="1">
      <c r="A485" s="15" t="s">
        <v>617</v>
      </c>
      <c r="B485" s="12" t="s">
        <v>17</v>
      </c>
      <c r="C485" s="12" t="s">
        <v>12</v>
      </c>
      <c r="D485" s="12" t="s">
        <v>569</v>
      </c>
      <c r="E485" s="12"/>
      <c r="F485" s="12" t="s">
        <v>15</v>
      </c>
      <c r="G485" s="18">
        <v>459</v>
      </c>
      <c r="H485" s="21">
        <f>IF(SUMIFS(İndirimler!$C$2:$C$110,İndirimler!$A$2:$A$110,B485,İndirimler!$B$2:$B$110,C485)&gt;0,ROUND(G485*(1-SUMIFS(İndirimler!$C$2:$C$110,İndirimler!$A$2:$A$110,B485,İndirimler!$B$2:$B$110,C485)),2),"")</f>
        <v>390.15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321.3</v>
      </c>
      <c r="J485" s="12"/>
    </row>
    <row r="486" spans="1:10" ht="21.95" customHeight="1">
      <c r="A486" s="15" t="s">
        <v>618</v>
      </c>
      <c r="B486" s="12" t="s">
        <v>572</v>
      </c>
      <c r="C486" s="12" t="s">
        <v>12</v>
      </c>
      <c r="D486" s="12" t="s">
        <v>569</v>
      </c>
      <c r="E486" s="12"/>
      <c r="F486" s="12" t="s">
        <v>15</v>
      </c>
      <c r="G486" s="18">
        <v>429</v>
      </c>
      <c r="H486" s="21">
        <f>IF(SUMIFS(İndirimler!$C$2:$C$110,İndirimler!$A$2:$A$110,B486,İndirimler!$B$2:$B$110,C486)&gt;0,ROUND(G486*(1-SUMIFS(İndirimler!$C$2:$C$110,İndirimler!$A$2:$A$110,B486,İndirimler!$B$2:$B$110,C486)),2),"")</f>
        <v>364.65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300.3</v>
      </c>
      <c r="J486" s="12"/>
    </row>
    <row r="487" spans="1:10" ht="21.95" customHeight="1">
      <c r="A487" s="15" t="s">
        <v>619</v>
      </c>
      <c r="B487" s="12" t="s">
        <v>21</v>
      </c>
      <c r="C487" s="12" t="s">
        <v>12</v>
      </c>
      <c r="D487" s="12" t="s">
        <v>569</v>
      </c>
      <c r="E487" s="12"/>
      <c r="F487" s="12" t="s">
        <v>15</v>
      </c>
      <c r="G487" s="18">
        <v>470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399.5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329</v>
      </c>
      <c r="J487" s="12"/>
    </row>
    <row r="488" spans="1:10" ht="21.95" customHeight="1">
      <c r="A488" s="15" t="s">
        <v>620</v>
      </c>
      <c r="B488" s="12" t="s">
        <v>40</v>
      </c>
      <c r="C488" s="12" t="s">
        <v>68</v>
      </c>
      <c r="D488" s="12" t="s">
        <v>621</v>
      </c>
      <c r="E488" s="12" t="s">
        <v>41</v>
      </c>
      <c r="F488" s="12" t="s">
        <v>38</v>
      </c>
      <c r="G488" s="18">
        <v>274</v>
      </c>
      <c r="H488" s="21">
        <f>IF(SUMIFS(İndirimler!$C$2:$C$110,İndirimler!$A$2:$A$110,B488,İndirimler!$B$2:$B$110,C488)&gt;0,ROUND(G488*(1-SUMIFS(İndirimler!$C$2:$C$110,İndirimler!$A$2:$A$110,B488,İndirimler!$B$2:$B$110,C488)),2),"")</f>
        <v>232.9</v>
      </c>
      <c r="I488" s="24">
        <f>IF(SUMIFS(İndirimler!$D$2:$D$110,İndirimler!$A$2:$A$110,B488,İndirimler!$B$2:$B$110,C488)&gt;0,ROUND(G488*(1-SUMIFS(İndirimler!$D$2:$D$110,İndirimler!$A$2:$A$110,B488,İndirimler!$B$2:$B$110,C488)),2),"")</f>
        <v>191.8</v>
      </c>
      <c r="J488" s="12" t="s">
        <v>622</v>
      </c>
    </row>
    <row r="489" spans="1:10" ht="21.95" customHeight="1">
      <c r="A489" s="15" t="s">
        <v>623</v>
      </c>
      <c r="B489" s="12" t="s">
        <v>50</v>
      </c>
      <c r="C489" s="12" t="s">
        <v>68</v>
      </c>
      <c r="D489" s="12" t="s">
        <v>621</v>
      </c>
      <c r="E489" s="12"/>
      <c r="F489" s="12" t="s">
        <v>15</v>
      </c>
      <c r="G489" s="18">
        <v>278</v>
      </c>
      <c r="H489" s="21">
        <f>IF(SUMIFS(İndirimler!$C$2:$C$110,İndirimler!$A$2:$A$110,B489,İndirimler!$B$2:$B$110,C489)&gt;0,ROUND(G489*(1-SUMIFS(İndirimler!$C$2:$C$110,İndirimler!$A$2:$A$110,B489,İndirimler!$B$2:$B$110,C489)),2),"")</f>
        <v>236.3</v>
      </c>
      <c r="I489" s="24">
        <f>IF(SUMIFS(İndirimler!$D$2:$D$110,İndirimler!$A$2:$A$110,B489,İndirimler!$B$2:$B$110,C489)&gt;0,ROUND(G489*(1-SUMIFS(İndirimler!$D$2:$D$110,İndirimler!$A$2:$A$110,B489,İndirimler!$B$2:$B$110,C489)),2),"")</f>
        <v>194.6</v>
      </c>
      <c r="J489" s="12" t="s">
        <v>624</v>
      </c>
    </row>
    <row r="490" spans="1:10" ht="21.95" customHeight="1">
      <c r="A490" s="15" t="s">
        <v>625</v>
      </c>
      <c r="B490" s="12" t="s">
        <v>17</v>
      </c>
      <c r="C490" s="12" t="s">
        <v>68</v>
      </c>
      <c r="D490" s="12" t="s">
        <v>621</v>
      </c>
      <c r="E490" s="12"/>
      <c r="F490" s="12" t="s">
        <v>15</v>
      </c>
      <c r="G490" s="18">
        <v>269</v>
      </c>
      <c r="H490" s="21">
        <f>IF(SUMIFS(İndirimler!$C$2:$C$110,İndirimler!$A$2:$A$110,B490,İndirimler!$B$2:$B$110,C490)&gt;0,ROUND(G490*(1-SUMIFS(İndirimler!$C$2:$C$110,İndirimler!$A$2:$A$110,B490,İndirimler!$B$2:$B$110,C490)),2),"")</f>
        <v>228.65</v>
      </c>
      <c r="I490" s="24">
        <f>IF(SUMIFS(İndirimler!$D$2:$D$110,İndirimler!$A$2:$A$110,B490,İndirimler!$B$2:$B$110,C490)&gt;0,ROUND(G490*(1-SUMIFS(İndirimler!$D$2:$D$110,İndirimler!$A$2:$A$110,B490,İndirimler!$B$2:$B$110,C490)),2),"")</f>
        <v>188.3</v>
      </c>
      <c r="J490" s="12"/>
    </row>
    <row r="491" spans="1:10" ht="21.95" customHeight="1">
      <c r="A491" s="15" t="s">
        <v>626</v>
      </c>
      <c r="B491" s="12" t="s">
        <v>40</v>
      </c>
      <c r="C491" s="12" t="s">
        <v>68</v>
      </c>
      <c r="D491" s="12" t="s">
        <v>621</v>
      </c>
      <c r="E491" s="12" t="s">
        <v>54</v>
      </c>
      <c r="F491" s="12" t="s">
        <v>15</v>
      </c>
      <c r="G491" s="18">
        <v>274</v>
      </c>
      <c r="H491" s="21">
        <f>IF(SUMIFS(İndirimler!$C$2:$C$110,İndirimler!$A$2:$A$110,B491,İndirimler!$B$2:$B$110,C491)&gt;0,ROUND(G491*(1-SUMIFS(İndirimler!$C$2:$C$110,İndirimler!$A$2:$A$110,B491,İndirimler!$B$2:$B$110,C491)),2),"")</f>
        <v>232.9</v>
      </c>
      <c r="I491" s="24">
        <f>IF(SUMIFS(İndirimler!$D$2:$D$110,İndirimler!$A$2:$A$110,B491,İndirimler!$B$2:$B$110,C491)&gt;0,ROUND(G491*(1-SUMIFS(İndirimler!$D$2:$D$110,İndirimler!$A$2:$A$110,B491,İndirimler!$B$2:$B$110,C491)),2),"")</f>
        <v>191.8</v>
      </c>
      <c r="J491" s="12" t="s">
        <v>627</v>
      </c>
    </row>
    <row r="492" spans="1:10" ht="21.95" customHeight="1">
      <c r="A492" s="15" t="s">
        <v>628</v>
      </c>
      <c r="B492" s="12" t="s">
        <v>45</v>
      </c>
      <c r="C492" s="12" t="s">
        <v>68</v>
      </c>
      <c r="D492" s="12" t="s">
        <v>621</v>
      </c>
      <c r="E492" s="12" t="s">
        <v>61</v>
      </c>
      <c r="F492" s="12" t="s">
        <v>15</v>
      </c>
      <c r="G492" s="18">
        <v>563</v>
      </c>
      <c r="H492" s="21">
        <f>IF(SUMIFS(İndirimler!$C$2:$C$110,İndirimler!$A$2:$A$110,B492,İndirimler!$B$2:$B$110,C492)&gt;0,ROUND(G492*(1-SUMIFS(İndirimler!$C$2:$C$110,İndirimler!$A$2:$A$110,B492,İndirimler!$B$2:$B$110,C492)),2),"")</f>
        <v>478.55</v>
      </c>
      <c r="I492" s="24">
        <f>IF(SUMIFS(İndirimler!$D$2:$D$110,İndirimler!$A$2:$A$110,B492,İndirimler!$B$2:$B$110,C492)&gt;0,ROUND(G492*(1-SUMIFS(İndirimler!$D$2:$D$110,İndirimler!$A$2:$A$110,B492,İndirimler!$B$2:$B$110,C492)),2),"")</f>
        <v>394.1</v>
      </c>
      <c r="J492" s="12"/>
    </row>
    <row r="493" spans="1:10" ht="21.95" customHeight="1">
      <c r="A493" s="15" t="s">
        <v>629</v>
      </c>
      <c r="B493" s="12" t="s">
        <v>35</v>
      </c>
      <c r="C493" s="12" t="s">
        <v>68</v>
      </c>
      <c r="D493" s="12" t="s">
        <v>621</v>
      </c>
      <c r="E493" s="12" t="s">
        <v>61</v>
      </c>
      <c r="F493" s="12" t="s">
        <v>15</v>
      </c>
      <c r="G493" s="18">
        <v>345</v>
      </c>
      <c r="H493" s="21">
        <f>IF(SUMIFS(İndirimler!$C$2:$C$110,İndirimler!$A$2:$A$110,B493,İndirimler!$B$2:$B$110,C493)&gt;0,ROUND(G493*(1-SUMIFS(İndirimler!$C$2:$C$110,İndirimler!$A$2:$A$110,B493,İndirimler!$B$2:$B$110,C493)),2),"")</f>
        <v>293.25</v>
      </c>
      <c r="I493" s="24">
        <f>IF(SUMIFS(İndirimler!$D$2:$D$110,İndirimler!$A$2:$A$110,B493,İndirimler!$B$2:$B$110,C493)&gt;0,ROUND(G493*(1-SUMIFS(İndirimler!$D$2:$D$110,İndirimler!$A$2:$A$110,B493,İndirimler!$B$2:$B$110,C493)),2),"")</f>
        <v>241.5</v>
      </c>
      <c r="J493" s="12"/>
    </row>
    <row r="494" spans="1:10" ht="21.95" customHeight="1">
      <c r="A494" s="15" t="s">
        <v>630</v>
      </c>
      <c r="B494" s="12" t="s">
        <v>64</v>
      </c>
      <c r="C494" s="12" t="s">
        <v>87</v>
      </c>
      <c r="D494" s="12" t="s">
        <v>621</v>
      </c>
      <c r="E494" s="12" t="s">
        <v>90</v>
      </c>
      <c r="F494" s="12" t="s">
        <v>38</v>
      </c>
      <c r="G494" s="18">
        <v>500</v>
      </c>
      <c r="H494" s="21">
        <f>IF(SUMIFS(İndirimler!$C$2:$C$110,İndirimler!$A$2:$A$110,B494,İndirimler!$B$2:$B$110,C494)&gt;0,ROUND(G494*(1-SUMIFS(İndirimler!$C$2:$C$110,İndirimler!$A$2:$A$110,B494,İndirimler!$B$2:$B$110,C494)),2),"")</f>
        <v>425</v>
      </c>
      <c r="I494" s="24">
        <f>IF(SUMIFS(İndirimler!$D$2:$D$110,İndirimler!$A$2:$A$110,B494,İndirimler!$B$2:$B$110,C494)&gt;0,ROUND(G494*(1-SUMIFS(İndirimler!$D$2:$D$110,İndirimler!$A$2:$A$110,B494,İndirimler!$B$2:$B$110,C494)),2),"")</f>
        <v>350</v>
      </c>
      <c r="J494" s="12"/>
    </row>
    <row r="495" spans="1:10" ht="21.95" customHeight="1">
      <c r="A495" s="15" t="s">
        <v>631</v>
      </c>
      <c r="B495" s="12" t="s">
        <v>21</v>
      </c>
      <c r="C495" s="12" t="s">
        <v>87</v>
      </c>
      <c r="D495" s="12" t="s">
        <v>621</v>
      </c>
      <c r="E495" s="12"/>
      <c r="F495" s="12" t="s">
        <v>38</v>
      </c>
      <c r="G495" s="18">
        <v>338</v>
      </c>
      <c r="H495" s="21">
        <f>IF(SUMIFS(İndirimler!$C$2:$C$110,İndirimler!$A$2:$A$110,B495,İndirimler!$B$2:$B$110,C495)&gt;0,ROUND(G495*(1-SUMIFS(İndirimler!$C$2:$C$110,İndirimler!$A$2:$A$110,B495,İndirimler!$B$2:$B$110,C495)),2),"")</f>
        <v>287.3</v>
      </c>
      <c r="I495" s="24">
        <f>IF(SUMIFS(İndirimler!$D$2:$D$110,İndirimler!$A$2:$A$110,B495,İndirimler!$B$2:$B$110,C495)&gt;0,ROUND(G495*(1-SUMIFS(İndirimler!$D$2:$D$110,İndirimler!$A$2:$A$110,B495,İndirimler!$B$2:$B$110,C495)),2),"")</f>
        <v>236.6</v>
      </c>
      <c r="J495" s="12"/>
    </row>
    <row r="496" spans="1:10" ht="21.95" customHeight="1">
      <c r="A496" s="15" t="s">
        <v>632</v>
      </c>
      <c r="B496" s="12" t="s">
        <v>50</v>
      </c>
      <c r="C496" s="12" t="s">
        <v>87</v>
      </c>
      <c r="D496" s="12" t="s">
        <v>621</v>
      </c>
      <c r="E496" s="12"/>
      <c r="F496" s="12" t="s">
        <v>15</v>
      </c>
      <c r="G496" s="18">
        <v>256</v>
      </c>
      <c r="H496" s="21">
        <f>IF(SUMIFS(İndirimler!$C$2:$C$110,İndirimler!$A$2:$A$110,B496,İndirimler!$B$2:$B$110,C496)&gt;0,ROUND(G496*(1-SUMIFS(İndirimler!$C$2:$C$110,İndirimler!$A$2:$A$110,B496,İndirimler!$B$2:$B$110,C496)),2),"")</f>
        <v>217.6</v>
      </c>
      <c r="I496" s="24">
        <f>IF(SUMIFS(İndirimler!$D$2:$D$110,İndirimler!$A$2:$A$110,B496,İndirimler!$B$2:$B$110,C496)&gt;0,ROUND(G496*(1-SUMIFS(İndirimler!$D$2:$D$110,İndirimler!$A$2:$A$110,B496,İndirimler!$B$2:$B$110,C496)),2),"")</f>
        <v>179.2</v>
      </c>
      <c r="J496" s="12"/>
    </row>
    <row r="497" spans="1:10" ht="21.95" customHeight="1">
      <c r="A497" s="15" t="s">
        <v>633</v>
      </c>
      <c r="B497" s="12" t="s">
        <v>17</v>
      </c>
      <c r="C497" s="12" t="s">
        <v>87</v>
      </c>
      <c r="D497" s="12" t="s">
        <v>621</v>
      </c>
      <c r="E497" s="12"/>
      <c r="F497" s="12" t="s">
        <v>15</v>
      </c>
      <c r="G497" s="18">
        <v>500</v>
      </c>
      <c r="H497" s="21">
        <f>IF(SUMIFS(İndirimler!$C$2:$C$110,İndirimler!$A$2:$A$110,B497,İndirimler!$B$2:$B$110,C497)&gt;0,ROUND(G497*(1-SUMIFS(İndirimler!$C$2:$C$110,İndirimler!$A$2:$A$110,B497,İndirimler!$B$2:$B$110,C497)),2),"")</f>
        <v>425</v>
      </c>
      <c r="I497" s="24">
        <f>IF(SUMIFS(İndirimler!$D$2:$D$110,İndirimler!$A$2:$A$110,B497,İndirimler!$B$2:$B$110,C497)&gt;0,ROUND(G497*(1-SUMIFS(İndirimler!$D$2:$D$110,İndirimler!$A$2:$A$110,B497,İndirimler!$B$2:$B$110,C497)),2),"")</f>
        <v>350</v>
      </c>
      <c r="J497" s="12"/>
    </row>
    <row r="498" spans="1:10" ht="21.95" customHeight="1">
      <c r="A498" s="15" t="s">
        <v>634</v>
      </c>
      <c r="B498" s="12" t="s">
        <v>45</v>
      </c>
      <c r="C498" s="12" t="s">
        <v>87</v>
      </c>
      <c r="D498" s="12" t="s">
        <v>621</v>
      </c>
      <c r="E498" s="12" t="s">
        <v>61</v>
      </c>
      <c r="F498" s="12" t="s">
        <v>15</v>
      </c>
      <c r="G498" s="18">
        <v>493</v>
      </c>
      <c r="H498" s="21">
        <f>IF(SUMIFS(İndirimler!$C$2:$C$110,İndirimler!$A$2:$A$110,B498,İndirimler!$B$2:$B$110,C498)&gt;0,ROUND(G498*(1-SUMIFS(İndirimler!$C$2:$C$110,İndirimler!$A$2:$A$110,B498,İndirimler!$B$2:$B$110,C498)),2),"")</f>
        <v>419.05</v>
      </c>
      <c r="I498" s="24">
        <f>IF(SUMIFS(İndirimler!$D$2:$D$110,İndirimler!$A$2:$A$110,B498,İndirimler!$B$2:$B$110,C498)&gt;0,ROUND(G498*(1-SUMIFS(İndirimler!$D$2:$D$110,İndirimler!$A$2:$A$110,B498,İndirimler!$B$2:$B$110,C498)),2),"")</f>
        <v>345.1</v>
      </c>
      <c r="J498" s="12"/>
    </row>
    <row r="499" spans="1:10" ht="21.95" customHeight="1">
      <c r="A499" s="15" t="s">
        <v>635</v>
      </c>
      <c r="B499" s="12" t="s">
        <v>35</v>
      </c>
      <c r="C499" s="12" t="s">
        <v>87</v>
      </c>
      <c r="D499" s="12" t="s">
        <v>621</v>
      </c>
      <c r="E499" s="12"/>
      <c r="F499" s="12" t="s">
        <v>15</v>
      </c>
      <c r="G499" s="18">
        <v>500</v>
      </c>
      <c r="H499" s="21">
        <f>IF(SUMIFS(İndirimler!$C$2:$C$110,İndirimler!$A$2:$A$110,B499,İndirimler!$B$2:$B$110,C499)&gt;0,ROUND(G499*(1-SUMIFS(İndirimler!$C$2:$C$110,İndirimler!$A$2:$A$110,B499,İndirimler!$B$2:$B$110,C499)),2),"")</f>
        <v>425</v>
      </c>
      <c r="I499" s="24">
        <f>IF(SUMIFS(İndirimler!$D$2:$D$110,İndirimler!$A$2:$A$110,B499,İndirimler!$B$2:$B$110,C499)&gt;0,ROUND(G499*(1-SUMIFS(İndirimler!$D$2:$D$110,İndirimler!$A$2:$A$110,B499,İndirimler!$B$2:$B$110,C499)),2),"")</f>
        <v>350</v>
      </c>
      <c r="J499" s="12"/>
    </row>
    <row r="500" spans="1:10" ht="21.95" customHeight="1">
      <c r="A500" s="15" t="s">
        <v>636</v>
      </c>
      <c r="B500" s="12" t="s">
        <v>64</v>
      </c>
      <c r="C500" s="12" t="s">
        <v>87</v>
      </c>
      <c r="D500" s="12" t="s">
        <v>621</v>
      </c>
      <c r="E500" s="12"/>
      <c r="F500" s="12" t="s">
        <v>65</v>
      </c>
      <c r="G500" s="18">
        <v>500</v>
      </c>
      <c r="H500" s="21">
        <f>IF(SUMIFS(İndirimler!$C$2:$C$110,İndirimler!$A$2:$A$110,B500,İndirimler!$B$2:$B$110,C500)&gt;0,ROUND(G500*(1-SUMIFS(İndirimler!$C$2:$C$110,İndirimler!$A$2:$A$110,B500,İndirimler!$B$2:$B$110,C500)),2),"")</f>
        <v>425</v>
      </c>
      <c r="I500" s="24">
        <f>IF(SUMIFS(İndirimler!$D$2:$D$110,İndirimler!$A$2:$A$110,B500,İndirimler!$B$2:$B$110,C500)&gt;0,ROUND(G500*(1-SUMIFS(İndirimler!$D$2:$D$110,İndirimler!$A$2:$A$110,B500,İndirimler!$B$2:$B$110,C500)),2),"")</f>
        <v>350</v>
      </c>
      <c r="J500" s="12"/>
    </row>
    <row r="501" spans="1:10" ht="21.95" customHeight="1">
      <c r="A501" s="15" t="s">
        <v>637</v>
      </c>
      <c r="B501" s="12" t="s">
        <v>57</v>
      </c>
      <c r="C501" s="12" t="s">
        <v>12</v>
      </c>
      <c r="D501" s="12" t="s">
        <v>638</v>
      </c>
      <c r="E501" s="12"/>
      <c r="F501" s="12" t="s">
        <v>15</v>
      </c>
      <c r="G501" s="18">
        <v>429</v>
      </c>
      <c r="H501" s="21">
        <f>IF(SUMIFS(İndirimler!$C$2:$C$110,İndirimler!$A$2:$A$110,B501,İndirimler!$B$2:$B$110,C501)&gt;0,ROUND(G501*(1-SUMIFS(İndirimler!$C$2:$C$110,İndirimler!$A$2:$A$110,B501,İndirimler!$B$2:$B$110,C501)),2),"")</f>
        <v>364.65</v>
      </c>
      <c r="I501" s="24">
        <f>IF(SUMIFS(İndirimler!$D$2:$D$110,İndirimler!$A$2:$A$110,B501,İndirimler!$B$2:$B$110,C501)&gt;0,ROUND(G501*(1-SUMIFS(İndirimler!$D$2:$D$110,İndirimler!$A$2:$A$110,B501,İndirimler!$B$2:$B$110,C501)),2),"")</f>
        <v>300.3</v>
      </c>
      <c r="J501" s="12"/>
    </row>
    <row r="502" spans="1:10" ht="21.95" customHeight="1">
      <c r="A502" s="15" t="s">
        <v>639</v>
      </c>
      <c r="B502" s="12" t="s">
        <v>640</v>
      </c>
      <c r="C502" s="12" t="s">
        <v>31</v>
      </c>
      <c r="D502" s="12" t="s">
        <v>641</v>
      </c>
      <c r="E502" s="12"/>
      <c r="F502" s="12" t="s">
        <v>38</v>
      </c>
      <c r="G502" s="18">
        <v>500</v>
      </c>
      <c r="H502" s="21">
        <f>IF(SUMIFS(İndirimler!$C$2:$C$110,İndirimler!$A$2:$A$110,B502,İndirimler!$B$2:$B$110,C502)&gt;0,ROUND(G502*(1-SUMIFS(İndirimler!$C$2:$C$110,İndirimler!$A$2:$A$110,B502,İndirimler!$B$2:$B$110,C502)),2),"")</f>
        <v>425</v>
      </c>
      <c r="I502" s="24">
        <f>IF(SUMIFS(İndirimler!$D$2:$D$110,İndirimler!$A$2:$A$110,B502,İndirimler!$B$2:$B$110,C502)&gt;0,ROUND(G502*(1-SUMIFS(İndirimler!$D$2:$D$110,İndirimler!$A$2:$A$110,B502,İndirimler!$B$2:$B$110,C502)),2),"")</f>
        <v>350</v>
      </c>
      <c r="J502" s="12"/>
    </row>
    <row r="503" spans="1:10" ht="21.95" customHeight="1">
      <c r="A503" s="15" t="s">
        <v>642</v>
      </c>
      <c r="B503" s="12" t="s">
        <v>640</v>
      </c>
      <c r="C503" s="12" t="s">
        <v>31</v>
      </c>
      <c r="D503" s="12" t="s">
        <v>641</v>
      </c>
      <c r="E503" s="12"/>
      <c r="F503" s="12" t="s">
        <v>15</v>
      </c>
      <c r="G503" s="18">
        <v>500</v>
      </c>
      <c r="H503" s="21">
        <f>IF(SUMIFS(İndirimler!$C$2:$C$110,İndirimler!$A$2:$A$110,B503,İndirimler!$B$2:$B$110,C503)&gt;0,ROUND(G503*(1-SUMIFS(İndirimler!$C$2:$C$110,İndirimler!$A$2:$A$110,B503,İndirimler!$B$2:$B$110,C503)),2),"")</f>
        <v>425</v>
      </c>
      <c r="I503" s="24">
        <f>IF(SUMIFS(İndirimler!$D$2:$D$110,İndirimler!$A$2:$A$110,B503,İndirimler!$B$2:$B$110,C503)&gt;0,ROUND(G503*(1-SUMIFS(İndirimler!$D$2:$D$110,İndirimler!$A$2:$A$110,B503,İndirimler!$B$2:$B$110,C503)),2),"")</f>
        <v>350</v>
      </c>
      <c r="J503" s="12"/>
    </row>
    <row r="504" spans="1:10" ht="21.95" customHeight="1">
      <c r="A504" s="15" t="s">
        <v>643</v>
      </c>
      <c r="B504" s="12" t="s">
        <v>17</v>
      </c>
      <c r="C504" s="12" t="s">
        <v>31</v>
      </c>
      <c r="D504" s="12" t="s">
        <v>641</v>
      </c>
      <c r="E504" s="12"/>
      <c r="F504" s="12" t="s">
        <v>644</v>
      </c>
      <c r="G504" s="18">
        <v>159</v>
      </c>
      <c r="H504" s="21">
        <f>IF(SUMIFS(İndirimler!$C$2:$C$110,İndirimler!$A$2:$A$110,B504,İndirimler!$B$2:$B$110,C504)&gt;0,ROUND(G504*(1-SUMIFS(İndirimler!$C$2:$C$110,İndirimler!$A$2:$A$110,B504,İndirimler!$B$2:$B$110,C504)),2),"")</f>
        <v>135.15</v>
      </c>
      <c r="I504" s="24">
        <f>IF(SUMIFS(İndirimler!$D$2:$D$110,İndirimler!$A$2:$A$110,B504,İndirimler!$B$2:$B$110,C504)&gt;0,ROUND(G504*(1-SUMIFS(İndirimler!$D$2:$D$110,İndirimler!$A$2:$A$110,B504,İndirimler!$B$2:$B$110,C504)),2),"")</f>
        <v>111.3</v>
      </c>
      <c r="J504" s="12"/>
    </row>
    <row r="505" spans="1:10" ht="21.95" customHeight="1">
      <c r="A505" s="15" t="s">
        <v>645</v>
      </c>
      <c r="B505" s="12" t="s">
        <v>640</v>
      </c>
      <c r="C505" s="12" t="s">
        <v>68</v>
      </c>
      <c r="D505" s="12" t="s">
        <v>641</v>
      </c>
      <c r="E505" s="12"/>
      <c r="F505" s="12" t="s">
        <v>38</v>
      </c>
      <c r="G505" s="18">
        <v>500</v>
      </c>
      <c r="H505" s="21">
        <f>IF(SUMIFS(İndirimler!$C$2:$C$110,İndirimler!$A$2:$A$110,B505,İndirimler!$B$2:$B$110,C505)&gt;0,ROUND(G505*(1-SUMIFS(İndirimler!$C$2:$C$110,İndirimler!$A$2:$A$110,B505,İndirimler!$B$2:$B$110,C505)),2),"")</f>
        <v>425</v>
      </c>
      <c r="I505" s="24">
        <f>IF(SUMIFS(İndirimler!$D$2:$D$110,İndirimler!$A$2:$A$110,B505,İndirimler!$B$2:$B$110,C505)&gt;0,ROUND(G505*(1-SUMIFS(İndirimler!$D$2:$D$110,İndirimler!$A$2:$A$110,B505,İndirimler!$B$2:$B$110,C505)),2),"")</f>
        <v>350</v>
      </c>
      <c r="J505" s="12"/>
    </row>
    <row r="506" spans="1:10" ht="21.95" customHeight="1">
      <c r="A506" s="15" t="s">
        <v>646</v>
      </c>
      <c r="B506" s="12" t="s">
        <v>640</v>
      </c>
      <c r="C506" s="12" t="s">
        <v>68</v>
      </c>
      <c r="D506" s="12" t="s">
        <v>641</v>
      </c>
      <c r="E506" s="12"/>
      <c r="F506" s="12" t="s">
        <v>15</v>
      </c>
      <c r="G506" s="18">
        <v>500</v>
      </c>
      <c r="H506" s="21">
        <f>IF(SUMIFS(İndirimler!$C$2:$C$110,İndirimler!$A$2:$A$110,B506,İndirimler!$B$2:$B$110,C506)&gt;0,ROUND(G506*(1-SUMIFS(İndirimler!$C$2:$C$110,İndirimler!$A$2:$A$110,B506,İndirimler!$B$2:$B$110,C506)),2),"")</f>
        <v>425</v>
      </c>
      <c r="I506" s="24">
        <f>IF(SUMIFS(İndirimler!$D$2:$D$110,İndirimler!$A$2:$A$110,B506,İndirimler!$B$2:$B$110,C506)&gt;0,ROUND(G506*(1-SUMIFS(İndirimler!$D$2:$D$110,İndirimler!$A$2:$A$110,B506,İndirimler!$B$2:$B$110,C506)),2),"")</f>
        <v>350</v>
      </c>
      <c r="J506" s="12"/>
    </row>
    <row r="507" spans="1:10" ht="21.95" customHeight="1">
      <c r="A507" s="15" t="s">
        <v>647</v>
      </c>
      <c r="B507" s="12" t="s">
        <v>45</v>
      </c>
      <c r="C507" s="12" t="s">
        <v>31</v>
      </c>
      <c r="D507" s="12" t="s">
        <v>648</v>
      </c>
      <c r="E507" s="12" t="s">
        <v>61</v>
      </c>
      <c r="F507" s="12" t="s">
        <v>15</v>
      </c>
      <c r="G507" s="18">
        <v>282</v>
      </c>
      <c r="H507" s="21">
        <f>IF(SUMIFS(İndirimler!$C$2:$C$110,İndirimler!$A$2:$A$110,B507,İndirimler!$B$2:$B$110,C507)&gt;0,ROUND(G507*(1-SUMIFS(İndirimler!$C$2:$C$110,İndirimler!$A$2:$A$110,B507,İndirimler!$B$2:$B$110,C507)),2),"")</f>
        <v>239.7</v>
      </c>
      <c r="I507" s="24">
        <f>IF(SUMIFS(İndirimler!$D$2:$D$110,İndirimler!$A$2:$A$110,B507,İndirimler!$B$2:$B$110,C507)&gt;0,ROUND(G507*(1-SUMIFS(İndirimler!$D$2:$D$110,İndirimler!$A$2:$A$110,B507,İndirimler!$B$2:$B$110,C507)),2),"")</f>
        <v>197.4</v>
      </c>
      <c r="J507" s="12"/>
    </row>
    <row r="508" spans="1:10" ht="21.95" customHeight="1">
      <c r="A508" s="16" t="s">
        <v>649</v>
      </c>
      <c r="B508" s="13" t="s">
        <v>45</v>
      </c>
      <c r="C508" s="13" t="s">
        <v>68</v>
      </c>
      <c r="D508" s="13" t="s">
        <v>648</v>
      </c>
      <c r="E508" s="13" t="s">
        <v>61</v>
      </c>
      <c r="F508" s="13" t="s">
        <v>15</v>
      </c>
      <c r="G508" s="19">
        <v>282</v>
      </c>
      <c r="H508" s="22">
        <f>IF(SUMIFS(İndirimler!$C$2:$C$110,İndirimler!$A$2:$A$110,B508,İndirimler!$B$2:$B$110,C508)&gt;0,ROUND(G508*(1-SUMIFS(İndirimler!$C$2:$C$110,İndirimler!$A$2:$A$110,B508,İndirimler!$B$2:$B$110,C508)),2),"")</f>
        <v>239.7</v>
      </c>
      <c r="I508" s="25">
        <f>IF(SUMIFS(İndirimler!$D$2:$D$110,İndirimler!$A$2:$A$110,B508,İndirimler!$B$2:$B$110,C508)&gt;0,ROUND(G508*(1-SUMIFS(İndirimler!$D$2:$D$110,İndirimler!$A$2:$A$110,B508,İndirimler!$B$2:$B$110,C508)),2),"")</f>
        <v>197.4</v>
      </c>
      <c r="J508" s="1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topLeftCell="A100" workbookViewId="0">
      <selection activeCell="C2" sqref="C2:D110"/>
    </sheetView>
  </sheetViews>
  <sheetFormatPr defaultRowHeight="14.25"/>
  <cols>
    <col min="1" max="1" width="31" customWidth="1"/>
    <col min="2" max="2" width="18" customWidth="1"/>
    <col min="3" max="4" width="19" customWidth="1"/>
  </cols>
  <sheetData>
    <row r="1" spans="1:4" ht="24" customHeight="1">
      <c r="A1" s="2" t="s">
        <v>1</v>
      </c>
      <c r="B1" s="2" t="s">
        <v>2</v>
      </c>
      <c r="C1" s="2" t="s">
        <v>650</v>
      </c>
      <c r="D1" s="2" t="s">
        <v>651</v>
      </c>
    </row>
    <row r="2" spans="1:4" ht="24" customHeight="1">
      <c r="A2" s="3" t="s">
        <v>50</v>
      </c>
      <c r="B2" s="3" t="s">
        <v>68</v>
      </c>
      <c r="C2" s="6">
        <v>0.15</v>
      </c>
      <c r="D2" s="6">
        <v>0.3</v>
      </c>
    </row>
    <row r="3" spans="1:4" ht="24" customHeight="1">
      <c r="A3" s="4" t="s">
        <v>50</v>
      </c>
      <c r="B3" s="4" t="s">
        <v>87</v>
      </c>
      <c r="C3" s="7">
        <v>0.15</v>
      </c>
      <c r="D3" s="7">
        <v>0.3</v>
      </c>
    </row>
    <row r="4" spans="1:4" ht="24" customHeight="1">
      <c r="A4" s="4" t="s">
        <v>50</v>
      </c>
      <c r="B4" s="4" t="s">
        <v>31</v>
      </c>
      <c r="C4" s="6">
        <v>0.15</v>
      </c>
      <c r="D4" s="6">
        <v>0.3</v>
      </c>
    </row>
    <row r="5" spans="1:4" ht="24" customHeight="1">
      <c r="A5" s="4" t="s">
        <v>103</v>
      </c>
      <c r="B5" s="4" t="s">
        <v>68</v>
      </c>
      <c r="C5" s="7">
        <v>0.15</v>
      </c>
      <c r="D5" s="7">
        <v>0.3</v>
      </c>
    </row>
    <row r="6" spans="1:4" ht="24" customHeight="1">
      <c r="A6" s="4" t="s">
        <v>103</v>
      </c>
      <c r="B6" s="4" t="s">
        <v>87</v>
      </c>
      <c r="C6" s="6">
        <v>0.15</v>
      </c>
      <c r="D6" s="6">
        <v>0.3</v>
      </c>
    </row>
    <row r="7" spans="1:4" ht="24" customHeight="1">
      <c r="A7" s="4" t="s">
        <v>103</v>
      </c>
      <c r="B7" s="4" t="s">
        <v>214</v>
      </c>
      <c r="C7" s="7">
        <v>0.15</v>
      </c>
      <c r="D7" s="7">
        <v>0.3</v>
      </c>
    </row>
    <row r="8" spans="1:4" ht="24" customHeight="1">
      <c r="A8" s="4" t="s">
        <v>103</v>
      </c>
      <c r="B8" s="4" t="s">
        <v>31</v>
      </c>
      <c r="C8" s="6">
        <v>0.15</v>
      </c>
      <c r="D8" s="6">
        <v>0.3</v>
      </c>
    </row>
    <row r="9" spans="1:4" ht="24" customHeight="1">
      <c r="A9" s="4" t="s">
        <v>103</v>
      </c>
      <c r="B9" s="4" t="s">
        <v>12</v>
      </c>
      <c r="C9" s="7">
        <v>0.15</v>
      </c>
      <c r="D9" s="7">
        <v>0.3</v>
      </c>
    </row>
    <row r="10" spans="1:4" ht="24" customHeight="1">
      <c r="A10" s="4" t="s">
        <v>107</v>
      </c>
      <c r="B10" s="4" t="s">
        <v>68</v>
      </c>
      <c r="C10" s="6">
        <v>0.15</v>
      </c>
      <c r="D10" s="6">
        <v>0.3</v>
      </c>
    </row>
    <row r="11" spans="1:4" ht="24" customHeight="1">
      <c r="A11" s="4" t="s">
        <v>107</v>
      </c>
      <c r="B11" s="4" t="s">
        <v>87</v>
      </c>
      <c r="C11" s="7">
        <v>0.15</v>
      </c>
      <c r="D11" s="7">
        <v>0.3</v>
      </c>
    </row>
    <row r="12" spans="1:4" ht="24" customHeight="1">
      <c r="A12" s="4" t="s">
        <v>107</v>
      </c>
      <c r="B12" s="4" t="s">
        <v>31</v>
      </c>
      <c r="C12" s="6">
        <v>0.15</v>
      </c>
      <c r="D12" s="6">
        <v>0.3</v>
      </c>
    </row>
    <row r="13" spans="1:4" ht="24" customHeight="1">
      <c r="A13" s="4" t="s">
        <v>107</v>
      </c>
      <c r="B13" s="4" t="s">
        <v>12</v>
      </c>
      <c r="C13" s="7">
        <v>0.15</v>
      </c>
      <c r="D13" s="7">
        <v>0.3</v>
      </c>
    </row>
    <row r="14" spans="1:4" ht="24" customHeight="1">
      <c r="A14" s="4" t="s">
        <v>640</v>
      </c>
      <c r="B14" s="4" t="s">
        <v>68</v>
      </c>
      <c r="C14" s="6">
        <v>0.15</v>
      </c>
      <c r="D14" s="6">
        <v>0.3</v>
      </c>
    </row>
    <row r="15" spans="1:4" ht="24" customHeight="1">
      <c r="A15" s="4" t="s">
        <v>640</v>
      </c>
      <c r="B15" s="4" t="s">
        <v>31</v>
      </c>
      <c r="C15" s="7">
        <v>0.15</v>
      </c>
      <c r="D15" s="7">
        <v>0.3</v>
      </c>
    </row>
    <row r="16" spans="1:4" ht="24" customHeight="1">
      <c r="A16" s="4" t="s">
        <v>11</v>
      </c>
      <c r="B16" s="4" t="s">
        <v>12</v>
      </c>
      <c r="C16" s="6">
        <v>0.15</v>
      </c>
      <c r="D16" s="6">
        <v>0.3</v>
      </c>
    </row>
    <row r="17" spans="1:4" ht="24" customHeight="1">
      <c r="A17" s="4" t="s">
        <v>121</v>
      </c>
      <c r="B17" s="4" t="s">
        <v>68</v>
      </c>
      <c r="C17" s="7">
        <v>0.15</v>
      </c>
      <c r="D17" s="7">
        <v>0.3</v>
      </c>
    </row>
    <row r="18" spans="1:4" ht="24" customHeight="1">
      <c r="A18" s="4" t="s">
        <v>121</v>
      </c>
      <c r="B18" s="4" t="s">
        <v>87</v>
      </c>
      <c r="C18" s="6">
        <v>0.15</v>
      </c>
      <c r="D18" s="6">
        <v>0.3</v>
      </c>
    </row>
    <row r="19" spans="1:4" ht="24" customHeight="1">
      <c r="A19" s="4" t="s">
        <v>121</v>
      </c>
      <c r="B19" s="4" t="s">
        <v>214</v>
      </c>
      <c r="C19" s="7">
        <v>0.15</v>
      </c>
      <c r="D19" s="7">
        <v>0.3</v>
      </c>
    </row>
    <row r="20" spans="1:4" ht="24" customHeight="1">
      <c r="A20" s="4" t="s">
        <v>121</v>
      </c>
      <c r="B20" s="4" t="s">
        <v>31</v>
      </c>
      <c r="C20" s="6">
        <v>0.15</v>
      </c>
      <c r="D20" s="6">
        <v>0.3</v>
      </c>
    </row>
    <row r="21" spans="1:4" ht="24" customHeight="1">
      <c r="A21" s="4" t="s">
        <v>121</v>
      </c>
      <c r="B21" s="4" t="s">
        <v>12</v>
      </c>
      <c r="C21" s="7">
        <v>0.15</v>
      </c>
      <c r="D21" s="7">
        <v>0.3</v>
      </c>
    </row>
    <row r="22" spans="1:4" ht="24" customHeight="1">
      <c r="A22" s="4" t="s">
        <v>530</v>
      </c>
      <c r="B22" s="4" t="s">
        <v>68</v>
      </c>
      <c r="C22" s="6">
        <v>0.15</v>
      </c>
      <c r="D22" s="6">
        <v>0.3</v>
      </c>
    </row>
    <row r="23" spans="1:4" ht="24" customHeight="1">
      <c r="A23" s="4" t="s">
        <v>530</v>
      </c>
      <c r="B23" s="4" t="s">
        <v>87</v>
      </c>
      <c r="C23" s="7">
        <v>0.15</v>
      </c>
      <c r="D23" s="7">
        <v>0.3</v>
      </c>
    </row>
    <row r="24" spans="1:4" ht="24" customHeight="1">
      <c r="A24" s="4" t="s">
        <v>530</v>
      </c>
      <c r="B24" s="4" t="s">
        <v>31</v>
      </c>
      <c r="C24" s="6">
        <v>0.15</v>
      </c>
      <c r="D24" s="6">
        <v>0.3</v>
      </c>
    </row>
    <row r="25" spans="1:4" ht="24" customHeight="1">
      <c r="A25" s="4" t="s">
        <v>17</v>
      </c>
      <c r="B25" s="4" t="s">
        <v>68</v>
      </c>
      <c r="C25" s="7">
        <v>0.15</v>
      </c>
      <c r="D25" s="7">
        <v>0.3</v>
      </c>
    </row>
    <row r="26" spans="1:4" ht="24" customHeight="1">
      <c r="A26" s="4" t="s">
        <v>17</v>
      </c>
      <c r="B26" s="4" t="s">
        <v>87</v>
      </c>
      <c r="C26" s="6">
        <v>0.15</v>
      </c>
      <c r="D26" s="6">
        <v>0.3</v>
      </c>
    </row>
    <row r="27" spans="1:4" ht="24" customHeight="1">
      <c r="A27" s="4" t="s">
        <v>17</v>
      </c>
      <c r="B27" s="4" t="s">
        <v>31</v>
      </c>
      <c r="C27" s="7">
        <v>0.15</v>
      </c>
      <c r="D27" s="7">
        <v>0.3</v>
      </c>
    </row>
    <row r="28" spans="1:4" ht="24" customHeight="1">
      <c r="A28" s="4" t="s">
        <v>17</v>
      </c>
      <c r="B28" s="4" t="s">
        <v>12</v>
      </c>
      <c r="C28" s="6">
        <v>0.15</v>
      </c>
      <c r="D28" s="6">
        <v>0.3</v>
      </c>
    </row>
    <row r="29" spans="1:4" ht="24" customHeight="1">
      <c r="A29" s="4" t="s">
        <v>443</v>
      </c>
      <c r="B29" s="4" t="s">
        <v>68</v>
      </c>
      <c r="C29" s="7">
        <v>0.15</v>
      </c>
      <c r="D29" s="7">
        <v>0.3</v>
      </c>
    </row>
    <row r="30" spans="1:4" ht="24" customHeight="1">
      <c r="A30" s="4" t="s">
        <v>443</v>
      </c>
      <c r="B30" s="4" t="s">
        <v>87</v>
      </c>
      <c r="C30" s="6">
        <v>0.15</v>
      </c>
      <c r="D30" s="6">
        <v>0.3</v>
      </c>
    </row>
    <row r="31" spans="1:4" ht="24" customHeight="1">
      <c r="A31" s="4" t="s">
        <v>443</v>
      </c>
      <c r="B31" s="4" t="s">
        <v>31</v>
      </c>
      <c r="C31" s="7">
        <v>0.15</v>
      </c>
      <c r="D31" s="7">
        <v>0.3</v>
      </c>
    </row>
    <row r="32" spans="1:4" ht="24" customHeight="1">
      <c r="A32" s="4" t="s">
        <v>443</v>
      </c>
      <c r="B32" s="4" t="s">
        <v>12</v>
      </c>
      <c r="C32" s="6">
        <v>0.15</v>
      </c>
      <c r="D32" s="6">
        <v>0.3</v>
      </c>
    </row>
    <row r="33" spans="1:4" ht="24" customHeight="1">
      <c r="A33" s="4" t="s">
        <v>572</v>
      </c>
      <c r="B33" s="4" t="s">
        <v>68</v>
      </c>
      <c r="C33" s="7">
        <v>0.15</v>
      </c>
      <c r="D33" s="7">
        <v>0.3</v>
      </c>
    </row>
    <row r="34" spans="1:4" ht="24" customHeight="1">
      <c r="A34" s="4" t="s">
        <v>572</v>
      </c>
      <c r="B34" s="4" t="s">
        <v>87</v>
      </c>
      <c r="C34" s="6">
        <v>0.15</v>
      </c>
      <c r="D34" s="6">
        <v>0.3</v>
      </c>
    </row>
    <row r="35" spans="1:4" ht="24" customHeight="1">
      <c r="A35" s="4" t="s">
        <v>572</v>
      </c>
      <c r="B35" s="4" t="s">
        <v>31</v>
      </c>
      <c r="C35" s="7">
        <v>0.15</v>
      </c>
      <c r="D35" s="7">
        <v>0.3</v>
      </c>
    </row>
    <row r="36" spans="1:4" ht="24" customHeight="1">
      <c r="A36" s="4" t="s">
        <v>572</v>
      </c>
      <c r="B36" s="4" t="s">
        <v>12</v>
      </c>
      <c r="C36" s="6">
        <v>0.15</v>
      </c>
      <c r="D36" s="6">
        <v>0.3</v>
      </c>
    </row>
    <row r="37" spans="1:4" ht="24" customHeight="1">
      <c r="A37" s="4" t="s">
        <v>35</v>
      </c>
      <c r="B37" s="4" t="s">
        <v>68</v>
      </c>
      <c r="C37" s="7">
        <v>0.15</v>
      </c>
      <c r="D37" s="7">
        <v>0.3</v>
      </c>
    </row>
    <row r="38" spans="1:4" ht="24" customHeight="1">
      <c r="A38" s="4" t="s">
        <v>35</v>
      </c>
      <c r="B38" s="4" t="s">
        <v>87</v>
      </c>
      <c r="C38" s="6">
        <v>0.15</v>
      </c>
      <c r="D38" s="6">
        <v>0.3</v>
      </c>
    </row>
    <row r="39" spans="1:4" ht="24" customHeight="1">
      <c r="A39" s="4" t="s">
        <v>35</v>
      </c>
      <c r="B39" s="4" t="s">
        <v>214</v>
      </c>
      <c r="C39" s="7">
        <v>0.15</v>
      </c>
      <c r="D39" s="7">
        <v>0.3</v>
      </c>
    </row>
    <row r="40" spans="1:4" ht="24" customHeight="1">
      <c r="A40" s="4" t="s">
        <v>35</v>
      </c>
      <c r="B40" s="4" t="s">
        <v>31</v>
      </c>
      <c r="C40" s="6">
        <v>0.15</v>
      </c>
      <c r="D40" s="6">
        <v>0.3</v>
      </c>
    </row>
    <row r="41" spans="1:4" ht="24" customHeight="1">
      <c r="A41" s="4" t="s">
        <v>35</v>
      </c>
      <c r="B41" s="4" t="s">
        <v>12</v>
      </c>
      <c r="C41" s="7">
        <v>0.15</v>
      </c>
      <c r="D41" s="7">
        <v>0.3</v>
      </c>
    </row>
    <row r="42" spans="1:4" ht="24" customHeight="1">
      <c r="A42" s="4" t="s">
        <v>19</v>
      </c>
      <c r="B42" s="4" t="s">
        <v>12</v>
      </c>
      <c r="C42" s="6">
        <v>0.15</v>
      </c>
      <c r="D42" s="6">
        <v>0.3</v>
      </c>
    </row>
    <row r="43" spans="1:4" ht="24" customHeight="1">
      <c r="A43" s="4" t="s">
        <v>286</v>
      </c>
      <c r="B43" s="4" t="s">
        <v>68</v>
      </c>
      <c r="C43" s="7">
        <v>0.15</v>
      </c>
      <c r="D43" s="7">
        <v>0.3</v>
      </c>
    </row>
    <row r="44" spans="1:4" ht="24" customHeight="1">
      <c r="A44" s="4" t="s">
        <v>286</v>
      </c>
      <c r="B44" s="4" t="s">
        <v>87</v>
      </c>
      <c r="C44" s="6">
        <v>0.15</v>
      </c>
      <c r="D44" s="6">
        <v>0.3</v>
      </c>
    </row>
    <row r="45" spans="1:4" ht="24" customHeight="1">
      <c r="A45" s="4" t="s">
        <v>286</v>
      </c>
      <c r="B45" s="4" t="s">
        <v>31</v>
      </c>
      <c r="C45" s="7">
        <v>0.15</v>
      </c>
      <c r="D45" s="7">
        <v>0.3</v>
      </c>
    </row>
    <row r="46" spans="1:4" ht="24" customHeight="1">
      <c r="A46" s="4" t="s">
        <v>286</v>
      </c>
      <c r="B46" s="4" t="s">
        <v>12</v>
      </c>
      <c r="C46" s="6">
        <v>0.15</v>
      </c>
      <c r="D46" s="6">
        <v>0.3</v>
      </c>
    </row>
    <row r="47" spans="1:4" ht="24" customHeight="1">
      <c r="A47" s="4" t="s">
        <v>40</v>
      </c>
      <c r="B47" s="4" t="s">
        <v>68</v>
      </c>
      <c r="C47" s="7">
        <v>0.15</v>
      </c>
      <c r="D47" s="7">
        <v>0.3</v>
      </c>
    </row>
    <row r="48" spans="1:4" ht="24" customHeight="1">
      <c r="A48" s="4" t="s">
        <v>40</v>
      </c>
      <c r="B48" s="4" t="s">
        <v>31</v>
      </c>
      <c r="C48" s="6">
        <v>0.15</v>
      </c>
      <c r="D48" s="6">
        <v>0.3</v>
      </c>
    </row>
    <row r="49" spans="1:4" ht="24" customHeight="1">
      <c r="A49" s="4" t="s">
        <v>64</v>
      </c>
      <c r="B49" s="4" t="s">
        <v>68</v>
      </c>
      <c r="C49" s="7">
        <v>0.15</v>
      </c>
      <c r="D49" s="7">
        <v>0.3</v>
      </c>
    </row>
    <row r="50" spans="1:4" ht="24" customHeight="1">
      <c r="A50" s="4" t="s">
        <v>64</v>
      </c>
      <c r="B50" s="4" t="s">
        <v>87</v>
      </c>
      <c r="C50" s="6">
        <v>0.15</v>
      </c>
      <c r="D50" s="6">
        <v>0.3</v>
      </c>
    </row>
    <row r="51" spans="1:4" ht="24" customHeight="1">
      <c r="A51" s="4" t="s">
        <v>64</v>
      </c>
      <c r="B51" s="4" t="s">
        <v>31</v>
      </c>
      <c r="C51" s="7">
        <v>0.15</v>
      </c>
      <c r="D51" s="7">
        <v>0.3</v>
      </c>
    </row>
    <row r="52" spans="1:4" ht="24" customHeight="1">
      <c r="A52" s="4" t="s">
        <v>195</v>
      </c>
      <c r="B52" s="4" t="s">
        <v>87</v>
      </c>
      <c r="C52" s="6">
        <v>0.15</v>
      </c>
      <c r="D52" s="6">
        <v>0.3</v>
      </c>
    </row>
    <row r="53" spans="1:4" ht="24" customHeight="1">
      <c r="A53" s="4" t="s">
        <v>265</v>
      </c>
      <c r="B53" s="4" t="s">
        <v>68</v>
      </c>
      <c r="C53" s="7">
        <v>0.15</v>
      </c>
      <c r="D53" s="7">
        <v>0.3</v>
      </c>
    </row>
    <row r="54" spans="1:4" ht="24" customHeight="1">
      <c r="A54" s="4" t="s">
        <v>265</v>
      </c>
      <c r="B54" s="4" t="s">
        <v>87</v>
      </c>
      <c r="C54" s="6">
        <v>0.15</v>
      </c>
      <c r="D54" s="6">
        <v>0.3</v>
      </c>
    </row>
    <row r="55" spans="1:4" ht="24" customHeight="1">
      <c r="A55" s="4" t="s">
        <v>265</v>
      </c>
      <c r="B55" s="4" t="s">
        <v>31</v>
      </c>
      <c r="C55" s="7">
        <v>0.15</v>
      </c>
      <c r="D55" s="7">
        <v>0.3</v>
      </c>
    </row>
    <row r="56" spans="1:4" ht="24" customHeight="1">
      <c r="A56" s="4" t="s">
        <v>265</v>
      </c>
      <c r="B56" s="4" t="s">
        <v>12</v>
      </c>
      <c r="C56" s="6">
        <v>0.15</v>
      </c>
      <c r="D56" s="6">
        <v>0.3</v>
      </c>
    </row>
    <row r="57" spans="1:4" ht="24" customHeight="1">
      <c r="A57" s="4" t="s">
        <v>142</v>
      </c>
      <c r="B57" s="4" t="s">
        <v>68</v>
      </c>
      <c r="C57" s="7">
        <v>0.15</v>
      </c>
      <c r="D57" s="7">
        <v>0.3</v>
      </c>
    </row>
    <row r="58" spans="1:4" ht="24" customHeight="1">
      <c r="A58" s="4" t="s">
        <v>142</v>
      </c>
      <c r="B58" s="4" t="s">
        <v>87</v>
      </c>
      <c r="C58" s="6">
        <v>0.15</v>
      </c>
      <c r="D58" s="6">
        <v>0.3</v>
      </c>
    </row>
    <row r="59" spans="1:4" ht="24" customHeight="1">
      <c r="A59" s="4" t="s">
        <v>142</v>
      </c>
      <c r="B59" s="4" t="s">
        <v>31</v>
      </c>
      <c r="C59" s="7">
        <v>0.15</v>
      </c>
      <c r="D59" s="7">
        <v>0.3</v>
      </c>
    </row>
    <row r="60" spans="1:4" ht="24" customHeight="1">
      <c r="A60" s="4" t="s">
        <v>142</v>
      </c>
      <c r="B60" s="4" t="s">
        <v>12</v>
      </c>
      <c r="C60" s="6">
        <v>0.15</v>
      </c>
      <c r="D60" s="6">
        <v>0.3</v>
      </c>
    </row>
    <row r="61" spans="1:4" ht="24" customHeight="1">
      <c r="A61" s="4" t="s">
        <v>57</v>
      </c>
      <c r="B61" s="4" t="s">
        <v>68</v>
      </c>
      <c r="C61" s="7">
        <v>0.15</v>
      </c>
      <c r="D61" s="7">
        <v>0.3</v>
      </c>
    </row>
    <row r="62" spans="1:4" ht="24" customHeight="1">
      <c r="A62" s="4" t="s">
        <v>57</v>
      </c>
      <c r="B62" s="4" t="s">
        <v>87</v>
      </c>
      <c r="C62" s="6">
        <v>0.15</v>
      </c>
      <c r="D62" s="6">
        <v>0.3</v>
      </c>
    </row>
    <row r="63" spans="1:4" ht="24" customHeight="1">
      <c r="A63" s="4" t="s">
        <v>57</v>
      </c>
      <c r="B63" s="4" t="s">
        <v>31</v>
      </c>
      <c r="C63" s="7">
        <v>0.15</v>
      </c>
      <c r="D63" s="7">
        <v>0.3</v>
      </c>
    </row>
    <row r="64" spans="1:4" ht="24" customHeight="1">
      <c r="A64" s="4" t="s">
        <v>57</v>
      </c>
      <c r="B64" s="4" t="s">
        <v>12</v>
      </c>
      <c r="C64" s="6">
        <v>0.15</v>
      </c>
      <c r="D64" s="6">
        <v>0.3</v>
      </c>
    </row>
    <row r="65" spans="1:4" ht="24" customHeight="1">
      <c r="A65" s="4" t="s">
        <v>21</v>
      </c>
      <c r="B65" s="4" t="s">
        <v>68</v>
      </c>
      <c r="C65" s="7">
        <v>0.15</v>
      </c>
      <c r="D65" s="7">
        <v>0.3</v>
      </c>
    </row>
    <row r="66" spans="1:4" ht="24" customHeight="1">
      <c r="A66" s="4" t="s">
        <v>21</v>
      </c>
      <c r="B66" s="4" t="s">
        <v>87</v>
      </c>
      <c r="C66" s="6">
        <v>0.15</v>
      </c>
      <c r="D66" s="6">
        <v>0.3</v>
      </c>
    </row>
    <row r="67" spans="1:4" ht="24" customHeight="1">
      <c r="A67" s="4" t="s">
        <v>21</v>
      </c>
      <c r="B67" s="4" t="s">
        <v>31</v>
      </c>
      <c r="C67" s="7">
        <v>0.15</v>
      </c>
      <c r="D67" s="7">
        <v>0.3</v>
      </c>
    </row>
    <row r="68" spans="1:4" ht="24" customHeight="1">
      <c r="A68" s="4" t="s">
        <v>21</v>
      </c>
      <c r="B68" s="4" t="s">
        <v>12</v>
      </c>
      <c r="C68" s="6">
        <v>0.15</v>
      </c>
      <c r="D68" s="6">
        <v>0.3</v>
      </c>
    </row>
    <row r="69" spans="1:4" ht="24" customHeight="1">
      <c r="A69" s="4" t="s">
        <v>23</v>
      </c>
      <c r="B69" s="4" t="s">
        <v>68</v>
      </c>
      <c r="C69" s="7">
        <v>0.15</v>
      </c>
      <c r="D69" s="7">
        <v>0.3</v>
      </c>
    </row>
    <row r="70" spans="1:4" ht="24" customHeight="1">
      <c r="A70" s="4" t="s">
        <v>23</v>
      </c>
      <c r="B70" s="4" t="s">
        <v>87</v>
      </c>
      <c r="C70" s="6">
        <v>0.15</v>
      </c>
      <c r="D70" s="6">
        <v>0.3</v>
      </c>
    </row>
    <row r="71" spans="1:4" ht="24" customHeight="1">
      <c r="A71" s="4" t="s">
        <v>23</v>
      </c>
      <c r="B71" s="4" t="s">
        <v>214</v>
      </c>
      <c r="C71" s="7">
        <v>0.15</v>
      </c>
      <c r="D71" s="7">
        <v>0.3</v>
      </c>
    </row>
    <row r="72" spans="1:4" ht="24" customHeight="1">
      <c r="A72" s="4" t="s">
        <v>23</v>
      </c>
      <c r="B72" s="4" t="s">
        <v>31</v>
      </c>
      <c r="C72" s="6">
        <v>0.15</v>
      </c>
      <c r="D72" s="6">
        <v>0.3</v>
      </c>
    </row>
    <row r="73" spans="1:4" ht="24" customHeight="1">
      <c r="A73" s="4" t="s">
        <v>23</v>
      </c>
      <c r="B73" s="4" t="s">
        <v>12</v>
      </c>
      <c r="C73" s="7">
        <v>0.15</v>
      </c>
      <c r="D73" s="7">
        <v>0.3</v>
      </c>
    </row>
    <row r="74" spans="1:4" ht="24" customHeight="1">
      <c r="A74" s="4" t="s">
        <v>45</v>
      </c>
      <c r="B74" s="4" t="s">
        <v>68</v>
      </c>
      <c r="C74" s="6">
        <v>0.15</v>
      </c>
      <c r="D74" s="6">
        <v>0.3</v>
      </c>
    </row>
    <row r="75" spans="1:4" ht="24" customHeight="1">
      <c r="A75" s="4" t="s">
        <v>45</v>
      </c>
      <c r="B75" s="4" t="s">
        <v>87</v>
      </c>
      <c r="C75" s="7">
        <v>0.15</v>
      </c>
      <c r="D75" s="7">
        <v>0.3</v>
      </c>
    </row>
    <row r="76" spans="1:4" ht="24" customHeight="1">
      <c r="A76" s="4" t="s">
        <v>45</v>
      </c>
      <c r="B76" s="4" t="s">
        <v>214</v>
      </c>
      <c r="C76" s="6">
        <v>0.15</v>
      </c>
      <c r="D76" s="6">
        <v>0.3</v>
      </c>
    </row>
    <row r="77" spans="1:4" ht="24" customHeight="1">
      <c r="A77" s="4" t="s">
        <v>45</v>
      </c>
      <c r="B77" s="4" t="s">
        <v>31</v>
      </c>
      <c r="C77" s="7">
        <v>0.15</v>
      </c>
      <c r="D77" s="7">
        <v>0.3</v>
      </c>
    </row>
    <row r="78" spans="1:4" ht="24" customHeight="1">
      <c r="A78" s="4" t="s">
        <v>45</v>
      </c>
      <c r="B78" s="4" t="s">
        <v>12</v>
      </c>
      <c r="C78" s="6">
        <v>0.15</v>
      </c>
      <c r="D78" s="6">
        <v>0.3</v>
      </c>
    </row>
    <row r="79" spans="1:4" ht="24" customHeight="1">
      <c r="A79" s="4" t="s">
        <v>373</v>
      </c>
      <c r="B79" s="4" t="s">
        <v>68</v>
      </c>
      <c r="C79" s="7">
        <v>0.15</v>
      </c>
      <c r="D79" s="7">
        <v>0.3</v>
      </c>
    </row>
    <row r="80" spans="1:4" ht="24" customHeight="1">
      <c r="A80" s="4" t="s">
        <v>373</v>
      </c>
      <c r="B80" s="4" t="s">
        <v>87</v>
      </c>
      <c r="C80" s="6">
        <v>0.15</v>
      </c>
      <c r="D80" s="6">
        <v>0.3</v>
      </c>
    </row>
    <row r="81" spans="1:4" ht="24" customHeight="1">
      <c r="A81" s="4" t="s">
        <v>373</v>
      </c>
      <c r="B81" s="4" t="s">
        <v>31</v>
      </c>
      <c r="C81" s="7">
        <v>0.15</v>
      </c>
      <c r="D81" s="7">
        <v>0.3</v>
      </c>
    </row>
    <row r="82" spans="1:4" ht="24" customHeight="1">
      <c r="A82" s="4" t="s">
        <v>373</v>
      </c>
      <c r="B82" s="4" t="s">
        <v>12</v>
      </c>
      <c r="C82" s="6">
        <v>0.15</v>
      </c>
      <c r="D82" s="6">
        <v>0.3</v>
      </c>
    </row>
    <row r="83" spans="1:4" ht="24" customHeight="1">
      <c r="A83" s="4" t="s">
        <v>361</v>
      </c>
      <c r="B83" s="4" t="s">
        <v>68</v>
      </c>
      <c r="C83" s="7">
        <v>0.15</v>
      </c>
      <c r="D83" s="7">
        <v>0.3</v>
      </c>
    </row>
    <row r="84" spans="1:4" ht="24" customHeight="1">
      <c r="A84" s="4" t="s">
        <v>361</v>
      </c>
      <c r="B84" s="4" t="s">
        <v>87</v>
      </c>
      <c r="C84" s="6">
        <v>0.15</v>
      </c>
      <c r="D84" s="6">
        <v>0.3</v>
      </c>
    </row>
    <row r="85" spans="1:4" ht="24" customHeight="1">
      <c r="A85" s="4" t="s">
        <v>361</v>
      </c>
      <c r="B85" s="4" t="s">
        <v>214</v>
      </c>
      <c r="C85" s="7">
        <v>0.15</v>
      </c>
      <c r="D85" s="7">
        <v>0.3</v>
      </c>
    </row>
    <row r="86" spans="1:4" ht="24" customHeight="1">
      <c r="A86" s="4" t="s">
        <v>361</v>
      </c>
      <c r="B86" s="4" t="s">
        <v>31</v>
      </c>
      <c r="C86" s="6">
        <v>0.15</v>
      </c>
      <c r="D86" s="6">
        <v>0.3</v>
      </c>
    </row>
    <row r="87" spans="1:4" ht="24" customHeight="1">
      <c r="A87" s="4" t="s">
        <v>361</v>
      </c>
      <c r="B87" s="4" t="s">
        <v>12</v>
      </c>
      <c r="C87" s="7">
        <v>0.15</v>
      </c>
      <c r="D87" s="7">
        <v>0.3</v>
      </c>
    </row>
    <row r="88" spans="1:4" ht="24" customHeight="1">
      <c r="A88" s="4" t="s">
        <v>112</v>
      </c>
      <c r="B88" s="4" t="s">
        <v>68</v>
      </c>
      <c r="C88" s="6">
        <v>0.15</v>
      </c>
      <c r="D88" s="6">
        <v>0.3</v>
      </c>
    </row>
    <row r="89" spans="1:4" ht="24" customHeight="1">
      <c r="A89" s="4" t="s">
        <v>112</v>
      </c>
      <c r="B89" s="4" t="s">
        <v>87</v>
      </c>
      <c r="C89" s="7">
        <v>0.15</v>
      </c>
      <c r="D89" s="7">
        <v>0.3</v>
      </c>
    </row>
    <row r="90" spans="1:4" ht="24" customHeight="1">
      <c r="A90" s="4" t="s">
        <v>112</v>
      </c>
      <c r="B90" s="4" t="s">
        <v>214</v>
      </c>
      <c r="C90" s="6">
        <v>0.15</v>
      </c>
      <c r="D90" s="6">
        <v>0.3</v>
      </c>
    </row>
    <row r="91" spans="1:4" ht="24" customHeight="1">
      <c r="A91" s="4" t="s">
        <v>112</v>
      </c>
      <c r="B91" s="4" t="s">
        <v>31</v>
      </c>
      <c r="C91" s="7">
        <v>0.15</v>
      </c>
      <c r="D91" s="7">
        <v>0.3</v>
      </c>
    </row>
    <row r="92" spans="1:4" ht="24" customHeight="1">
      <c r="A92" s="4" t="s">
        <v>112</v>
      </c>
      <c r="B92" s="4" t="s">
        <v>12</v>
      </c>
      <c r="C92" s="6">
        <v>0.15</v>
      </c>
      <c r="D92" s="6">
        <v>0.3</v>
      </c>
    </row>
    <row r="93" spans="1:4" ht="24" customHeight="1">
      <c r="A93" s="4" t="s">
        <v>280</v>
      </c>
      <c r="B93" s="4" t="s">
        <v>68</v>
      </c>
      <c r="C93" s="7">
        <v>0.15</v>
      </c>
      <c r="D93" s="7">
        <v>0.3</v>
      </c>
    </row>
    <row r="94" spans="1:4" ht="24" customHeight="1">
      <c r="A94" s="4" t="s">
        <v>280</v>
      </c>
      <c r="B94" s="4" t="s">
        <v>214</v>
      </c>
      <c r="C94" s="6">
        <v>0.15</v>
      </c>
      <c r="D94" s="6">
        <v>0.3</v>
      </c>
    </row>
    <row r="95" spans="1:4" ht="24" customHeight="1">
      <c r="A95" s="4" t="s">
        <v>280</v>
      </c>
      <c r="B95" s="4" t="s">
        <v>31</v>
      </c>
      <c r="C95" s="7">
        <v>0.15</v>
      </c>
      <c r="D95" s="7">
        <v>0.3</v>
      </c>
    </row>
    <row r="96" spans="1:4" ht="24" customHeight="1">
      <c r="A96" s="4" t="s">
        <v>248</v>
      </c>
      <c r="B96" s="4" t="s">
        <v>12</v>
      </c>
      <c r="C96" s="6">
        <v>0.15</v>
      </c>
      <c r="D96" s="6">
        <v>0.3</v>
      </c>
    </row>
    <row r="97" spans="1:4" ht="24" customHeight="1">
      <c r="A97" s="4" t="s">
        <v>464</v>
      </c>
      <c r="B97" s="4" t="s">
        <v>68</v>
      </c>
      <c r="C97" s="7">
        <v>0.15</v>
      </c>
      <c r="D97" s="7">
        <v>0.3</v>
      </c>
    </row>
    <row r="98" spans="1:4" ht="24" customHeight="1">
      <c r="A98" s="4" t="s">
        <v>464</v>
      </c>
      <c r="B98" s="4" t="s">
        <v>87</v>
      </c>
      <c r="C98" s="6">
        <v>0.15</v>
      </c>
      <c r="D98" s="6">
        <v>0.3</v>
      </c>
    </row>
    <row r="99" spans="1:4" ht="24" customHeight="1">
      <c r="A99" s="4" t="s">
        <v>464</v>
      </c>
      <c r="B99" s="4" t="s">
        <v>31</v>
      </c>
      <c r="C99" s="7">
        <v>0.15</v>
      </c>
      <c r="D99" s="7">
        <v>0.3</v>
      </c>
    </row>
    <row r="100" spans="1:4" ht="24" customHeight="1">
      <c r="A100" s="4" t="s">
        <v>48</v>
      </c>
      <c r="B100" s="4" t="s">
        <v>68</v>
      </c>
      <c r="C100" s="6">
        <v>0.15</v>
      </c>
      <c r="D100" s="6">
        <v>0.3</v>
      </c>
    </row>
    <row r="101" spans="1:4" ht="24" customHeight="1">
      <c r="A101" s="4" t="s">
        <v>48</v>
      </c>
      <c r="B101" s="4" t="s">
        <v>87</v>
      </c>
      <c r="C101" s="7">
        <v>0.15</v>
      </c>
      <c r="D101" s="7">
        <v>0.3</v>
      </c>
    </row>
    <row r="102" spans="1:4" ht="24" customHeight="1">
      <c r="A102" s="4" t="s">
        <v>48</v>
      </c>
      <c r="B102" s="4" t="s">
        <v>31</v>
      </c>
      <c r="C102" s="6">
        <v>0.15</v>
      </c>
      <c r="D102" s="6">
        <v>0.3</v>
      </c>
    </row>
    <row r="103" spans="1:4" ht="24" customHeight="1">
      <c r="A103" s="4" t="s">
        <v>30</v>
      </c>
      <c r="B103" s="4" t="s">
        <v>68</v>
      </c>
      <c r="C103" s="7">
        <v>0.15</v>
      </c>
      <c r="D103" s="7">
        <v>0.3</v>
      </c>
    </row>
    <row r="104" spans="1:4" ht="24" customHeight="1">
      <c r="A104" s="4" t="s">
        <v>30</v>
      </c>
      <c r="B104" s="4" t="s">
        <v>31</v>
      </c>
      <c r="C104" s="6">
        <v>0.15</v>
      </c>
      <c r="D104" s="6">
        <v>0.3</v>
      </c>
    </row>
    <row r="105" spans="1:4" ht="24" customHeight="1">
      <c r="A105" s="4" t="s">
        <v>244</v>
      </c>
      <c r="B105" s="4" t="s">
        <v>12</v>
      </c>
      <c r="C105" s="7">
        <v>0.15</v>
      </c>
      <c r="D105" s="7">
        <v>0.3</v>
      </c>
    </row>
    <row r="106" spans="1:4" ht="24" customHeight="1">
      <c r="A106" s="4" t="s">
        <v>118</v>
      </c>
      <c r="B106" s="4" t="s">
        <v>68</v>
      </c>
      <c r="C106" s="6">
        <v>0.15</v>
      </c>
      <c r="D106" s="6">
        <v>0.3</v>
      </c>
    </row>
    <row r="107" spans="1:4" ht="24" customHeight="1">
      <c r="A107" s="4" t="s">
        <v>118</v>
      </c>
      <c r="B107" s="4" t="s">
        <v>87</v>
      </c>
      <c r="C107" s="7">
        <v>0.15</v>
      </c>
      <c r="D107" s="7">
        <v>0.3</v>
      </c>
    </row>
    <row r="108" spans="1:4" ht="24" customHeight="1">
      <c r="A108" s="4" t="s">
        <v>118</v>
      </c>
      <c r="B108" s="4" t="s">
        <v>214</v>
      </c>
      <c r="C108" s="6">
        <v>0.15</v>
      </c>
      <c r="D108" s="6">
        <v>0.3</v>
      </c>
    </row>
    <row r="109" spans="1:4" ht="24" customHeight="1">
      <c r="A109" s="4" t="s">
        <v>118</v>
      </c>
      <c r="B109" s="4" t="s">
        <v>31</v>
      </c>
      <c r="C109" s="7">
        <v>0.15</v>
      </c>
      <c r="D109" s="7">
        <v>0.3</v>
      </c>
    </row>
    <row r="110" spans="1:4" ht="24" customHeight="1">
      <c r="A110" s="5" t="s">
        <v>118</v>
      </c>
      <c r="B110" s="5" t="s">
        <v>12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selection activeCell="B2" sqref="B2"/>
    </sheetView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652</v>
      </c>
      <c r="B1" s="1" t="s">
        <v>653</v>
      </c>
    </row>
    <row r="2" spans="1:2" ht="30" customHeight="1">
      <c r="A2" s="28" t="s">
        <v>654</v>
      </c>
      <c r="B2" s="29" t="s">
        <v>675</v>
      </c>
    </row>
    <row r="3" spans="1:2" ht="30" customHeight="1">
      <c r="A3" s="28" t="s">
        <v>655</v>
      </c>
      <c r="B3" s="29" t="s">
        <v>656</v>
      </c>
    </row>
    <row r="4" spans="1:2" ht="30" customHeight="1">
      <c r="A4" s="28" t="s">
        <v>657</v>
      </c>
      <c r="B4" s="29" t="s">
        <v>658</v>
      </c>
    </row>
    <row r="5" spans="1:2" ht="30" customHeight="1">
      <c r="A5" s="28" t="s">
        <v>659</v>
      </c>
      <c r="B5" s="29" t="s">
        <v>660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showGridLines="0" workbookViewId="0"/>
  </sheetViews>
  <sheetFormatPr defaultRowHeight="14.25"/>
  <cols>
    <col min="1" max="1" width="16" customWidth="1"/>
    <col min="2" max="2" width="82" customWidth="1"/>
  </cols>
  <sheetData>
    <row r="1" spans="1:6" ht="42" customHeight="1">
      <c r="A1" s="30" t="s">
        <v>661</v>
      </c>
      <c r="B1" s="30"/>
      <c r="C1" s="30"/>
      <c r="D1" s="30"/>
      <c r="E1" s="30"/>
      <c r="F1" s="30"/>
    </row>
    <row r="3" spans="1:6" ht="33.950000000000003" customHeight="1">
      <c r="A3" s="26" t="s">
        <v>662</v>
      </c>
      <c r="B3" s="26"/>
    </row>
    <row r="4" spans="1:6" ht="33.950000000000003" customHeight="1">
      <c r="A4" s="27" t="s">
        <v>663</v>
      </c>
      <c r="B4" s="27" t="s">
        <v>664</v>
      </c>
    </row>
    <row r="5" spans="1:6" ht="33.950000000000003" customHeight="1">
      <c r="A5" s="27" t="s">
        <v>665</v>
      </c>
      <c r="B5" s="27" t="s">
        <v>666</v>
      </c>
    </row>
    <row r="6" spans="1:6" ht="33.950000000000003" customHeight="1">
      <c r="A6" s="27" t="s">
        <v>667</v>
      </c>
      <c r="B6" s="27" t="s">
        <v>668</v>
      </c>
    </row>
    <row r="7" spans="1:6" ht="33.950000000000003" customHeight="1">
      <c r="A7" s="27" t="s">
        <v>669</v>
      </c>
      <c r="B7" s="27" t="s">
        <v>670</v>
      </c>
    </row>
    <row r="8" spans="1:6" ht="33.950000000000003" customHeight="1">
      <c r="A8" s="27" t="s">
        <v>671</v>
      </c>
      <c r="B8" s="27" t="s">
        <v>672</v>
      </c>
    </row>
    <row r="9" spans="1:6" ht="33.950000000000003" customHeight="1">
      <c r="A9" s="27" t="s">
        <v>673</v>
      </c>
      <c r="B9" s="27" t="s">
        <v>674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Ürünler</vt:lpstr>
      <vt:lpstr>İndirimler</vt:lpstr>
      <vt:lpstr>Tasarım</vt:lpstr>
      <vt:lpstr>Kullanım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2026-08-02T11:49:28Z</dcterms:modified>
</cp:coreProperties>
</file>