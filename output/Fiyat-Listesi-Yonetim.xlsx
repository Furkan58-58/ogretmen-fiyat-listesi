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LS\Documents\26-27 Fiyat Listeleri\output\"/>
    </mc:Choice>
  </mc:AlternateContent>
  <xr:revisionPtr revIDLastSave="0" documentId="13_ncr:1_{66E3F67E-F5A4-4B49-B8CA-6B52457B3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Ürünler" sheetId="1" r:id="rId1"/>
    <sheet name="İndirimler" sheetId="2" r:id="rId2"/>
    <sheet name="Tasarım" sheetId="3" r:id="rId3"/>
    <sheet name="Kullanım" sheetId="4" r:id="rId4"/>
    <sheet name="Ayarlar" sheetId="5" r:id="rId5"/>
    <sheet name="Sayfa Ayarları" sheetId="6" r:id="rId6"/>
    <sheet name="İletişi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1" i="1" l="1"/>
  <c r="H551" i="1"/>
  <c r="H488" i="1"/>
  <c r="I488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987" i="1" l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<sst xmlns="http://schemas.openxmlformats.org/spreadsheetml/2006/main" count="3644" uniqueCount="900">
  <si>
    <t>Barkod</t>
  </si>
  <si>
    <t>Yayın</t>
  </si>
  <si>
    <t>Sınıf</t>
  </si>
  <si>
    <t>Ders</t>
  </si>
  <si>
    <t>Genel Tür</t>
  </si>
  <si>
    <t>Tür</t>
  </si>
  <si>
    <t>Fiyat</t>
  </si>
  <si>
    <t>İnd</t>
  </si>
  <si>
    <t>Toplu</t>
  </si>
  <si>
    <t>Tanıtım Linki</t>
  </si>
  <si>
    <t>Yeni Barkodlar</t>
  </si>
  <si>
    <t>9786256648630</t>
  </si>
  <si>
    <t>Apotemi Yayınları</t>
  </si>
  <si>
    <t>Maarif TYT</t>
  </si>
  <si>
    <t>Türkçe</t>
  </si>
  <si>
    <t>Paragraf</t>
  </si>
  <si>
    <t>Soru Bankası</t>
  </si>
  <si>
    <t>9786256712614</t>
  </si>
  <si>
    <t>Bilgi Sarmal Yayınları</t>
  </si>
  <si>
    <t>https://online.fliphtml5.com/udqwy/etww/</t>
  </si>
  <si>
    <t>9786259206219</t>
  </si>
  <si>
    <t>Edebiyat Sokağı Yayınları</t>
  </si>
  <si>
    <t>9786052758861</t>
  </si>
  <si>
    <t>Limit</t>
  </si>
  <si>
    <t>ORNEK00000257</t>
  </si>
  <si>
    <t>Mikro Orijinal Yayınları</t>
  </si>
  <si>
    <t>Dil Bilgisi</t>
  </si>
  <si>
    <t>ORNEK00000263</t>
  </si>
  <si>
    <t>Mikro</t>
  </si>
  <si>
    <t>9786255708427</t>
  </si>
  <si>
    <t>Yazım ve Noktalama</t>
  </si>
  <si>
    <t>9786259205748</t>
  </si>
  <si>
    <t>Ulti Yayınları</t>
  </si>
  <si>
    <t>9. Sınıf</t>
  </si>
  <si>
    <t>Türk Dili ve Edebiyatı</t>
  </si>
  <si>
    <t>Fasikül Set</t>
  </si>
  <si>
    <t>https://online.fliphtml5.com/kbscf/eahn/</t>
  </si>
  <si>
    <t>9786256040229</t>
  </si>
  <si>
    <t>Çap Yayınları</t>
  </si>
  <si>
    <t>https://online.fliphtml5.com/chncu/mibj/</t>
  </si>
  <si>
    <t>ORNEK00000036</t>
  </si>
  <si>
    <t>Tema</t>
  </si>
  <si>
    <t>Konu Anlatımlı</t>
  </si>
  <si>
    <t>9786256630413</t>
  </si>
  <si>
    <t>Eğitim Vadisi</t>
  </si>
  <si>
    <t>TAK Tam Anlatım Kitabı</t>
  </si>
  <si>
    <t>https://app.karakok.net/spShowFlip/1546</t>
  </si>
  <si>
    <t>9786052756713</t>
  </si>
  <si>
    <t>https://online.fliphtml5.com/cotrr/kaoj/</t>
  </si>
  <si>
    <t>9786256412958</t>
  </si>
  <si>
    <t>Miray</t>
  </si>
  <si>
    <t>Ders Anlatım Fasikülleri</t>
  </si>
  <si>
    <t>9786259981284</t>
  </si>
  <si>
    <t>Süre Yayınları</t>
  </si>
  <si>
    <t>9786256921481</t>
  </si>
  <si>
    <t>4K</t>
  </si>
  <si>
    <t>https://app.karakok.net/spShowFlip/2140</t>
  </si>
  <si>
    <t>9786256712157</t>
  </si>
  <si>
    <t>https://online.fliphtml5.com/udqwy/tjur/</t>
  </si>
  <si>
    <t>9786256630475</t>
  </si>
  <si>
    <t>TİK Tam İzleme Kitabı</t>
  </si>
  <si>
    <t>https://app.karakok.net/spShowFlip/1553</t>
  </si>
  <si>
    <t>9786257532754</t>
  </si>
  <si>
    <t>Hız ve Renk Yayınları</t>
  </si>
  <si>
    <t>HİT</t>
  </si>
  <si>
    <t>https://online.fliphtml5.com/udqwy/ftqu/</t>
  </si>
  <si>
    <t>9786052756782</t>
  </si>
  <si>
    <t>https://online.fliphtml5.com/cotrr/cewx/</t>
  </si>
  <si>
    <t>9786256412835</t>
  </si>
  <si>
    <t>Tematik</t>
  </si>
  <si>
    <t>9786256040502</t>
  </si>
  <si>
    <t>9786258160406</t>
  </si>
  <si>
    <t>ENS Yayınları</t>
  </si>
  <si>
    <t>Etkinlik Kitabı</t>
  </si>
  <si>
    <t>9786258160895</t>
  </si>
  <si>
    <t>9786259052601</t>
  </si>
  <si>
    <t>10. Sınıf</t>
  </si>
  <si>
    <t>https://online.fliphtml5.com/kbscf/nfsd/</t>
  </si>
  <si>
    <t>9786256040977</t>
  </si>
  <si>
    <t>https://online.fliphtml5.com/chncu/jgqp/</t>
  </si>
  <si>
    <t>ORNEK00000040</t>
  </si>
  <si>
    <t>9786256911680</t>
  </si>
  <si>
    <t>https://app.karakok.net/spShowFlip/2166</t>
  </si>
  <si>
    <t>9786052757567</t>
  </si>
  <si>
    <t>https://online.fliphtml5.com/cotrr/qanl/</t>
  </si>
  <si>
    <t>9786256142176</t>
  </si>
  <si>
    <t>9786256921740</t>
  </si>
  <si>
    <t>https://app.karakok.net/spShowFlip/1917</t>
  </si>
  <si>
    <t>9786256712409</t>
  </si>
  <si>
    <t>https://online.fliphtml5.com/udqwy/peka/</t>
  </si>
  <si>
    <t>9786256457256</t>
  </si>
  <si>
    <t>https://app.karakok.net/spShowFlip/2167</t>
  </si>
  <si>
    <t>9786257532914</t>
  </si>
  <si>
    <t>https://online.fliphtml5.com/udqwy/qkos/</t>
  </si>
  <si>
    <t>9786052757574</t>
  </si>
  <si>
    <t>https://online.fliphtml5.com/cotrr/mdzj/</t>
  </si>
  <si>
    <t>9786256142190</t>
  </si>
  <si>
    <t>9786259981291</t>
  </si>
  <si>
    <t>9786255801043</t>
  </si>
  <si>
    <t>9786258160673</t>
  </si>
  <si>
    <t>ORNEK00000059</t>
  </si>
  <si>
    <t>11. Sınıf</t>
  </si>
  <si>
    <t>ORNEK00000045</t>
  </si>
  <si>
    <t>ORNEK00000072</t>
  </si>
  <si>
    <t>Defter</t>
  </si>
  <si>
    <t>9786052758243</t>
  </si>
  <si>
    <t>9786256142664</t>
  </si>
  <si>
    <t>9786256921962</t>
  </si>
  <si>
    <t>ORNEK00000024</t>
  </si>
  <si>
    <t>Maarif</t>
  </si>
  <si>
    <t>ORNEK00000095</t>
  </si>
  <si>
    <t>https://online.fliphtml5.com/udqwy/tioy/</t>
  </si>
  <si>
    <t>9786052758311</t>
  </si>
  <si>
    <t>9786256142671</t>
  </si>
  <si>
    <t>ORNEK00000111</t>
  </si>
  <si>
    <t>ORNEK00000063</t>
  </si>
  <si>
    <t>ORNEK00000080</t>
  </si>
  <si>
    <t>9786259012292</t>
  </si>
  <si>
    <t>9786257134484</t>
  </si>
  <si>
    <t>Acil Yayınları</t>
  </si>
  <si>
    <t>Matematik</t>
  </si>
  <si>
    <t>9786257134903</t>
  </si>
  <si>
    <t>ORNEK00000009</t>
  </si>
  <si>
    <t>Aktif Öğrenme Yayınları</t>
  </si>
  <si>
    <t>Prime</t>
  </si>
  <si>
    <t>9786256531451</t>
  </si>
  <si>
    <t>MÖF</t>
  </si>
  <si>
    <t>9786255708076</t>
  </si>
  <si>
    <t>ODF</t>
  </si>
  <si>
    <t>9786256531536</t>
  </si>
  <si>
    <t>9786259205762</t>
  </si>
  <si>
    <t>https://online.fliphtml5.com/kbscf/wtkw/</t>
  </si>
  <si>
    <t>9786057997326</t>
  </si>
  <si>
    <t>Yarıçap Yayınları</t>
  </si>
  <si>
    <t>9786256040328</t>
  </si>
  <si>
    <t>https://online.fliphtml5.com/chncu/xxtv/</t>
  </si>
  <si>
    <t>9786256142121</t>
  </si>
  <si>
    <t>Aydın</t>
  </si>
  <si>
    <t>Tematik / Ders İşleyiş Modülleri</t>
  </si>
  <si>
    <t>https://online.fliphtml5.com/wrbmv/lxrj/#p=1</t>
  </si>
  <si>
    <t>9786256630420</t>
  </si>
  <si>
    <t>Tematik / TAK Tam Anlatım Kitabı</t>
  </si>
  <si>
    <t>https://app.karakok.net/spShowFlip/1549</t>
  </si>
  <si>
    <t>9786052756706</t>
  </si>
  <si>
    <t>Konu Anlatımlı 1</t>
  </si>
  <si>
    <t>https://online.fliphtml5.com/cotrr/puqp/</t>
  </si>
  <si>
    <t>9786052757048</t>
  </si>
  <si>
    <t>Konu Anlatımlı 2</t>
  </si>
  <si>
    <t>https://online.fliphtml5.com/cotrr/btbf/</t>
  </si>
  <si>
    <t>9786256412965</t>
  </si>
  <si>
    <t>Tematik / Ders Anlatım Fasikülleri</t>
  </si>
  <si>
    <t>9786256921559</t>
  </si>
  <si>
    <t>https://app.karakok.net/spShowFlip/2143</t>
  </si>
  <si>
    <t>9786257134477</t>
  </si>
  <si>
    <t>9786255811134</t>
  </si>
  <si>
    <t>Matematiğin İlacı</t>
  </si>
  <si>
    <t>9786256412804</t>
  </si>
  <si>
    <t>https://online.fliphtml5.com/wrbmv/yois/#p=1</t>
  </si>
  <si>
    <t>9786259800943</t>
  </si>
  <si>
    <t>https://online.fliphtml5.com/udqwy/wobl/</t>
  </si>
  <si>
    <t>9786256712447</t>
  </si>
  <si>
    <t>9786256630482</t>
  </si>
  <si>
    <t>Tematik / TİK Tam İzleme Kitabı</t>
  </si>
  <si>
    <t>https://app.karakok.net/spShowFlip/1556</t>
  </si>
  <si>
    <t>9786259682297</t>
  </si>
  <si>
    <t>Full Matematik Yayınları</t>
  </si>
  <si>
    <t>9786257532860</t>
  </si>
  <si>
    <t>https://online.fliphtml5.com/udqwy/lark/</t>
  </si>
  <si>
    <t>9786052756775</t>
  </si>
  <si>
    <t>https://online.fliphtml5.com/cotrr/uoyw/</t>
  </si>
  <si>
    <t>ORNEK00000254</t>
  </si>
  <si>
    <t>9786256142008</t>
  </si>
  <si>
    <t>9786256531765</t>
  </si>
  <si>
    <t>9786057997319</t>
  </si>
  <si>
    <t>9786256040489</t>
  </si>
  <si>
    <t>https://online.fliphtml5.com/chncu/ynai/</t>
  </si>
  <si>
    <t>9786258160871</t>
  </si>
  <si>
    <t>9786255811042</t>
  </si>
  <si>
    <t>ORNEK00000010</t>
  </si>
  <si>
    <t>9786256531826</t>
  </si>
  <si>
    <t>9786255708083</t>
  </si>
  <si>
    <t>9786259052618</t>
  </si>
  <si>
    <t>https://online.fliphtml5.com/kbscf/ifyh/</t>
  </si>
  <si>
    <t>9786057997432</t>
  </si>
  <si>
    <t>9786255801005</t>
  </si>
  <si>
    <t>https://online.fliphtml5.com/chncu/iosj/</t>
  </si>
  <si>
    <t>9786256142138</t>
  </si>
  <si>
    <t>https://online.fliphtml5.com/wrbmv/muup/#p=1</t>
  </si>
  <si>
    <t>9786256457225</t>
  </si>
  <si>
    <t>https://app.karakok.net/spShowFlip/2173</t>
  </si>
  <si>
    <t>9786052757581</t>
  </si>
  <si>
    <t>9786256142152</t>
  </si>
  <si>
    <t>9786256921757</t>
  </si>
  <si>
    <t>https://app.karakok.net/spShowFlip/1921</t>
  </si>
  <si>
    <t>9786255811059</t>
  </si>
  <si>
    <t>9786255811066</t>
  </si>
  <si>
    <t>9786256142145</t>
  </si>
  <si>
    <t>https://online.fliphtml5.com/wrbmv/hicw/</t>
  </si>
  <si>
    <t>9786256712430</t>
  </si>
  <si>
    <t>https://online.fliphtml5.com/udqwy/mdvp/</t>
  </si>
  <si>
    <t>9786256712454</t>
  </si>
  <si>
    <t>9786256911314</t>
  </si>
  <si>
    <t>https://app.karakok.net/spShowFlip/2250</t>
  </si>
  <si>
    <t>9786259399805</t>
  </si>
  <si>
    <t>9786257532945</t>
  </si>
  <si>
    <t>https://online.fliphtml5.com/udqwy/aois/</t>
  </si>
  <si>
    <t>9786052757598</t>
  </si>
  <si>
    <t>https://online.fliphtml5.com/cotrr/sonr/</t>
  </si>
  <si>
    <t>ORNEK00000255</t>
  </si>
  <si>
    <t>9786256142169</t>
  </si>
  <si>
    <t>9786256531772</t>
  </si>
  <si>
    <t>9786057997449</t>
  </si>
  <si>
    <t>9786255801173</t>
  </si>
  <si>
    <t>https://online.fliphtml5.com/chncu/zbnn/</t>
  </si>
  <si>
    <t>9786258160888</t>
  </si>
  <si>
    <t>ORNEK00000001</t>
  </si>
  <si>
    <t>ORNEK00000011</t>
  </si>
  <si>
    <t>ORNEK00000107</t>
  </si>
  <si>
    <t>ORNEK00000108</t>
  </si>
  <si>
    <t>9786057997494</t>
  </si>
  <si>
    <t>ORNEK00000058</t>
  </si>
  <si>
    <t>9786057710055</t>
  </si>
  <si>
    <t>ORNEK00000041</t>
  </si>
  <si>
    <t>ORNEK00000076</t>
  </si>
  <si>
    <t>9786256349063</t>
  </si>
  <si>
    <t>Etkili Matematik Yayınları</t>
  </si>
  <si>
    <t>9786052758274</t>
  </si>
  <si>
    <t>9786256142640</t>
  </si>
  <si>
    <t>9786256921924</t>
  </si>
  <si>
    <t>ORNEK00000002</t>
  </si>
  <si>
    <t>ORNEK00000003</t>
  </si>
  <si>
    <t>İlacı</t>
  </si>
  <si>
    <t>9786057710116</t>
  </si>
  <si>
    <t>ORNEK00000022</t>
  </si>
  <si>
    <t>ORNEK00000088</t>
  </si>
  <si>
    <t>ORNEK00000098</t>
  </si>
  <si>
    <t>https://online.fliphtml5.com/udqwy/afjs/</t>
  </si>
  <si>
    <t>9786052758359</t>
  </si>
  <si>
    <t>ORNEK00000256</t>
  </si>
  <si>
    <t>9786256142657</t>
  </si>
  <si>
    <t>ORNEK00000109</t>
  </si>
  <si>
    <t>ORNEK00000113</t>
  </si>
  <si>
    <t>ORNEK00000067</t>
  </si>
  <si>
    <t>ORNEK00000084</t>
  </si>
  <si>
    <t>9786257134668</t>
  </si>
  <si>
    <t>12. Sınıf</t>
  </si>
  <si>
    <t>9786256531642</t>
  </si>
  <si>
    <t>9786256531062</t>
  </si>
  <si>
    <t>9786057997296</t>
  </si>
  <si>
    <t>9786258139136</t>
  </si>
  <si>
    <t>Anadolu</t>
  </si>
  <si>
    <t>https://online.fliphtml5.com/chncu/naki/</t>
  </si>
  <si>
    <t>9786258139440</t>
  </si>
  <si>
    <t>Fen Lisesi</t>
  </si>
  <si>
    <t>https://online.fliphtml5.com/chncu/dhzq/</t>
  </si>
  <si>
    <t>9786258104318</t>
  </si>
  <si>
    <t>https://online.fliphtml5.com/wrbmv/cyqo/#p=1</t>
  </si>
  <si>
    <t>9786256412460</t>
  </si>
  <si>
    <t>9786255708373</t>
  </si>
  <si>
    <t>ORNEK00000004</t>
  </si>
  <si>
    <t>9786255811110</t>
  </si>
  <si>
    <t>Sistematik</t>
  </si>
  <si>
    <t>ORNEK00000008</t>
  </si>
  <si>
    <t>0 Dan Başlayanlara</t>
  </si>
  <si>
    <t>9786258188141</t>
  </si>
  <si>
    <t>9786256142435</t>
  </si>
  <si>
    <t>9786256712591</t>
  </si>
  <si>
    <t>https://online.fliphtml5.com/udqwy/dssa/</t>
  </si>
  <si>
    <t>ORNEK00000089</t>
  </si>
  <si>
    <t>Nicelik Değişimler</t>
  </si>
  <si>
    <t>ORNEK00000091</t>
  </si>
  <si>
    <t>Sayılar</t>
  </si>
  <si>
    <t>9786052758892</t>
  </si>
  <si>
    <t>ORNEK00000261</t>
  </si>
  <si>
    <t>9786255708281</t>
  </si>
  <si>
    <t>ORNEK00000268</t>
  </si>
  <si>
    <t>Sıfır</t>
  </si>
  <si>
    <t>9786256142398</t>
  </si>
  <si>
    <t>9786255708304</t>
  </si>
  <si>
    <t>ORNEK00000267</t>
  </si>
  <si>
    <t>9786259266527</t>
  </si>
  <si>
    <t>Viral Yayınları</t>
  </si>
  <si>
    <t>9786057997500</t>
  </si>
  <si>
    <t>9786259012285</t>
  </si>
  <si>
    <t>9786259195421</t>
  </si>
  <si>
    <t>Rehber Matematik Yayınları</t>
  </si>
  <si>
    <t>Video Ders Kitabı</t>
  </si>
  <si>
    <t>9786255708410</t>
  </si>
  <si>
    <t>Geometri</t>
  </si>
  <si>
    <t>9786255811127</t>
  </si>
  <si>
    <t>ORNEK00000005</t>
  </si>
  <si>
    <t>ORNEK00000007</t>
  </si>
  <si>
    <t>9786256712607</t>
  </si>
  <si>
    <t>https://online.fliphtml5.com/udqwy/xruh/</t>
  </si>
  <si>
    <t>ORNEK00000090</t>
  </si>
  <si>
    <t>Üçgenler</t>
  </si>
  <si>
    <t>9786052758908</t>
  </si>
  <si>
    <t>ORNEK00000259</t>
  </si>
  <si>
    <t>9786255708298</t>
  </si>
  <si>
    <t>ORNEK00000269</t>
  </si>
  <si>
    <t>9786256142466</t>
  </si>
  <si>
    <t>ORNEK00000266</t>
  </si>
  <si>
    <t>9786259794716</t>
  </si>
  <si>
    <t>Fizik Pedia Yayınları</t>
  </si>
  <si>
    <t>Fizik</t>
  </si>
  <si>
    <t>Kavramsal</t>
  </si>
  <si>
    <t>9786256531857</t>
  </si>
  <si>
    <t>9786256531864</t>
  </si>
  <si>
    <t>9786259205700</t>
  </si>
  <si>
    <t>https://online.fliphtml5.com/kbscf/bilu/</t>
  </si>
  <si>
    <t>9786256040250</t>
  </si>
  <si>
    <t>https://online.fliphtml5.com/chncu/zgpd/</t>
  </si>
  <si>
    <t>9786256142237</t>
  </si>
  <si>
    <t>Ders İşleyiş Modülleri</t>
  </si>
  <si>
    <t>https://online.fliphtml5.com/wrbmv/jhtg/</t>
  </si>
  <si>
    <t>ORNEK00000033</t>
  </si>
  <si>
    <t>9786256630437</t>
  </si>
  <si>
    <t>https://app.karakok.net/spShowFlip/1547</t>
  </si>
  <si>
    <t>9786052756676</t>
  </si>
  <si>
    <t>https://online.fliphtml5.com/cotrr/ywyp/</t>
  </si>
  <si>
    <t>9786256412767</t>
  </si>
  <si>
    <t>9786259626802</t>
  </si>
  <si>
    <t>Profizik</t>
  </si>
  <si>
    <t>9786256921511</t>
  </si>
  <si>
    <t>https://app.karakok.net/spShowFlip/2141</t>
  </si>
  <si>
    <t>9786256412811</t>
  </si>
  <si>
    <t>https://online.fliphtml5.com/wrbmv/etlo/</t>
  </si>
  <si>
    <t>9786256712164</t>
  </si>
  <si>
    <t>https://online.fliphtml5.com/udqwy/myzu/</t>
  </si>
  <si>
    <t>9786259429755</t>
  </si>
  <si>
    <t>Egzersiz Yayınları</t>
  </si>
  <si>
    <t>9786256630499</t>
  </si>
  <si>
    <t>https://app.karakok.net/spShowFlip/1554</t>
  </si>
  <si>
    <t>ORNEK00000285</t>
  </si>
  <si>
    <t>9786259695433</t>
  </si>
  <si>
    <t>9786258160444</t>
  </si>
  <si>
    <t>https://online.fliphtml5.com/udqwy/qqfx/</t>
  </si>
  <si>
    <t>9786052756744</t>
  </si>
  <si>
    <t>https://online.fliphtml5.com/cotrr/ebfi/</t>
  </si>
  <si>
    <t>9786256412774</t>
  </si>
  <si>
    <t>9786256040595</t>
  </si>
  <si>
    <t>https://online.fliphtml5.com/chncu/xwmz/</t>
  </si>
  <si>
    <t>9786258160628</t>
  </si>
  <si>
    <t>9786259066929</t>
  </si>
  <si>
    <t>9786259794778</t>
  </si>
  <si>
    <t>9786255708137</t>
  </si>
  <si>
    <t>9786259205779</t>
  </si>
  <si>
    <t>https://online.fliphtml5.com/kbscf/pqrm/</t>
  </si>
  <si>
    <t>9786256040960</t>
  </si>
  <si>
    <t>https://online.fliphtml5.com/chncu/xycg/</t>
  </si>
  <si>
    <t>9786256142220</t>
  </si>
  <si>
    <t>https://online.fliphtml5.com/wrbmv/xurw/#p=1</t>
  </si>
  <si>
    <t>ORNEK00000037</t>
  </si>
  <si>
    <t>9786256457287</t>
  </si>
  <si>
    <t>https://app.karakok.net/spShowFlip/2168</t>
  </si>
  <si>
    <t>9786052757642</t>
  </si>
  <si>
    <t>https://online.fliphtml5.com/cotrr/mqkz/</t>
  </si>
  <si>
    <t>9786256142183</t>
  </si>
  <si>
    <t>9786259626819</t>
  </si>
  <si>
    <t>9786256921696</t>
  </si>
  <si>
    <t>https://app.karakok.net/spShowFlip/1919</t>
  </si>
  <si>
    <t>9786256142213</t>
  </si>
  <si>
    <t>https://online.fliphtml5.com/wrbmv/ufuz/#p=1</t>
  </si>
  <si>
    <t>9786256712362</t>
  </si>
  <si>
    <t>https://online.fliphtml5.com/udqwy/atkt/</t>
  </si>
  <si>
    <t>9786259429762</t>
  </si>
  <si>
    <t>9786259429786</t>
  </si>
  <si>
    <t>9786256911949</t>
  </si>
  <si>
    <t>https://app.karakok.net/spShowFlip/2169</t>
  </si>
  <si>
    <t>ORNEK00000286</t>
  </si>
  <si>
    <t>9786259695440</t>
  </si>
  <si>
    <t>9786257532921</t>
  </si>
  <si>
    <t>https://online.fliphtml5.com/udqwy/xjvc/</t>
  </si>
  <si>
    <t>9786052757659</t>
  </si>
  <si>
    <t>https://online.fliphtml5.com/cotrr/abfr/</t>
  </si>
  <si>
    <t>9786256142206</t>
  </si>
  <si>
    <t>9786256040816</t>
  </si>
  <si>
    <t>https://online.fliphtml5.com/chncu/serp/</t>
  </si>
  <si>
    <t>9786258160833</t>
  </si>
  <si>
    <t>ORNEK00000106</t>
  </si>
  <si>
    <t>ORNEK00000056</t>
  </si>
  <si>
    <t>9786057710192</t>
  </si>
  <si>
    <t>ORNEK00000042</t>
  </si>
  <si>
    <t>ORNEK00000074</t>
  </si>
  <si>
    <t>9786052758281</t>
  </si>
  <si>
    <t>9786256142688</t>
  </si>
  <si>
    <t>9786256921931</t>
  </si>
  <si>
    <t>9786057710185</t>
  </si>
  <si>
    <t>ORNEK00000020</t>
  </si>
  <si>
    <t>ORNEK00000069</t>
  </si>
  <si>
    <t>ORNEK00000087</t>
  </si>
  <si>
    <t>ORNEK00000287</t>
  </si>
  <si>
    <t>ORNEK00000096</t>
  </si>
  <si>
    <t>https://online.fliphtml5.com/udqwy/wlxl/</t>
  </si>
  <si>
    <t>9786052758373</t>
  </si>
  <si>
    <t>9786256142695</t>
  </si>
  <si>
    <t>ORNEK00000065</t>
  </si>
  <si>
    <t>ORNEK00000082</t>
  </si>
  <si>
    <t>9786256531321</t>
  </si>
  <si>
    <t>9786256531956</t>
  </si>
  <si>
    <t>MÖF 4. Fasikül</t>
  </si>
  <si>
    <t>9786257732499</t>
  </si>
  <si>
    <t>https://online.fliphtml5.com/chncu/topp/</t>
  </si>
  <si>
    <t>9786258139204</t>
  </si>
  <si>
    <t>https://online.fliphtml5.com/chncu/prwq/</t>
  </si>
  <si>
    <t>9786258104493</t>
  </si>
  <si>
    <t xml:space="preserve"> https://online.fliphtml5.com/wrbmv/vxmu/#p=1</t>
  </si>
  <si>
    <t>9786256412507</t>
  </si>
  <si>
    <t>9786259626840</t>
  </si>
  <si>
    <t>9786259626857</t>
  </si>
  <si>
    <t>9786256142442</t>
  </si>
  <si>
    <t>9786256712621</t>
  </si>
  <si>
    <t>ORNEK00000284</t>
  </si>
  <si>
    <t>ORNEK00000086</t>
  </si>
  <si>
    <t>9786052758915</t>
  </si>
  <si>
    <t>ORNEK00000258</t>
  </si>
  <si>
    <t>9786256142473</t>
  </si>
  <si>
    <t>9786255708311</t>
  </si>
  <si>
    <t>ORNEK00000264</t>
  </si>
  <si>
    <t>9786259026329</t>
  </si>
  <si>
    <t>9786259534169</t>
  </si>
  <si>
    <t>Orbital Yayınları</t>
  </si>
  <si>
    <t>Kimya</t>
  </si>
  <si>
    <t>Odam</t>
  </si>
  <si>
    <t>https://online.fliphtml5.com/udqwy/rwci/</t>
  </si>
  <si>
    <t>9786259205724</t>
  </si>
  <si>
    <t>https://online.fliphtml5.com/kbscf/uclz/</t>
  </si>
  <si>
    <t>9786256040472</t>
  </si>
  <si>
    <t>https://online.fliphtml5.com/chncu/zjmx/</t>
  </si>
  <si>
    <t>9786256142053</t>
  </si>
  <si>
    <t>https://online.fliphtml5.com/wrbmv/wcqa/</t>
  </si>
  <si>
    <t>ORNEK00000034</t>
  </si>
  <si>
    <t>9786256630444</t>
  </si>
  <si>
    <t>https://app.karakok.net/spShowFlip/1548</t>
  </si>
  <si>
    <t>9786052756652</t>
  </si>
  <si>
    <t>https://online.fliphtml5.com/cotrr/mgkp/</t>
  </si>
  <si>
    <t>9786256412743</t>
  </si>
  <si>
    <t>ORNEK00000101</t>
  </si>
  <si>
    <t>Oktet Yayınları</t>
  </si>
  <si>
    <t>9786256921573</t>
  </si>
  <si>
    <t>https://app.karakok.net/spShowFlip/2142</t>
  </si>
  <si>
    <t>9786256412675</t>
  </si>
  <si>
    <t>https://online.fliphtml5.com/wrbmv/lspl/#p=1</t>
  </si>
  <si>
    <t>9786259800929</t>
  </si>
  <si>
    <t>https://online.fliphtml5.com/udqwy/ssrj/</t>
  </si>
  <si>
    <t>9786256630505</t>
  </si>
  <si>
    <t>https://app.karakok.net/spShowFlip/1555</t>
  </si>
  <si>
    <t>9786257532747</t>
  </si>
  <si>
    <t>https://online.fliphtml5.com/udqwy/glnk/</t>
  </si>
  <si>
    <t>9786052756720</t>
  </si>
  <si>
    <t>https://online.fliphtml5.com/cotrr/jwjt/</t>
  </si>
  <si>
    <t>9786256412750</t>
  </si>
  <si>
    <t>9786259534107</t>
  </si>
  <si>
    <t>https://online.fliphtml5.com/udqwy/zgtb/</t>
  </si>
  <si>
    <t>9786256040588</t>
  </si>
  <si>
    <t>https://online.fliphtml5.com/chncu/bref/</t>
  </si>
  <si>
    <t>9786258160840</t>
  </si>
  <si>
    <t>9786259677828</t>
  </si>
  <si>
    <t>https://online.fliphtml5.com/udqwy/zymh/</t>
  </si>
  <si>
    <t>9786259205717</t>
  </si>
  <si>
    <t>https://online.fliphtml5.com/kbscf/rwrl/</t>
  </si>
  <si>
    <t>9786256040984</t>
  </si>
  <si>
    <t>https://online.fliphtml5.com/chncu/tucv/</t>
  </si>
  <si>
    <t>9786256142060</t>
  </si>
  <si>
    <t>https://online.fliphtml5.com/wrbmv/erke/#p=1</t>
  </si>
  <si>
    <t>ORNEK00000038</t>
  </si>
  <si>
    <t>9786256457577</t>
  </si>
  <si>
    <t>https://app.karakok.net/spShowFlip/2158</t>
  </si>
  <si>
    <t>9786052757666</t>
  </si>
  <si>
    <t>https://online.fliphtml5.com/cotrr/qkuq/</t>
  </si>
  <si>
    <t>9786256142084</t>
  </si>
  <si>
    <t>ORNEK00000102</t>
  </si>
  <si>
    <t>9786256921702</t>
  </si>
  <si>
    <t>https://app.karakok.net/spShowFlip/1920</t>
  </si>
  <si>
    <t>9786256142077</t>
  </si>
  <si>
    <t>https://online.fliphtml5.com/wrbmv/ktlu/#p=1</t>
  </si>
  <si>
    <t>9786256712393</t>
  </si>
  <si>
    <t>https://online.fliphtml5.com/udqwy/xwsi/</t>
  </si>
  <si>
    <t>9786256911925</t>
  </si>
  <si>
    <t>https://app.karakok.net/spShowFlip/2164</t>
  </si>
  <si>
    <t>9786257532891</t>
  </si>
  <si>
    <t>https://online.fliphtml5.com/udqwy/wsau/</t>
  </si>
  <si>
    <t>9786052757673</t>
  </si>
  <si>
    <t>https://online.fliphtml5.com/cotrr/ijlj/</t>
  </si>
  <si>
    <t>9786256142091</t>
  </si>
  <si>
    <t>9786259677811</t>
  </si>
  <si>
    <t>https://online.fliphtml5.com/udqwy/dydh/</t>
  </si>
  <si>
    <t>9786256040861</t>
  </si>
  <si>
    <t>https://online.fliphtml5.com/chncu/zlro/</t>
  </si>
  <si>
    <t>9786258160789</t>
  </si>
  <si>
    <t>ORNEK00000104</t>
  </si>
  <si>
    <t>ORNEK00000057</t>
  </si>
  <si>
    <t>9786057710154</t>
  </si>
  <si>
    <t>ORNEK00000043</t>
  </si>
  <si>
    <t>ORNEK00000075</t>
  </si>
  <si>
    <t>9786052758298</t>
  </si>
  <si>
    <t>9786256142565</t>
  </si>
  <si>
    <t>ORNEK00000103</t>
  </si>
  <si>
    <t>9786256921986</t>
  </si>
  <si>
    <t>9786057710161</t>
  </si>
  <si>
    <t>9786256712485</t>
  </si>
  <si>
    <t>https://online.fliphtml5.com/udqwy/hbis/</t>
  </si>
  <si>
    <t>ORNEK00000097</t>
  </si>
  <si>
    <t>https://online.fliphtml5.com/udqwy/engb/</t>
  </si>
  <si>
    <t>9786052758380</t>
  </si>
  <si>
    <t>9786256142572</t>
  </si>
  <si>
    <t>ORNEK00000066</t>
  </si>
  <si>
    <t>ORNEK00000083</t>
  </si>
  <si>
    <t>9786257732574</t>
  </si>
  <si>
    <t>https://online.fliphtml5.com/chncu/xzrr/</t>
  </si>
  <si>
    <t>9786258139648</t>
  </si>
  <si>
    <t>https://online.fliphtml5.com/chncu/lhfz/</t>
  </si>
  <si>
    <t>9786258104486</t>
  </si>
  <si>
    <t>https://online.fliphtml5.com/wrbmv/ibrt/#p=1</t>
  </si>
  <si>
    <t>9786258104547</t>
  </si>
  <si>
    <t>9786057323408</t>
  </si>
  <si>
    <t>9786057323415</t>
  </si>
  <si>
    <t>9786256412453</t>
  </si>
  <si>
    <t>9786256142428</t>
  </si>
  <si>
    <t>9786256712577</t>
  </si>
  <si>
    <t>https://online.fliphtml5.com/udqwy/ofyh/</t>
  </si>
  <si>
    <t>9786052758922</t>
  </si>
  <si>
    <t>9786256142527</t>
  </si>
  <si>
    <t>ORNEK00000100</t>
  </si>
  <si>
    <t>9786259677873</t>
  </si>
  <si>
    <t>9786259026312</t>
  </si>
  <si>
    <t>9786259205731</t>
  </si>
  <si>
    <t>Biyoloji</t>
  </si>
  <si>
    <t>https://online.fliphtml5.com/kbscf/wxxz/</t>
  </si>
  <si>
    <t>9786256040298</t>
  </si>
  <si>
    <t>https://online.fliphtml5.com/chncu/bkiw/</t>
  </si>
  <si>
    <t>ORNEK00000035</t>
  </si>
  <si>
    <t>9786259188904</t>
  </si>
  <si>
    <t>Biyotik Yayınları</t>
  </si>
  <si>
    <t>Konu Anlatım Föyleri</t>
  </si>
  <si>
    <t>https://biyotik.com.tr/view/img/pdf/9_bikaf_demo.pdf</t>
  </si>
  <si>
    <t>9786057361967</t>
  </si>
  <si>
    <t>9786256630451</t>
  </si>
  <si>
    <t>https://app.karakok.net/spShowFlip/1544</t>
  </si>
  <si>
    <t>9786052756669</t>
  </si>
  <si>
    <t>https://online.fliphtml5.com/cotrr/hqex/</t>
  </si>
  <si>
    <t>9786256412781</t>
  </si>
  <si>
    <t>9786256921597</t>
  </si>
  <si>
    <t>https://app.karakok.net/spShowFlip/2138</t>
  </si>
  <si>
    <t>9786256412828</t>
  </si>
  <si>
    <t>https://online.fliphtml5.com/wrbmv/llma/</t>
  </si>
  <si>
    <t>9786259800936</t>
  </si>
  <si>
    <t>https://online.fliphtml5.com/udqwy/arvp/</t>
  </si>
  <si>
    <t>9786259674773</t>
  </si>
  <si>
    <t>https://biyotik.com.tr/view/img/pdf/9.pdf</t>
  </si>
  <si>
    <t>9786057361950</t>
  </si>
  <si>
    <t>9786259188928</t>
  </si>
  <si>
    <t>İnteraktif Etkinlik</t>
  </si>
  <si>
    <t>https://biyotik.com.tr/view/img/pdf/9_btt_demo.pdf</t>
  </si>
  <si>
    <t>9786057361974</t>
  </si>
  <si>
    <t>9786256630512</t>
  </si>
  <si>
    <t>https://app.karakok.net/spShowFlip/1551</t>
  </si>
  <si>
    <t>9786257532907</t>
  </si>
  <si>
    <t>https://online.fliphtml5.com/udqwy/ewtq/</t>
  </si>
  <si>
    <t>9786052756737</t>
  </si>
  <si>
    <t>https://online.fliphtml5.com/cotrr/nzux/</t>
  </si>
  <si>
    <t>9786256412798</t>
  </si>
  <si>
    <t>9786259473925</t>
  </si>
  <si>
    <t>Ritim Biyoloji Yayınları</t>
  </si>
  <si>
    <t>9786256040625</t>
  </si>
  <si>
    <t>https://online.fliphtml5.com/chncu/ymyi/</t>
  </si>
  <si>
    <t>9786258160802</t>
  </si>
  <si>
    <t>9786259205793</t>
  </si>
  <si>
    <t>https://online.fliphtml5.com/kbscf/uste/</t>
  </si>
  <si>
    <t>9786255801067</t>
  </si>
  <si>
    <t>https://online.fliphtml5.com/chncu/gytr/</t>
  </si>
  <si>
    <t>ORNEK00000039</t>
  </si>
  <si>
    <t>9786259188911</t>
  </si>
  <si>
    <t>https://biyotik.com.tr/view/img/kitap/2026-10.sinif-konu-anlatim-foyleri-demo.pdf</t>
  </si>
  <si>
    <t>9786057361998</t>
  </si>
  <si>
    <t>9786256457300</t>
  </si>
  <si>
    <t>https://app.karakok.net/spShowFlip/2248</t>
  </si>
  <si>
    <t>9786052757680</t>
  </si>
  <si>
    <t>https://online.fliphtml5.com/cotrr/kima/</t>
  </si>
  <si>
    <t>9786256142114</t>
  </si>
  <si>
    <t>9786256921719</t>
  </si>
  <si>
    <t>https://app.karakok.net/spShowFlip/1915</t>
  </si>
  <si>
    <t>9786256142107</t>
  </si>
  <si>
    <t>https://online.fliphtml5.com/wrbmv/rjsu/#p=1</t>
  </si>
  <si>
    <t>9786256712379</t>
  </si>
  <si>
    <t>https://online.fliphtml5.com/udqwy/nxnv/</t>
  </si>
  <si>
    <t>9786259674780</t>
  </si>
  <si>
    <t>https://biyotik.com.tr/view/img/kitap/2026_yeni_mufredat_10_sinif_soru_bankasi_DEMO_yeni.pdf</t>
  </si>
  <si>
    <t>9786057361981</t>
  </si>
  <si>
    <t>9786259188935</t>
  </si>
  <si>
    <t>https://biyotik.com.tr/view/img/pdf/10_btt_demo.pdf</t>
  </si>
  <si>
    <t>9786259674704</t>
  </si>
  <si>
    <t>9786256911789</t>
  </si>
  <si>
    <t>https://app.karakok.net/spShowFlip/2249</t>
  </si>
  <si>
    <t>9786257532938</t>
  </si>
  <si>
    <t>9786052757697</t>
  </si>
  <si>
    <t>https://online.fliphtml5.com/cotrr/pobr/</t>
  </si>
  <si>
    <t>9786256412378</t>
  </si>
  <si>
    <t>9786259473963</t>
  </si>
  <si>
    <t>9786255801029</t>
  </si>
  <si>
    <t>9786258160819</t>
  </si>
  <si>
    <t>ORNEK00000054</t>
  </si>
  <si>
    <t>ORNEK00000044</t>
  </si>
  <si>
    <t>ORNEK00000070</t>
  </si>
  <si>
    <t>9786052758304</t>
  </si>
  <si>
    <t>9786256142596</t>
  </si>
  <si>
    <t>9786256921948</t>
  </si>
  <si>
    <t>9786057710178</t>
  </si>
  <si>
    <t>ORNEK00000017</t>
  </si>
  <si>
    <t>9786259674797</t>
  </si>
  <si>
    <t>https://biyotik.com.tr/view/img/pdf/11.pdf</t>
  </si>
  <si>
    <t>ORNEK00000093</t>
  </si>
  <si>
    <t>https://online.fliphtml5.com/udqwy/mdhg/</t>
  </si>
  <si>
    <t>9786052758366</t>
  </si>
  <si>
    <t>9786256142558</t>
  </si>
  <si>
    <t>ORNEK00000110</t>
  </si>
  <si>
    <t>ORNEK00000061</t>
  </si>
  <si>
    <t>ORNEK00000078</t>
  </si>
  <si>
    <t>9786258225006</t>
  </si>
  <si>
    <t>https://online.fliphtml5.com/chncu/avcj/</t>
  </si>
  <si>
    <t>9786258139518</t>
  </si>
  <si>
    <t>https://online.fliphtml5.com/chncu/swka/</t>
  </si>
  <si>
    <t>9786256412514</t>
  </si>
  <si>
    <t>9786259674766</t>
  </si>
  <si>
    <t>9786256142459</t>
  </si>
  <si>
    <t>9786256712560</t>
  </si>
  <si>
    <t>https://online.fliphtml5.com/udqwy/wpto/</t>
  </si>
  <si>
    <t>9786052758939</t>
  </si>
  <si>
    <t>9786256142480</t>
  </si>
  <si>
    <t>9786259026305</t>
  </si>
  <si>
    <t>9786259052625</t>
  </si>
  <si>
    <t>Tarih</t>
  </si>
  <si>
    <t>https://online.fliphtml5.com/kbscf/gitx/</t>
  </si>
  <si>
    <t>9786256040441</t>
  </si>
  <si>
    <t>https://online.fliphtml5.com/chncu/fljb/</t>
  </si>
  <si>
    <t>9786256630383</t>
  </si>
  <si>
    <t>https://app.karakok.net/spShowFlip/1550</t>
  </si>
  <si>
    <t>9786052756683</t>
  </si>
  <si>
    <t>https://online.fliphtml5.com/cotrr/emrs/</t>
  </si>
  <si>
    <t>9786256921535</t>
  </si>
  <si>
    <t>https://app.karakok.net/spShowFlip/2144</t>
  </si>
  <si>
    <t>9786259793603</t>
  </si>
  <si>
    <t>Bilgi Arşivi Yayınları</t>
  </si>
  <si>
    <t>9786259800905</t>
  </si>
  <si>
    <t>https://online.fliphtml5.com/udqwy/byqm/</t>
  </si>
  <si>
    <t>9786256630529</t>
  </si>
  <si>
    <t>https://app.karakok.net/spShowFlip/1557</t>
  </si>
  <si>
    <t>9786257532785</t>
  </si>
  <si>
    <t>https://online.fliphtml5.com/udqwy/lcil/</t>
  </si>
  <si>
    <t>9786052756751</t>
  </si>
  <si>
    <t>https://online.fliphtml5.com/cotrr/xubu/</t>
  </si>
  <si>
    <t>9786256412972</t>
  </si>
  <si>
    <t>9786256040496</t>
  </si>
  <si>
    <t>9786258160642</t>
  </si>
  <si>
    <t>9786255801142</t>
  </si>
  <si>
    <t>https://online.fliphtml5.com/chncu/bysh/</t>
  </si>
  <si>
    <t>9786256911338</t>
  </si>
  <si>
    <t>https://app.karakok.net/spShowFlip/2159</t>
  </si>
  <si>
    <t>9786052757628</t>
  </si>
  <si>
    <t>https://online.fliphtml5.com/cotrr/hdvv/</t>
  </si>
  <si>
    <t>9786256921726</t>
  </si>
  <si>
    <t>https://app.karakok.net/spShowFlip/1922</t>
  </si>
  <si>
    <t>9786259793658</t>
  </si>
  <si>
    <t>9786256712423</t>
  </si>
  <si>
    <t>https://online.fliphtml5.com/udqwy/ehfc/</t>
  </si>
  <si>
    <t>9786256911215</t>
  </si>
  <si>
    <t>https://app.karakok.net/spShowFlip/2165</t>
  </si>
  <si>
    <t>9786257532853</t>
  </si>
  <si>
    <t>https://online.fliphtml5.com/udqwy/qdll/</t>
  </si>
  <si>
    <t>9786052757635</t>
  </si>
  <si>
    <t>https://online.fliphtml5.com/cotrr/kilo/</t>
  </si>
  <si>
    <t>9786256142244</t>
  </si>
  <si>
    <t>9786256040878</t>
  </si>
  <si>
    <t>https://online.fliphtml5.com/chncu/bzor/</t>
  </si>
  <si>
    <t>9786258160680</t>
  </si>
  <si>
    <t>ORNEK00000060</t>
  </si>
  <si>
    <t>ORNEK00000077</t>
  </si>
  <si>
    <t>9786052758250</t>
  </si>
  <si>
    <t>9786256921917</t>
  </si>
  <si>
    <t>ORNEK00000016</t>
  </si>
  <si>
    <t>ORNEK00000023</t>
  </si>
  <si>
    <t>ORNEK00000099</t>
  </si>
  <si>
    <t>https://online.fliphtml5.com/udqwy/veus/</t>
  </si>
  <si>
    <t>9786052758328</t>
  </si>
  <si>
    <t>9786256142725</t>
  </si>
  <si>
    <t>ORNEK00000068</t>
  </si>
  <si>
    <t>ORNEK00000085</t>
  </si>
  <si>
    <t>9786256712584</t>
  </si>
  <si>
    <t>https://online.fliphtml5.com/udqwy/tctd/</t>
  </si>
  <si>
    <t>9786052758885</t>
  </si>
  <si>
    <t>9786259205755</t>
  </si>
  <si>
    <t>Coğrafya</t>
  </si>
  <si>
    <t>https://online.fliphtml5.com/kbscf/ykgk/</t>
  </si>
  <si>
    <t>9786256040533</t>
  </si>
  <si>
    <t>https://online.fliphtml5.com/chncu/zjwx/</t>
  </si>
  <si>
    <t>ORNEK00000050</t>
  </si>
  <si>
    <t>Coğrafya Gurmesi Yayınları</t>
  </si>
  <si>
    <t>9786256630468</t>
  </si>
  <si>
    <t>https://app.karakok.net/spShowFlip/1545</t>
  </si>
  <si>
    <t>9786052756690</t>
  </si>
  <si>
    <t>https://online.fliphtml5.com/cotrr/xgsh/</t>
  </si>
  <si>
    <t>9786256921474</t>
  </si>
  <si>
    <t>https://app.karakok.net/spShowFlip/2139</t>
  </si>
  <si>
    <t>9786259800912</t>
  </si>
  <si>
    <t>https://online.fliphtml5.com/udqwy/mpgu/</t>
  </si>
  <si>
    <t>9786259490045</t>
  </si>
  <si>
    <t>9786256630536</t>
  </si>
  <si>
    <t>https://app.karakok.net/spShowFlip/1552</t>
  </si>
  <si>
    <t>9786257532730</t>
  </si>
  <si>
    <t>9786052756768</t>
  </si>
  <si>
    <t>https://online.fliphtml5.com/cotrr/vmkd/</t>
  </si>
  <si>
    <t>9786256412996</t>
  </si>
  <si>
    <t>9786256040618</t>
  </si>
  <si>
    <t>https://online.fliphtml5.com/chncu/jbyq/</t>
  </si>
  <si>
    <t>9786258160659</t>
  </si>
  <si>
    <t>9786259052632</t>
  </si>
  <si>
    <t>https://online.fliphtml5.com/kbscf/xztx/</t>
  </si>
  <si>
    <t>9786255801104</t>
  </si>
  <si>
    <t>https://online.fliphtml5.com/chncu/gsqk/</t>
  </si>
  <si>
    <t>ORNEK00000051</t>
  </si>
  <si>
    <t>9786256911178</t>
  </si>
  <si>
    <t>https://app.karakok.net/spShowFlip/2161</t>
  </si>
  <si>
    <t>9786052757604</t>
  </si>
  <si>
    <t>https://online.fliphtml5.com/cotrr/odoj/</t>
  </si>
  <si>
    <t>9786256921733</t>
  </si>
  <si>
    <t>https://app.karakok.net/spShowFlip/1916</t>
  </si>
  <si>
    <t>9786256712386</t>
  </si>
  <si>
    <t>9786259490052</t>
  </si>
  <si>
    <t>9786256457058</t>
  </si>
  <si>
    <t>https://app.karakok.net/spShowFlip/2162</t>
  </si>
  <si>
    <t>9786257532884</t>
  </si>
  <si>
    <t>https://online.fliphtml5.com/udqwy/qnmp/</t>
  </si>
  <si>
    <t>9786052757611</t>
  </si>
  <si>
    <t>https://online.fliphtml5.com/cotrr/fdhk/</t>
  </si>
  <si>
    <t>9786256142251</t>
  </si>
  <si>
    <t>9786255801012</t>
  </si>
  <si>
    <t>https://online.fliphtml5.com/chncu/cwos/</t>
  </si>
  <si>
    <t>9786258160666</t>
  </si>
  <si>
    <t>ORNEK00000055</t>
  </si>
  <si>
    <t>ORNEK00000052</t>
  </si>
  <si>
    <t>ORNEK00000071</t>
  </si>
  <si>
    <t>9786052758267</t>
  </si>
  <si>
    <t>9786256921979</t>
  </si>
  <si>
    <t>9786256712690</t>
  </si>
  <si>
    <t>https://online.fliphtml5.com/udqwy/yntn/</t>
  </si>
  <si>
    <t>ORNEK00000053</t>
  </si>
  <si>
    <t>ORNEK00000094</t>
  </si>
  <si>
    <t>https://online.fliphtml5.com/udqwy/yxzb/</t>
  </si>
  <si>
    <t>9786052758335</t>
  </si>
  <si>
    <t>9786256142701</t>
  </si>
  <si>
    <t>ORNEK00000062</t>
  </si>
  <si>
    <t>ORNEK00000079</t>
  </si>
  <si>
    <t>9786256712553</t>
  </si>
  <si>
    <t>https://online.fliphtml5.com/udqwy/hpbi/</t>
  </si>
  <si>
    <t>9786259490076</t>
  </si>
  <si>
    <t>9786052758878</t>
  </si>
  <si>
    <t>9786256911130</t>
  </si>
  <si>
    <t>Felsefe</t>
  </si>
  <si>
    <t>https://app.karakok.net/spShowFlip/2160</t>
  </si>
  <si>
    <t>9786256921689</t>
  </si>
  <si>
    <t>https://app.karakok.net/spShowFlip/1918</t>
  </si>
  <si>
    <t>9786256712218</t>
  </si>
  <si>
    <t>https://online.fliphtml5.com/udqwy/lixu/</t>
  </si>
  <si>
    <t>9786256457041</t>
  </si>
  <si>
    <t>https://app.karakok.net/spShowFlip/2163</t>
  </si>
  <si>
    <t>9786256142268</t>
  </si>
  <si>
    <t>9786255801159</t>
  </si>
  <si>
    <t>https://online.fliphtml5.com/chncu/unbs/</t>
  </si>
  <si>
    <t>ORNEK00000073</t>
  </si>
  <si>
    <t>9786052758342</t>
  </si>
  <si>
    <t>9786256921955</t>
  </si>
  <si>
    <t>ORNEK00000019</t>
  </si>
  <si>
    <t>9786256142718</t>
  </si>
  <si>
    <t>ORNEK00000064</t>
  </si>
  <si>
    <t>ORNEK00000081</t>
  </si>
  <si>
    <t>9786258715040</t>
  </si>
  <si>
    <t>Sosyal Bilimler</t>
  </si>
  <si>
    <t>ORNEK00000012</t>
  </si>
  <si>
    <t>Alan Yayınları</t>
  </si>
  <si>
    <t>Tüm Dersler</t>
  </si>
  <si>
    <t>ORNEK00000014</t>
  </si>
  <si>
    <t>9786256712249</t>
  </si>
  <si>
    <t>Kamp Kitabı</t>
  </si>
  <si>
    <t>ORNEK00000013</t>
  </si>
  <si>
    <t>ORNEK00000015</t>
  </si>
  <si>
    <t>9786256412989</t>
  </si>
  <si>
    <t>Din Kültürü</t>
  </si>
  <si>
    <t>9786256142275</t>
  </si>
  <si>
    <t>Tekli İndirim %</t>
  </si>
  <si>
    <t>Toplu İndirim %</t>
  </si>
  <si>
    <t>Tasarım Ayarı</t>
  </si>
  <si>
    <t>Değer</t>
  </si>
  <si>
    <t>Başlık</t>
  </si>
  <si>
    <t>2026-2027 Öğretmen Fiyat Listesi</t>
  </si>
  <si>
    <t>Alt Başlık</t>
  </si>
  <si>
    <t>Dersi seçin, sınıflara ayrılmış kitapları ve fiyatları görüntüleyin.</t>
  </si>
  <si>
    <t>Ana Renk</t>
  </si>
  <si>
    <t>#173F5F</t>
  </si>
  <si>
    <t>Vurgu Rengi</t>
  </si>
  <si>
    <t>#F2B134</t>
  </si>
  <si>
    <t>Fiyat Listesi Yönetim Dosyası</t>
  </si>
  <si>
    <t>Nasıl kullanılır?</t>
  </si>
  <si>
    <t>1</t>
  </si>
  <si>
    <t>Yeni ürünü Ürünler sayfasındaki tablonun en altına ekleyin.</t>
  </si>
  <si>
    <t>2</t>
  </si>
  <si>
    <t>Fiyat sütunu normal satış fiyatıdır.</t>
  </si>
  <si>
    <t>3</t>
  </si>
  <si>
    <t>İndirimler sayfasında Yayın ve Sınıf bazında Tekli/Toplu indirim oranlarını yazın.</t>
  </si>
  <si>
    <t>4</t>
  </si>
  <si>
    <t>Ürünler sayfasındaki İnd ve Toplu fiyatlar otomatik hesaplanır.</t>
  </si>
  <si>
    <t>5</t>
  </si>
  <si>
    <t>Tanıtım Linki varsa kitap adına otomatik olarak bağlanır.</t>
  </si>
  <si>
    <t>6</t>
  </si>
  <si>
    <t>Dosya GitHub'a yüklendiğinde web programı ve PDF otomatik yenilenir.</t>
  </si>
  <si>
    <t>7</t>
  </si>
  <si>
    <t>Yeni bir yayınevi ekleyip Güncelle düğmesine bastığınızda Ayarlar listesine otomatik eklenir. Karşısındaki Kitabevi Kodu'nu seçin.</t>
  </si>
  <si>
    <t>8</t>
  </si>
  <si>
    <t>Logo göstermek için Sayfa Ayarları sayfasındaki Logo Linki alanına doğrudan görsel bağlantısını yapıştırın.</t>
  </si>
  <si>
    <t>Sınıf Ayarları</t>
  </si>
  <si>
    <t>Kitabevi Listesi</t>
  </si>
  <si>
    <t>Yayınevi - Kitabevi Eşleştirmesi</t>
  </si>
  <si>
    <t>Kademe</t>
  </si>
  <si>
    <t>Kitabevi Kodu</t>
  </si>
  <si>
    <t>Kitabevi Adı</t>
  </si>
  <si>
    <t>Yayınevi</t>
  </si>
  <si>
    <t>5. Sınıf</t>
  </si>
  <si>
    <t>Ortaokul</t>
  </si>
  <si>
    <t>kitabevi-1</t>
  </si>
  <si>
    <t>İşler Kitabevi</t>
  </si>
  <si>
    <t>kitabevi-2</t>
  </si>
  <si>
    <t>6. Sınıf</t>
  </si>
  <si>
    <t>Mega Kitabevi</t>
  </si>
  <si>
    <t>7. Sınıf</t>
  </si>
  <si>
    <t>8. Sınıf</t>
  </si>
  <si>
    <t>Lise</t>
  </si>
  <si>
    <t>Sayfa Başlığı</t>
  </si>
  <si>
    <t>Açıklama</t>
  </si>
  <si>
    <t>Aktif</t>
  </si>
  <si>
    <t>Ana Sayfa Sırası</t>
  </si>
  <si>
    <t>Logo Linki</t>
  </si>
  <si>
    <t>Gösterilecek Diğer Liste</t>
  </si>
  <si>
    <t>Ortaokul kitapları ve güncel fiyat listesi</t>
  </si>
  <si>
    <t>#8B1E2D</t>
  </si>
  <si>
    <t>Evet</t>
  </si>
  <si>
    <t>assets/logos/isler-kitabevi.png</t>
  </si>
  <si>
    <t>kitabevi-2 | Ortaokul</t>
  </si>
  <si>
    <t>Lise kitapları ve güncel fiyat listesi</t>
  </si>
  <si>
    <t>kitabevi-2 | Lise</t>
  </si>
  <si>
    <t>#211F20</t>
  </si>
  <si>
    <t>#F6B500</t>
  </si>
  <si>
    <t>assets/logos/mega-kitabevi.png</t>
  </si>
  <si>
    <t>Yok</t>
  </si>
  <si>
    <t>Ad Soyad</t>
  </si>
  <si>
    <t>Telefon</t>
  </si>
  <si>
    <t>WhatsApp</t>
  </si>
  <si>
    <t>Aytaç Arslan</t>
  </si>
  <si>
    <t>5345556747</t>
  </si>
  <si>
    <t>Emre Arslan</t>
  </si>
  <si>
    <t>5466779329</t>
  </si>
  <si>
    <t>Furkan ÖZKAN</t>
  </si>
  <si>
    <t>5434333319</t>
  </si>
  <si>
    <t>Optik Yayınları</t>
  </si>
  <si>
    <t>Fen Bilimleri</t>
  </si>
  <si>
    <t>Sosyal Bilgiler</t>
  </si>
  <si>
    <t>-</t>
  </si>
  <si>
    <t>İnkılap Tarihi</t>
  </si>
  <si>
    <t>İngilizce</t>
  </si>
  <si>
    <t>Konu Destekli</t>
  </si>
  <si>
    <t>Maarif Tyt</t>
  </si>
  <si>
    <t>https://online.fliphtml5.com/nnalh/cktz/</t>
  </si>
  <si>
    <t>https://online.fliphtml5.com/nnalh/luxj/</t>
  </si>
  <si>
    <t>https://online.fliphtml5.com/nnalh/rwbh/</t>
  </si>
  <si>
    <t>https://online.fliphtml5.com/nnalh/pijg/</t>
  </si>
  <si>
    <t>https://online.fliphtml5.com/nnalh/lraw/</t>
  </si>
  <si>
    <t>https://online.fliphtml5.com/nnalh/ppbg/</t>
  </si>
  <si>
    <t>https://online.fliphtml5.com/nnalh/qqya/</t>
  </si>
  <si>
    <t>https://online.fliphtml5.com/nnalh/nbqo/</t>
  </si>
  <si>
    <t>https://online.fliphtml5.com/nnalh/rryj/</t>
  </si>
  <si>
    <t>https://online.fliphtml5.com/nnalh/izmi/</t>
  </si>
  <si>
    <t>https://online.fliphtml5.com/nnalh/axqm/</t>
  </si>
  <si>
    <t>https://online.fliphtml5.com/nnalh/xzgg/</t>
  </si>
  <si>
    <t>https://online.fliphtml5.com/nnalh/eqxu/</t>
  </si>
  <si>
    <t>https://online.fliphtml5.com/nnalh/ogfs/</t>
  </si>
  <si>
    <t>İŞLER KİTABEVİ</t>
  </si>
  <si>
    <t>MEGA KİTABEVİ</t>
  </si>
  <si>
    <t>Etkinlikli</t>
  </si>
  <si>
    <t>https://online.fliphtml5.com/udqwy/wrbh/</t>
  </si>
  <si>
    <t>https://online.fliphtml5.com/udqwy/poop/</t>
  </si>
  <si>
    <t>https://online.fliphtml5.com/udqwy/vkak/</t>
  </si>
  <si>
    <t>https://online.fliphtml5.com/udqwy/iakj/</t>
  </si>
  <si>
    <t>https://online.fliphtml5.com/udqwy/xatc/</t>
  </si>
  <si>
    <t>https://online.fliphtml5.com/udqwy/jqmy/</t>
  </si>
  <si>
    <t>https://online.fliphtml5.com/udqwy/aota/</t>
  </si>
  <si>
    <t>https://online.fliphtml5.com/udqwy/cxgy/</t>
  </si>
  <si>
    <t>Orijinal Yayınları</t>
  </si>
  <si>
    <t>https://online.fliphtml5.com/udqwy/kjsb/</t>
  </si>
  <si>
    <t>https://online.fliphtml5.com/udqwy/dasl/</t>
  </si>
  <si>
    <t>https://online.fliphtml5.com/udqwy/ypyl/</t>
  </si>
  <si>
    <t>https://online.fliphtml5.com/udqwy/dtzq/</t>
  </si>
  <si>
    <t>https://online.fliphtml5.com/udqwy/yivk/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</si>
</sst>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₺#,##0.00"/>
  </numFmts>
  <fonts count="10">
    <font>
      <sz val="11"/>
      <name val="Carlito"/>
    </font>
    <font>
      <b/>
      <sz val="11"/>
      <color rgb="FFFFFFFF"/>
      <name val="Carlito"/>
    </font>
    <font>
      <sz val="10"/>
      <color rgb="FF17212B"/>
      <name val="Carlito"/>
    </font>
    <font>
      <b/>
      <sz val="18"/>
      <color rgb="FFFFFFFF"/>
      <name val="Carlito"/>
    </font>
    <font>
      <b/>
      <sz val="11"/>
      <color rgb="FF17212B"/>
      <name val="Carlito"/>
    </font>
    <font>
      <b/>
      <sz val="11"/>
      <color rgb="FF173F5F"/>
      <name val="Carlito"/>
    </font>
    <font>
      <sz val="11"/>
      <color theme="10"/>
      <name val="Carlito"/>
    </font>
    <font>
      <b/>
      <sz val="14"/>
      <color rgb="FFFFFFFF"/>
      <name val="Carlito"/>
    </font>
    <font>
      <b/>
      <sz val="12"/>
      <color rgb="FFFFFFFF"/>
      <name val="Carlito"/>
    </font>
    <font>
      <sz val="8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FFF4CC"/>
      </patternFill>
    </fill>
    <fill>
      <patternFill patternType="solid">
        <fgColor rgb="FFE9F8EF"/>
      </patternFill>
    </fill>
    <fill>
      <patternFill patternType="solid">
        <fgColor rgb="FFF2B134"/>
      </patternFill>
    </fill>
    <fill>
      <patternFill patternType="solid">
        <fgColor rgb="FFEAF2F7"/>
      </patternFill>
    </fill>
    <fill>
      <patternFill patternType="solid">
        <fgColor rgb="FFFFF4CC"/>
      </patternFill>
    </fill>
    <fill>
      <patternFill patternType="solid">
        <fgColor rgb="FF173F5F"/>
      </patternFill>
    </fill>
    <fill>
      <patternFill patternType="solid">
        <fgColor rgb="FFF2B134"/>
      </patternFill>
    </fill>
    <fill>
      <patternFill patternType="solid">
        <fgColor rgb="FF173F5F"/>
      </patternFill>
    </fill>
    <fill>
      <patternFill patternType="solid">
        <fgColor rgb="FFF2B134"/>
      </patternFill>
    </fill>
    <fill>
      <patternFill patternType="solid">
        <fgColor rgb="FF173F5F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173F5F"/>
      </patternFill>
    </fill>
    <fill>
      <patternFill patternType="solid">
        <fgColor rgb="FFFFF4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medium">
        <color rgb="FF173F5F"/>
      </left>
      <right/>
      <top style="medium">
        <color rgb="FF173F5F"/>
      </top>
      <bottom style="medium">
        <color rgb="FF173F5F"/>
      </bottom>
      <diagonal/>
    </border>
    <border>
      <left/>
      <right/>
      <top style="medium">
        <color rgb="FF173F5F"/>
      </top>
      <bottom style="medium">
        <color rgb="FF173F5F"/>
      </bottom>
      <diagonal/>
    </border>
    <border>
      <left/>
      <right style="medium">
        <color rgb="FF173F5F"/>
      </right>
      <top style="medium">
        <color rgb="FF173F5F"/>
      </top>
      <bottom style="medium">
        <color rgb="FF173F5F"/>
      </bottom>
      <diagonal/>
    </border>
    <border>
      <left/>
      <right/>
      <top/>
      <bottom style="thin">
        <color rgb="FFDDE3E8"/>
      </bottom>
      <diagonal/>
    </border>
    <border>
      <left/>
      <right/>
      <top style="thin">
        <color rgb="FFDDE3E8"/>
      </top>
      <bottom style="thin">
        <color rgb="FFDDE3E8"/>
      </bottom>
      <diagonal/>
    </border>
    <border>
      <left/>
      <right/>
      <top style="thin">
        <color rgb="FFDDE3E8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9" fontId="0" fillId="3" borderId="1" xfId="0" applyNumberFormat="1" applyFont="1" applyFill="1" applyBorder="1" applyAlignment="1">
      <alignment horizontal="center" vertical="center"/>
    </xf>
    <xf numFmtId="9" fontId="0" fillId="3" borderId="2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164" fontId="2" fillId="0" borderId="2" xfId="0" applyNumberFormat="1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/>
    <xf numFmtId="0" fontId="0" fillId="3" borderId="0" xfId="0" applyNumberFormat="1" applyFont="1" applyFill="1" applyBorder="1"/>
    <xf numFmtId="0" fontId="6" fillId="0" borderId="2" xfId="1" applyNumberFormat="1" applyFill="1" applyBorder="1" applyAlignment="1">
      <alignment vertical="center"/>
    </xf>
    <xf numFmtId="49" fontId="0" fillId="0" borderId="0" xfId="0" applyNumberFormat="1" applyFont="1" applyFill="1" applyBorder="1"/>
    <xf numFmtId="0" fontId="4" fillId="9" borderId="0" xfId="0" applyNumberFormat="1" applyFont="1" applyFill="1" applyBorder="1" applyAlignment="1">
      <alignment horizontal="center"/>
    </xf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7" borderId="7" xfId="0" applyNumberFormat="1" applyFont="1" applyFill="1" applyBorder="1"/>
    <xf numFmtId="0" fontId="0" fillId="7" borderId="8" xfId="0" applyNumberFormat="1" applyFont="1" applyFill="1" applyBorder="1"/>
    <xf numFmtId="0" fontId="0" fillId="7" borderId="9" xfId="0" applyNumberFormat="1" applyFont="1" applyFill="1" applyBorder="1"/>
    <xf numFmtId="0" fontId="1" fillId="8" borderId="0" xfId="0" applyNumberFormat="1" applyFont="1" applyFill="1" applyBorder="1" applyAlignment="1">
      <alignment horizontal="center" wrapText="1"/>
    </xf>
    <xf numFmtId="0" fontId="0" fillId="7" borderId="7" xfId="0" applyNumberFormat="1" applyFont="1" applyFill="1" applyBorder="1" applyAlignment="1">
      <alignment vertical="center"/>
    </xf>
    <xf numFmtId="0" fontId="0" fillId="7" borderId="8" xfId="0" applyNumberFormat="1" applyFont="1" applyFill="1" applyBorder="1" applyAlignment="1">
      <alignment vertical="center"/>
    </xf>
    <xf numFmtId="0" fontId="0" fillId="7" borderId="9" xfId="0" applyNumberFormat="1" applyFont="1" applyFill="1" applyBorder="1" applyAlignment="1">
      <alignment vertical="center"/>
    </xf>
    <xf numFmtId="0" fontId="1" fillId="8" borderId="0" xfId="0" applyNumberFormat="1" applyFont="1" applyFill="1" applyBorder="1" applyAlignment="1">
      <alignment horizontal="center"/>
    </xf>
    <xf numFmtId="49" fontId="0" fillId="7" borderId="7" xfId="0" applyNumberFormat="1" applyFont="1" applyFill="1" applyBorder="1" applyAlignment="1">
      <alignment vertical="center"/>
    </xf>
    <xf numFmtId="49" fontId="0" fillId="7" borderId="8" xfId="0" applyNumberFormat="1" applyFont="1" applyFill="1" applyBorder="1" applyAlignment="1">
      <alignment vertical="center"/>
    </xf>
    <xf numFmtId="49" fontId="0" fillId="7" borderId="9" xfId="0" applyNumberFormat="1" applyFont="1" applyFill="1" applyBorder="1" applyAlignment="1">
      <alignment vertical="center"/>
    </xf>
    <xf numFmtId="0" fontId="4" fillId="11" borderId="0" xfId="0" applyNumberFormat="1" applyFont="1" applyFill="1" applyBorder="1" applyAlignment="1">
      <alignment horizontal="center" vertical="center"/>
    </xf>
    <xf numFmtId="0" fontId="1" fillId="12" borderId="0" xfId="0" applyNumberFormat="1" applyFont="1" applyFill="1" applyBorder="1" applyAlignment="1">
      <alignment horizontal="center" vertical="center"/>
    </xf>
    <xf numFmtId="0" fontId="2" fillId="13" borderId="0" xfId="0" applyNumberFormat="1" applyFont="1" applyFill="1" applyBorder="1" applyAlignment="1">
      <alignment vertical="center"/>
    </xf>
    <xf numFmtId="0" fontId="0" fillId="14" borderId="1" xfId="0" applyNumberFormat="1" applyFont="1" applyFill="1" applyBorder="1" applyAlignment="1">
      <alignment vertical="center"/>
    </xf>
    <xf numFmtId="0" fontId="0" fillId="14" borderId="2" xfId="0" applyNumberFormat="1" applyFont="1" applyFill="1" applyBorder="1" applyAlignment="1">
      <alignment vertical="center"/>
    </xf>
    <xf numFmtId="0" fontId="1" fillId="15" borderId="0" xfId="0" applyNumberFormat="1" applyFont="1" applyFill="1" applyBorder="1" applyAlignment="1">
      <alignment horizontal="center" vertical="center" wrapText="1"/>
    </xf>
    <xf numFmtId="0" fontId="0" fillId="16" borderId="0" xfId="0" applyNumberFormat="1" applyFont="1" applyFill="1" applyBorder="1"/>
    <xf numFmtId="1" fontId="0" fillId="0" borderId="0" xfId="0" applyNumberFormat="1"/>
    <xf numFmtId="0" fontId="0" fillId="0" borderId="0" xfId="0" applyNumberFormat="1" applyFont="1" applyFill="1" applyBorder="1" applyAlignment="1">
      <alignment vertical="center"/>
    </xf>
    <xf numFmtId="0" fontId="6" fillId="0" borderId="0" xfId="1"/>
    <xf numFmtId="1" fontId="1" fillId="2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vertical="center"/>
    </xf>
    <xf numFmtId="1" fontId="2" fillId="0" borderId="2" xfId="0" applyNumberFormat="1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7" fillId="8" borderId="0" xfId="0" applyNumberFormat="1" applyFont="1" applyFill="1" applyBorder="1" applyAlignment="1">
      <alignment vertical="center"/>
    </xf>
    <xf numFmtId="0" fontId="8" fillId="10" borderId="0" xfId="0" applyNumberFormat="1" applyFont="1" applyFill="1" applyBorder="1" applyAlignment="1">
      <alignment horizontal="center" vertical="center"/>
    </xf>
  </cellXfs>
  <cellStyles count="2">
    <cellStyle name="Köprü" xfId="1" xr:uid="{00000000-0005-0000-0000-000000000000}"/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UrunlerTablosu" displayName="UrunlerTablosu" ref="A1:K987" totalsRowShown="0">
  <autoFilter ref="A1:K987" xr:uid="{00000000-000C-0000-FFFF-FFFF00000000}"/>
  <tableColumns count="11">
    <tableColumn id="1" xr3:uid="{00000000-0010-0000-0000-000001000000}" name="Barkod" dataDxfId="0"/>
    <tableColumn id="2" xr3:uid="{00000000-0010-0000-0000-000002000000}" name="Yayın"/>
    <tableColumn id="3" xr3:uid="{00000000-0010-0000-0000-000003000000}" name="Sınıf"/>
    <tableColumn id="4" xr3:uid="{00000000-0010-0000-0000-000004000000}" name="Ders"/>
    <tableColumn id="5" xr3:uid="{00000000-0010-0000-0000-000005000000}" name="Genel Tür"/>
    <tableColumn id="6" xr3:uid="{00000000-0010-0000-0000-000006000000}" name="Tür"/>
    <tableColumn id="7" xr3:uid="{00000000-0010-0000-0000-000007000000}" name="Fiyat"/>
    <tableColumn id="8" xr3:uid="{00000000-0010-0000-0000-000008000000}" name="İnd"/>
    <tableColumn id="9" xr3:uid="{00000000-0010-0000-0000-000009000000}" name="Toplu"/>
    <tableColumn id="10" xr3:uid="{00000000-0010-0000-0000-00000A000000}" name="Tanıtım Linki"/>
    <tableColumn id="11" xr3:uid="{00000000-0010-0000-0000-00000B000000}" name="Yeni Barkodl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dirimlerTablosu" displayName="IndirimlerTablosu" ref="A1:D210" totalsRowShown="0">
  <tableColumns count="4">
    <tableColumn id="1" xr3:uid="{00000000-0010-0000-0100-000001000000}" name="Yayın"/>
    <tableColumn id="2" xr3:uid="{00000000-0010-0000-0100-000002000000}" name="Sınıf"/>
    <tableColumn id="3" xr3:uid="{00000000-0010-0000-0100-000003000000}" name="Tekli İndirim %"/>
    <tableColumn id="4" xr3:uid="{00000000-0010-0000-0100-000004000000}" name="Toplu İndirim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nifAyarlariTablosu" displayName="SinifAyarlariTablosu" ref="A3:B12" totalsRowShown="0">
  <tableColumns count="2">
    <tableColumn id="1" xr3:uid="{00000000-0010-0000-0200-000001000000}" name="Sınıf"/>
    <tableColumn id="2" xr3:uid="{00000000-0010-0000-0200-000002000000}" name="Kade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itabeviListesiTablosu" displayName="KitabeviListesiTablosu" ref="D3:E20" totalsRowShown="0">
  <tableColumns count="2">
    <tableColumn id="1" xr3:uid="{00000000-0010-0000-0300-000001000000}" name="Kitabevi Kodu"/>
    <tableColumn id="2" xr3:uid="{00000000-0010-0000-0300-000002000000}" name="Kitabevi Adı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ayfaAyarlariTablosu" displayName="SayfaAyarlariTablosu" ref="A1:H20" totalsRowShown="0">
  <tableColumns count="8">
    <tableColumn id="1" xr3:uid="{00000000-0010-0000-0400-000001000000}" name="Kitabevi Kodu"/>
    <tableColumn id="2" xr3:uid="{00000000-0010-0000-0400-000002000000}" name="Kademe"/>
    <tableColumn id="3" xr3:uid="{00000000-0010-0000-0400-000003000000}" name="Sayfa Başlığı"/>
    <tableColumn id="4" xr3:uid="{00000000-0010-0000-0400-000004000000}" name="Açıklama"/>
    <tableColumn id="5" xr3:uid="{00000000-0010-0000-0400-000005000000}" name="Ana Renk"/>
    <tableColumn id="6" xr3:uid="{00000000-0010-0000-0400-000006000000}" name="Vurgu Rengi"/>
    <tableColumn id="7" xr3:uid="{00000000-0010-0000-0400-000007000000}" name="Aktif"/>
    <tableColumn id="8" xr3:uid="{00000000-0010-0000-0400-000008000000}" name="Ana Sayfa Sırası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letisimTablosu" displayName="IletisimTablosu" ref="A1:E40" totalsRowShown="0">
  <tableColumns count="5">
    <tableColumn id="1" xr3:uid="{00000000-0010-0000-0500-000001000000}" name="Kitabevi Kodu"/>
    <tableColumn id="2" xr3:uid="{00000000-0010-0000-0500-000002000000}" name="Kademe"/>
    <tableColumn id="3" xr3:uid="{00000000-0010-0000-0500-000003000000}" name="Ad Soyad"/>
    <tableColumn id="4" xr3:uid="{00000000-0010-0000-0500-000004000000}" name="Telefon"/>
    <tableColumn id="5" xr3:uid="{00000000-0010-0000-0500-000005000000}" name="WhatsA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nline.fliphtml5.com/wrbmv/wcqa/" TargetMode="External"/><Relationship Id="rId21" Type="http://schemas.openxmlformats.org/officeDocument/2006/relationships/hyperlink" Target="https://online.fliphtml5.com/cotrr/ebfi/" TargetMode="External"/><Relationship Id="rId42" Type="http://schemas.openxmlformats.org/officeDocument/2006/relationships/hyperlink" Target="https://online.fliphtml5.com/udqwy/byqm/" TargetMode="External"/><Relationship Id="rId47" Type="http://schemas.openxmlformats.org/officeDocument/2006/relationships/hyperlink" Target="https://online.fliphtml5.com/kbscf/xztx/" TargetMode="External"/><Relationship Id="rId63" Type="http://schemas.openxmlformats.org/officeDocument/2006/relationships/hyperlink" Target="https://online.fliphtml5.com/nnalh/ogfs/" TargetMode="External"/><Relationship Id="rId68" Type="http://schemas.openxmlformats.org/officeDocument/2006/relationships/hyperlink" Target="https://online.fliphtml5.com/udqwy/xatc/" TargetMode="External"/><Relationship Id="rId16" Type="http://schemas.openxmlformats.org/officeDocument/2006/relationships/hyperlink" Target="https://online.fliphtml5.com/udqwy/afjs/" TargetMode="External"/><Relationship Id="rId11" Type="http://schemas.openxmlformats.org/officeDocument/2006/relationships/hyperlink" Target="https://online.fliphtml5.com/wrbmv/yois/" TargetMode="External"/><Relationship Id="rId24" Type="http://schemas.openxmlformats.org/officeDocument/2006/relationships/hyperlink" Target="https://online.fliphtml5.com/kbscf/uclz/" TargetMode="External"/><Relationship Id="rId32" Type="http://schemas.openxmlformats.org/officeDocument/2006/relationships/hyperlink" Target="https://online.fliphtml5.com/udqwy/xwsi/" TargetMode="External"/><Relationship Id="rId37" Type="http://schemas.openxmlformats.org/officeDocument/2006/relationships/hyperlink" Target="https://online.fliphtml5.com/udqwy/arvp/" TargetMode="External"/><Relationship Id="rId40" Type="http://schemas.openxmlformats.org/officeDocument/2006/relationships/hyperlink" Target="https://online.fliphtml5.com/udqwy/nxnv/" TargetMode="External"/><Relationship Id="rId45" Type="http://schemas.openxmlformats.org/officeDocument/2006/relationships/hyperlink" Target="https://online.fliphtml5.com/cotrr/xgsh/" TargetMode="External"/><Relationship Id="rId53" Type="http://schemas.openxmlformats.org/officeDocument/2006/relationships/hyperlink" Target="https://online.fliphtml5.com/nnalh/pijg/" TargetMode="External"/><Relationship Id="rId58" Type="http://schemas.openxmlformats.org/officeDocument/2006/relationships/hyperlink" Target="https://online.fliphtml5.com/nnalh/rryj/" TargetMode="External"/><Relationship Id="rId66" Type="http://schemas.openxmlformats.org/officeDocument/2006/relationships/hyperlink" Target="https://online.fliphtml5.com/udqwy/vkak/" TargetMode="External"/><Relationship Id="rId74" Type="http://schemas.openxmlformats.org/officeDocument/2006/relationships/hyperlink" Target="https://online.fliphtml5.com/udqwy/ypyl/" TargetMode="External"/><Relationship Id="rId5" Type="http://schemas.openxmlformats.org/officeDocument/2006/relationships/hyperlink" Target="https://online.fliphtml5.com/kbscf/nfsd/" TargetMode="External"/><Relationship Id="rId61" Type="http://schemas.openxmlformats.org/officeDocument/2006/relationships/hyperlink" Target="https://online.fliphtml5.com/nnalh/xzgg/" TargetMode="External"/><Relationship Id="rId19" Type="http://schemas.openxmlformats.org/officeDocument/2006/relationships/hyperlink" Target="https://online.fliphtml5.com/wrbmv/etlo/" TargetMode="External"/><Relationship Id="rId14" Type="http://schemas.openxmlformats.org/officeDocument/2006/relationships/hyperlink" Target="https://online.fliphtml5.com/kbscf/ifyh/" TargetMode="External"/><Relationship Id="rId22" Type="http://schemas.openxmlformats.org/officeDocument/2006/relationships/hyperlink" Target="https://online.fliphtml5.com/kbscf/pqrm/" TargetMode="External"/><Relationship Id="rId27" Type="http://schemas.openxmlformats.org/officeDocument/2006/relationships/hyperlink" Target="https://online.fliphtml5.com/cotrr/mgkp/" TargetMode="External"/><Relationship Id="rId30" Type="http://schemas.openxmlformats.org/officeDocument/2006/relationships/hyperlink" Target="https://online.fliphtml5.com/cotrr/jwjt/" TargetMode="External"/><Relationship Id="rId35" Type="http://schemas.openxmlformats.org/officeDocument/2006/relationships/hyperlink" Target="https://online.fliphtml5.com/cotrr/hqex/" TargetMode="External"/><Relationship Id="rId43" Type="http://schemas.openxmlformats.org/officeDocument/2006/relationships/hyperlink" Target="https://online.fliphtml5.com/udqwy/ehfc/" TargetMode="External"/><Relationship Id="rId48" Type="http://schemas.openxmlformats.org/officeDocument/2006/relationships/hyperlink" Target="https://online.fliphtml5.com/udqwy/yntn/" TargetMode="External"/><Relationship Id="rId56" Type="http://schemas.openxmlformats.org/officeDocument/2006/relationships/hyperlink" Target="https://online.fliphtml5.com/nnalh/qqya/" TargetMode="External"/><Relationship Id="rId64" Type="http://schemas.openxmlformats.org/officeDocument/2006/relationships/hyperlink" Target="https://online.fliphtml5.com/udqwy/wrbh/" TargetMode="External"/><Relationship Id="rId69" Type="http://schemas.openxmlformats.org/officeDocument/2006/relationships/hyperlink" Target="https://online.fliphtml5.com/udqwy/jqmy/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s://online.fliphtml5.com/chncu/xxtv/" TargetMode="External"/><Relationship Id="rId51" Type="http://schemas.openxmlformats.org/officeDocument/2006/relationships/hyperlink" Target="https://online.fliphtml5.com/nnalh/cktz/" TargetMode="External"/><Relationship Id="rId72" Type="http://schemas.openxmlformats.org/officeDocument/2006/relationships/hyperlink" Target="https://online.fliphtml5.com/udqwy/kjsb/" TargetMode="External"/><Relationship Id="rId3" Type="http://schemas.openxmlformats.org/officeDocument/2006/relationships/hyperlink" Target="https://online.fliphtml5.com/udqwy/tjur/" TargetMode="External"/><Relationship Id="rId12" Type="http://schemas.openxmlformats.org/officeDocument/2006/relationships/hyperlink" Target="https://online.fliphtml5.com/udqwy/wobl/" TargetMode="External"/><Relationship Id="rId17" Type="http://schemas.openxmlformats.org/officeDocument/2006/relationships/hyperlink" Target="https://online.fliphtml5.com/kbscf/bilu/" TargetMode="External"/><Relationship Id="rId25" Type="http://schemas.openxmlformats.org/officeDocument/2006/relationships/hyperlink" Target="https://online.fliphtml5.com/chncu/zjmx/" TargetMode="External"/><Relationship Id="rId33" Type="http://schemas.openxmlformats.org/officeDocument/2006/relationships/hyperlink" Target="https://online.fliphtml5.com/udqwy/hbis/" TargetMode="External"/><Relationship Id="rId38" Type="http://schemas.openxmlformats.org/officeDocument/2006/relationships/hyperlink" Target="https://online.fliphtml5.com/cotrr/nzux/" TargetMode="External"/><Relationship Id="rId46" Type="http://schemas.openxmlformats.org/officeDocument/2006/relationships/hyperlink" Target="https://online.fliphtml5.com/udqwy/mpgu/" TargetMode="External"/><Relationship Id="rId59" Type="http://schemas.openxmlformats.org/officeDocument/2006/relationships/hyperlink" Target="https://online.fliphtml5.com/nnalh/izmi/" TargetMode="External"/><Relationship Id="rId67" Type="http://schemas.openxmlformats.org/officeDocument/2006/relationships/hyperlink" Target="https://online.fliphtml5.com/udqwy/iakj/" TargetMode="External"/><Relationship Id="rId20" Type="http://schemas.openxmlformats.org/officeDocument/2006/relationships/hyperlink" Target="https://online.fliphtml5.com/udqwy/myzu/" TargetMode="External"/><Relationship Id="rId41" Type="http://schemas.openxmlformats.org/officeDocument/2006/relationships/hyperlink" Target="https://online.fliphtml5.com/kbscf/gitx/" TargetMode="External"/><Relationship Id="rId54" Type="http://schemas.openxmlformats.org/officeDocument/2006/relationships/hyperlink" Target="https://online.fliphtml5.com/nnalh/lraw/" TargetMode="External"/><Relationship Id="rId62" Type="http://schemas.openxmlformats.org/officeDocument/2006/relationships/hyperlink" Target="https://online.fliphtml5.com/nnalh/eqxu/" TargetMode="External"/><Relationship Id="rId70" Type="http://schemas.openxmlformats.org/officeDocument/2006/relationships/hyperlink" Target="https://online.fliphtml5.com/udqwy/aota/" TargetMode="External"/><Relationship Id="rId75" Type="http://schemas.openxmlformats.org/officeDocument/2006/relationships/hyperlink" Target="https://online.fliphtml5.com/udqwy/dtzq/" TargetMode="External"/><Relationship Id="rId1" Type="http://schemas.openxmlformats.org/officeDocument/2006/relationships/hyperlink" Target="https://online.fliphtml5.com/kbscf/eahn/" TargetMode="External"/><Relationship Id="rId6" Type="http://schemas.openxmlformats.org/officeDocument/2006/relationships/hyperlink" Target="https://online.fliphtml5.com/udqwy/peka/" TargetMode="External"/><Relationship Id="rId15" Type="http://schemas.openxmlformats.org/officeDocument/2006/relationships/hyperlink" Target="https://online.fliphtml5.com/udqwy/mdvp/" TargetMode="External"/><Relationship Id="rId23" Type="http://schemas.openxmlformats.org/officeDocument/2006/relationships/hyperlink" Target="https://online.fliphtml5.com/udqwy/atkt/" TargetMode="External"/><Relationship Id="rId28" Type="http://schemas.openxmlformats.org/officeDocument/2006/relationships/hyperlink" Target="https://online.fliphtml5.com/wrbmv/lspl/" TargetMode="External"/><Relationship Id="rId36" Type="http://schemas.openxmlformats.org/officeDocument/2006/relationships/hyperlink" Target="https://online.fliphtml5.com/wrbmv/llma/" TargetMode="External"/><Relationship Id="rId49" Type="http://schemas.openxmlformats.org/officeDocument/2006/relationships/hyperlink" Target="https://online.fliphtml5.com/udqwy/lixu/" TargetMode="External"/><Relationship Id="rId57" Type="http://schemas.openxmlformats.org/officeDocument/2006/relationships/hyperlink" Target="https://online.fliphtml5.com/nnalh/nbqo/" TargetMode="External"/><Relationship Id="rId10" Type="http://schemas.openxmlformats.org/officeDocument/2006/relationships/hyperlink" Target="https://online.fliphtml5.com/cotrr/puqp/" TargetMode="External"/><Relationship Id="rId31" Type="http://schemas.openxmlformats.org/officeDocument/2006/relationships/hyperlink" Target="https://online.fliphtml5.com/kbscf/rwrl/" TargetMode="External"/><Relationship Id="rId44" Type="http://schemas.openxmlformats.org/officeDocument/2006/relationships/hyperlink" Target="https://online.fliphtml5.com/kbscf/ykgk/" TargetMode="External"/><Relationship Id="rId52" Type="http://schemas.openxmlformats.org/officeDocument/2006/relationships/hyperlink" Target="https://online.fliphtml5.com/nnalh/rwbh/" TargetMode="External"/><Relationship Id="rId60" Type="http://schemas.openxmlformats.org/officeDocument/2006/relationships/hyperlink" Target="https://online.fliphtml5.com/nnalh/axqm/" TargetMode="External"/><Relationship Id="rId65" Type="http://schemas.openxmlformats.org/officeDocument/2006/relationships/hyperlink" Target="https://online.fliphtml5.com/udqwy/poop/" TargetMode="External"/><Relationship Id="rId73" Type="http://schemas.openxmlformats.org/officeDocument/2006/relationships/hyperlink" Target="https://online.fliphtml5.com/udqwy/dasl/" TargetMode="External"/><Relationship Id="rId4" Type="http://schemas.openxmlformats.org/officeDocument/2006/relationships/hyperlink" Target="https://online.fliphtml5.com/cotrr/cewx/" TargetMode="External"/><Relationship Id="rId9" Type="http://schemas.openxmlformats.org/officeDocument/2006/relationships/hyperlink" Target="https://online.fliphtml5.com/wrbmv/lxrj/" TargetMode="External"/><Relationship Id="rId13" Type="http://schemas.openxmlformats.org/officeDocument/2006/relationships/hyperlink" Target="https://online.fliphtml5.com/cotrr/uoyw/" TargetMode="External"/><Relationship Id="rId18" Type="http://schemas.openxmlformats.org/officeDocument/2006/relationships/hyperlink" Target="https://online.fliphtml5.com/wrbmv/jhtg/" TargetMode="External"/><Relationship Id="rId39" Type="http://schemas.openxmlformats.org/officeDocument/2006/relationships/hyperlink" Target="https://online.fliphtml5.com/kbscf/uste/" TargetMode="External"/><Relationship Id="rId34" Type="http://schemas.openxmlformats.org/officeDocument/2006/relationships/hyperlink" Target="https://online.fliphtml5.com/kbscf/wxxz/" TargetMode="External"/><Relationship Id="rId50" Type="http://schemas.openxmlformats.org/officeDocument/2006/relationships/hyperlink" Target="https://online.fliphtml5.com/nnalh/luxj/" TargetMode="External"/><Relationship Id="rId55" Type="http://schemas.openxmlformats.org/officeDocument/2006/relationships/hyperlink" Target="https://online.fliphtml5.com/nnalh/ppbg/" TargetMode="External"/><Relationship Id="rId76" Type="http://schemas.openxmlformats.org/officeDocument/2006/relationships/hyperlink" Target="https://online.fliphtml5.com/udqwy/yivk/" TargetMode="External"/><Relationship Id="rId7" Type="http://schemas.openxmlformats.org/officeDocument/2006/relationships/hyperlink" Target="https://online.fliphtml5.com/kbscf/wtkw/" TargetMode="External"/><Relationship Id="rId71" Type="http://schemas.openxmlformats.org/officeDocument/2006/relationships/hyperlink" Target="https://online.fliphtml5.com/udqwy/cxgy/" TargetMode="External"/><Relationship Id="rId2" Type="http://schemas.openxmlformats.org/officeDocument/2006/relationships/hyperlink" Target="https://online.fliphtml5.com/chncu/mibj/" TargetMode="External"/><Relationship Id="rId29" Type="http://schemas.openxmlformats.org/officeDocument/2006/relationships/hyperlink" Target="https://online.fliphtml5.com/udqwy/ssrj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7"/>
  <sheetViews>
    <sheetView showGridLines="0" tabSelected="1" zoomScaleNormal="100" workbookViewId="0">
      <pane ySplit="1" topLeftCell="A539" activePane="bottomLeft" state="frozen"/>
      <selection pane="bottomLeft" activeCell="H553" sqref="H553"/>
    </sheetView>
  </sheetViews>
  <sheetFormatPr defaultRowHeight="14.25"/>
  <cols>
    <col min="1" max="1" width="14" style="50" bestFit="1" customWidth="1"/>
    <col min="2" max="2" width="21.25" bestFit="1" customWidth="1"/>
    <col min="3" max="3" width="8.625" bestFit="1" customWidth="1"/>
    <col min="4" max="4" width="16.125" bestFit="1" customWidth="1"/>
    <col min="5" max="5" width="26" bestFit="1" customWidth="1"/>
    <col min="6" max="6" width="13.625" bestFit="1" customWidth="1"/>
    <col min="7" max="9" width="6.625" bestFit="1" customWidth="1"/>
    <col min="10" max="10" width="72.5" bestFit="1" customWidth="1"/>
    <col min="11" max="11" width="14.125" bestFit="1" customWidth="1"/>
    <col min="12" max="12" width="18" customWidth="1"/>
  </cols>
  <sheetData>
    <row r="1" spans="1:11" ht="15">
      <c r="A1" s="53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t="s">
        <v>10</v>
      </c>
    </row>
    <row r="2" spans="1:11">
      <c r="A2" s="54" t="s">
        <v>11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3">
        <v>509</v>
      </c>
      <c r="H2" s="16">
        <f>IF(SUMIFS(İndirimler!$C$2:$C$210,İndirimler!$A$2:$A$210,B2,İndirimler!$B$2:$B$210,C2)&gt;0,ROUND(G2*(1-SUMIFS(İndirimler!$C$2:$C$210,İndirimler!$A$2:$A$210,B2,İndirimler!$B$2:$B$210,C2)),2),"")</f>
        <v>432.65</v>
      </c>
      <c r="I2" s="19">
        <f>IF(SUMIFS(İndirimler!$D$2:$D$210,İndirimler!$A$2:$A$210,B2,İndirimler!$B$2:$B$210,C2)&gt;0,ROUND(G2*(1-SUMIFS(İndirimler!$D$2:$D$210,İndirimler!$A$2:$A$210,B2,İndirimler!$B$2:$B$210,C2)),2),"")</f>
        <v>356.3</v>
      </c>
      <c r="J2" s="10"/>
      <c r="K2" s="27"/>
    </row>
    <row r="3" spans="1:11">
      <c r="A3" s="55" t="s">
        <v>17</v>
      </c>
      <c r="B3" s="11" t="s">
        <v>18</v>
      </c>
      <c r="C3" s="11" t="s">
        <v>13</v>
      </c>
      <c r="D3" s="11" t="s">
        <v>14</v>
      </c>
      <c r="E3" s="11"/>
      <c r="F3" s="11" t="s">
        <v>16</v>
      </c>
      <c r="G3" s="14">
        <v>539</v>
      </c>
      <c r="H3" s="17">
        <f>IF(SUMIFS(İndirimler!$C$2:$C$210,İndirimler!$A$2:$A$210,B3,İndirimler!$B$2:$B$210,C3)&gt;0,ROUND(G3*(1-SUMIFS(İndirimler!$C$2:$C$210,İndirimler!$A$2:$A$210,B3,İndirimler!$B$2:$B$210,C3)),2),"")</f>
        <v>458.15</v>
      </c>
      <c r="I3" s="20">
        <f>IF(SUMIFS(İndirimler!$D$2:$D$210,İndirimler!$A$2:$A$210,B3,İndirimler!$B$2:$B$210,C3)&gt;0,ROUND(G3*(1-SUMIFS(İndirimler!$D$2:$D$210,İndirimler!$A$2:$A$210,B3,İndirimler!$B$2:$B$210,C3)),2),"")</f>
        <v>377.3</v>
      </c>
      <c r="J3" s="11" t="s">
        <v>19</v>
      </c>
      <c r="K3" s="27"/>
    </row>
    <row r="4" spans="1:11">
      <c r="A4" s="55" t="s">
        <v>20</v>
      </c>
      <c r="B4" s="11" t="s">
        <v>21</v>
      </c>
      <c r="C4" s="11" t="s">
        <v>13</v>
      </c>
      <c r="D4" s="11" t="s">
        <v>14</v>
      </c>
      <c r="E4" s="11" t="s">
        <v>15</v>
      </c>
      <c r="F4" s="11" t="s">
        <v>16</v>
      </c>
      <c r="G4" s="14">
        <v>369</v>
      </c>
      <c r="H4" s="17">
        <f>IF(SUMIFS(İndirimler!$C$2:$C$210,İndirimler!$A$2:$A$210,B4,İndirimler!$B$2:$B$210,C4)&gt;0,ROUND(G4*(1-SUMIFS(İndirimler!$C$2:$C$210,İndirimler!$A$2:$A$210,B4,İndirimler!$B$2:$B$210,C4)),2),"")</f>
        <v>313.64999999999998</v>
      </c>
      <c r="I4" s="20">
        <f>IF(SUMIFS(İndirimler!$D$2:$D$210,İndirimler!$A$2:$A$210,B4,İndirimler!$B$2:$B$210,C4)&gt;0,ROUND(G4*(1-SUMIFS(İndirimler!$D$2:$D$210,İndirimler!$A$2:$A$210,B4,İndirimler!$B$2:$B$210,C4)),2),"")</f>
        <v>258.3</v>
      </c>
      <c r="J4" s="11"/>
      <c r="K4" s="27"/>
    </row>
    <row r="5" spans="1:11">
      <c r="A5" s="55" t="s">
        <v>22</v>
      </c>
      <c r="B5" s="11" t="s">
        <v>23</v>
      </c>
      <c r="C5" s="11" t="s">
        <v>13</v>
      </c>
      <c r="D5" s="11" t="s">
        <v>14</v>
      </c>
      <c r="E5" s="11"/>
      <c r="F5" s="11" t="s">
        <v>16</v>
      </c>
      <c r="G5" s="14">
        <v>480</v>
      </c>
      <c r="H5" s="17">
        <f>IF(SUMIFS(İndirimler!$C$2:$C$210,İndirimler!$A$2:$A$210,B5,İndirimler!$B$2:$B$210,C5)&gt;0,ROUND(G5*(1-SUMIFS(İndirimler!$C$2:$C$210,İndirimler!$A$2:$A$210,B5,İndirimler!$B$2:$B$210,C5)),2),"")</f>
        <v>408</v>
      </c>
      <c r="I5" s="20">
        <f>IF(SUMIFS(İndirimler!$D$2:$D$210,İndirimler!$A$2:$A$210,B5,İndirimler!$B$2:$B$210,C5)&gt;0,ROUND(G5*(1-SUMIFS(İndirimler!$D$2:$D$210,İndirimler!$A$2:$A$210,B5,İndirimler!$B$2:$B$210,C5)),2),"")</f>
        <v>336</v>
      </c>
      <c r="J5" s="11"/>
      <c r="K5" s="27"/>
    </row>
    <row r="6" spans="1:11">
      <c r="A6" s="55" t="s">
        <v>24</v>
      </c>
      <c r="B6" s="11" t="s">
        <v>25</v>
      </c>
      <c r="C6" s="11" t="s">
        <v>13</v>
      </c>
      <c r="D6" s="11" t="s">
        <v>14</v>
      </c>
      <c r="E6" s="11" t="s">
        <v>26</v>
      </c>
      <c r="F6" s="11" t="s">
        <v>16</v>
      </c>
      <c r="G6" s="14"/>
      <c r="H6" s="17">
        <f>IF(SUMIFS(İndirimler!$C$2:$C$210,İndirimler!$A$2:$A$210,B6,İndirimler!$B$2:$B$210,C6)&gt;0,ROUND(G6*(1-SUMIFS(İndirimler!$C$2:$C$210,İndirimler!$A$2:$A$210,B6,İndirimler!$B$2:$B$210,C6)),2),"")</f>
        <v>0</v>
      </c>
      <c r="I6" s="20">
        <f>IF(SUMIFS(İndirimler!$D$2:$D$210,İndirimler!$A$2:$A$210,B6,İndirimler!$B$2:$B$210,C6)&gt;0,ROUND(G6*(1-SUMIFS(İndirimler!$D$2:$D$210,İndirimler!$A$2:$A$210,B6,İndirimler!$B$2:$B$210,C6)),2),"")</f>
        <v>0</v>
      </c>
      <c r="J6" s="11"/>
      <c r="K6" s="27"/>
    </row>
    <row r="7" spans="1:11">
      <c r="A7" s="55" t="s">
        <v>27</v>
      </c>
      <c r="B7" s="11" t="s">
        <v>25</v>
      </c>
      <c r="C7" s="11" t="s">
        <v>13</v>
      </c>
      <c r="D7" s="11" t="s">
        <v>14</v>
      </c>
      <c r="E7" s="11" t="s">
        <v>28</v>
      </c>
      <c r="F7" s="11" t="s">
        <v>16</v>
      </c>
      <c r="G7" s="14"/>
      <c r="H7" s="17">
        <f>IF(SUMIFS(İndirimler!$C$2:$C$210,İndirimler!$A$2:$A$210,B7,İndirimler!$B$2:$B$210,C7)&gt;0,ROUND(G7*(1-SUMIFS(İndirimler!$C$2:$C$210,İndirimler!$A$2:$A$210,B7,İndirimler!$B$2:$B$210,C7)),2),"")</f>
        <v>0</v>
      </c>
      <c r="I7" s="20">
        <f>IF(SUMIFS(İndirimler!$D$2:$D$210,İndirimler!$A$2:$A$210,B7,İndirimler!$B$2:$B$210,C7)&gt;0,ROUND(G7*(1-SUMIFS(İndirimler!$D$2:$D$210,İndirimler!$A$2:$A$210,B7,İndirimler!$B$2:$B$210,C7)),2),"")</f>
        <v>0</v>
      </c>
      <c r="J7" s="11"/>
      <c r="K7" s="27"/>
    </row>
    <row r="8" spans="1:11">
      <c r="A8" s="55" t="s">
        <v>29</v>
      </c>
      <c r="B8" s="11" t="s">
        <v>25</v>
      </c>
      <c r="C8" s="11" t="s">
        <v>13</v>
      </c>
      <c r="D8" s="11" t="s">
        <v>14</v>
      </c>
      <c r="E8" s="11" t="s">
        <v>30</v>
      </c>
      <c r="F8" s="11" t="s">
        <v>16</v>
      </c>
      <c r="G8" s="14">
        <v>219</v>
      </c>
      <c r="H8" s="17">
        <f>IF(SUMIFS(İndirimler!$C$2:$C$210,İndirimler!$A$2:$A$210,B8,İndirimler!$B$2:$B$210,C8)&gt;0,ROUND(G8*(1-SUMIFS(İndirimler!$C$2:$C$210,İndirimler!$A$2:$A$210,B8,İndirimler!$B$2:$B$210,C8)),2),"")</f>
        <v>186.15</v>
      </c>
      <c r="I8" s="20">
        <f>IF(SUMIFS(İndirimler!$D$2:$D$210,İndirimler!$A$2:$A$210,B8,İndirimler!$B$2:$B$210,C8)&gt;0,ROUND(G8*(1-SUMIFS(İndirimler!$D$2:$D$210,İndirimler!$A$2:$A$210,B8,İndirimler!$B$2:$B$210,C8)),2),"")</f>
        <v>153.30000000000001</v>
      </c>
      <c r="J8" s="11"/>
      <c r="K8" s="27"/>
    </row>
    <row r="9" spans="1:11">
      <c r="A9" s="55" t="s">
        <v>31</v>
      </c>
      <c r="B9" s="11" t="s">
        <v>32</v>
      </c>
      <c r="C9" s="11" t="s">
        <v>33</v>
      </c>
      <c r="D9" s="11" t="s">
        <v>34</v>
      </c>
      <c r="E9" s="11"/>
      <c r="F9" s="11" t="s">
        <v>35</v>
      </c>
      <c r="G9" s="14">
        <v>549</v>
      </c>
      <c r="H9" s="17">
        <f>IF(SUMIFS(İndirimler!$C$2:$C$210,İndirimler!$A$2:$A$210,B9,İndirimler!$B$2:$B$210,C9)&gt;0,ROUND(G9*(1-SUMIFS(İndirimler!$C$2:$C$210,İndirimler!$A$2:$A$210,B9,İndirimler!$B$2:$B$210,C9)),2),"")</f>
        <v>466.65</v>
      </c>
      <c r="I9" s="20">
        <f>IF(SUMIFS(İndirimler!$D$2:$D$210,İndirimler!$A$2:$A$210,B9,İndirimler!$B$2:$B$210,C9)&gt;0,ROUND(G9*(1-SUMIFS(İndirimler!$D$2:$D$210,İndirimler!$A$2:$A$210,B9,İndirimler!$B$2:$B$210,C9)),2),"")</f>
        <v>384.3</v>
      </c>
      <c r="J9" s="26" t="s">
        <v>36</v>
      </c>
      <c r="K9" s="27"/>
    </row>
    <row r="10" spans="1:11">
      <c r="A10" s="55" t="s">
        <v>37</v>
      </c>
      <c r="B10" s="11" t="s">
        <v>38</v>
      </c>
      <c r="C10" s="11" t="s">
        <v>33</v>
      </c>
      <c r="D10" s="11" t="s">
        <v>34</v>
      </c>
      <c r="E10" s="11"/>
      <c r="F10" s="11" t="s">
        <v>35</v>
      </c>
      <c r="G10" s="14">
        <v>565</v>
      </c>
      <c r="H10" s="17">
        <f>IF(SUMIFS(İndirimler!$C$2:$C$210,İndirimler!$A$2:$A$210,B10,İndirimler!$B$2:$B$210,C10)&gt;0,ROUND(G10*(1-SUMIFS(İndirimler!$C$2:$C$210,İndirimler!$A$2:$A$210,B10,İndirimler!$B$2:$B$210,C10)),2),"")</f>
        <v>480.25</v>
      </c>
      <c r="I10" s="20">
        <f>IF(SUMIFS(İndirimler!$D$2:$D$210,İndirimler!$A$2:$A$210,B10,İndirimler!$B$2:$B$210,C10)&gt;0,ROUND(G10*(1-SUMIFS(İndirimler!$D$2:$D$210,İndirimler!$A$2:$A$210,B10,İndirimler!$B$2:$B$210,C10)),2),"")</f>
        <v>395.5</v>
      </c>
      <c r="J10" s="26" t="s">
        <v>39</v>
      </c>
      <c r="K10" s="27"/>
    </row>
    <row r="11" spans="1:11">
      <c r="A11" s="55" t="s">
        <v>40</v>
      </c>
      <c r="B11" s="11" t="s">
        <v>18</v>
      </c>
      <c r="C11" s="11" t="s">
        <v>33</v>
      </c>
      <c r="D11" s="11" t="s">
        <v>34</v>
      </c>
      <c r="E11" s="11" t="s">
        <v>41</v>
      </c>
      <c r="F11" s="11" t="s">
        <v>42</v>
      </c>
      <c r="G11" s="14"/>
      <c r="H11" s="17">
        <f>IF(SUMIFS(İndirimler!$C$2:$C$210,İndirimler!$A$2:$A$210,B11,İndirimler!$B$2:$B$210,C11)&gt;0,ROUND(G11*(1-SUMIFS(İndirimler!$C$2:$C$210,İndirimler!$A$2:$A$210,B11,İndirimler!$B$2:$B$210,C11)),2),"")</f>
        <v>0</v>
      </c>
      <c r="I11" s="20">
        <f>IF(SUMIFS(İndirimler!$D$2:$D$210,İndirimler!$A$2:$A$210,B11,İndirimler!$B$2:$B$210,C11)&gt;0,ROUND(G11*(1-SUMIFS(İndirimler!$D$2:$D$210,İndirimler!$A$2:$A$210,B11,İndirimler!$B$2:$B$210,C11)),2),"")</f>
        <v>0</v>
      </c>
      <c r="J11" s="11"/>
      <c r="K11" s="27"/>
    </row>
    <row r="12" spans="1:11">
      <c r="A12" s="55" t="s">
        <v>43</v>
      </c>
      <c r="B12" s="11" t="s">
        <v>44</v>
      </c>
      <c r="C12" s="11" t="s">
        <v>33</v>
      </c>
      <c r="D12" s="11" t="s">
        <v>34</v>
      </c>
      <c r="E12" s="11" t="s">
        <v>45</v>
      </c>
      <c r="F12" s="11" t="s">
        <v>42</v>
      </c>
      <c r="G12" s="14">
        <v>428</v>
      </c>
      <c r="H12" s="17">
        <f>IF(SUMIFS(İndirimler!$C$2:$C$210,İndirimler!$A$2:$A$210,B12,İndirimler!$B$2:$B$210,C12)&gt;0,ROUND(G12*(1-SUMIFS(İndirimler!$C$2:$C$210,İndirimler!$A$2:$A$210,B12,İndirimler!$B$2:$B$210,C12)),2),"")</f>
        <v>363.8</v>
      </c>
      <c r="I12" s="20">
        <f>IF(SUMIFS(İndirimler!$D$2:$D$210,İndirimler!$A$2:$A$210,B12,İndirimler!$B$2:$B$210,C12)&gt;0,ROUND(G12*(1-SUMIFS(İndirimler!$D$2:$D$210,İndirimler!$A$2:$A$210,B12,İndirimler!$B$2:$B$210,C12)),2),"")</f>
        <v>299.60000000000002</v>
      </c>
      <c r="J12" s="11" t="s">
        <v>46</v>
      </c>
      <c r="K12" s="27"/>
    </row>
    <row r="13" spans="1:11">
      <c r="A13" s="55" t="s">
        <v>47</v>
      </c>
      <c r="B13" s="11" t="s">
        <v>23</v>
      </c>
      <c r="C13" s="11" t="s">
        <v>33</v>
      </c>
      <c r="D13" s="11" t="s">
        <v>34</v>
      </c>
      <c r="E13" s="11"/>
      <c r="F13" s="11" t="s">
        <v>42</v>
      </c>
      <c r="G13" s="14">
        <v>669</v>
      </c>
      <c r="H13" s="17">
        <f>IF(SUMIFS(İndirimler!$C$2:$C$210,İndirimler!$A$2:$A$210,B13,İndirimler!$B$2:$B$210,C13)&gt;0,ROUND(G13*(1-SUMIFS(İndirimler!$C$2:$C$210,İndirimler!$A$2:$A$210,B13,İndirimler!$B$2:$B$210,C13)),2),"")</f>
        <v>568.65</v>
      </c>
      <c r="I13" s="20">
        <f>IF(SUMIFS(İndirimler!$D$2:$D$210,İndirimler!$A$2:$A$210,B13,İndirimler!$B$2:$B$210,C13)&gt;0,ROUND(G13*(1-SUMIFS(İndirimler!$D$2:$D$210,İndirimler!$A$2:$A$210,B13,İndirimler!$B$2:$B$210,C13)),2),"")</f>
        <v>468.3</v>
      </c>
      <c r="J13" s="11" t="s">
        <v>48</v>
      </c>
      <c r="K13" s="27"/>
    </row>
    <row r="14" spans="1:11">
      <c r="A14" s="55" t="s">
        <v>49</v>
      </c>
      <c r="B14" s="11" t="s">
        <v>50</v>
      </c>
      <c r="C14" s="11" t="s">
        <v>33</v>
      </c>
      <c r="D14" s="11" t="s">
        <v>34</v>
      </c>
      <c r="E14" s="11" t="s">
        <v>51</v>
      </c>
      <c r="F14" s="11" t="s">
        <v>42</v>
      </c>
      <c r="G14" s="14">
        <v>800</v>
      </c>
      <c r="H14" s="17">
        <f>IF(SUMIFS(İndirimler!$C$2:$C$210,İndirimler!$A$2:$A$210,B14,İndirimler!$B$2:$B$210,C14)&gt;0,ROUND(G14*(1-SUMIFS(İndirimler!$C$2:$C$210,İndirimler!$A$2:$A$210,B14,İndirimler!$B$2:$B$210,C14)),2),"")</f>
        <v>680</v>
      </c>
      <c r="I14" s="20">
        <f>IF(SUMIFS(İndirimler!$D$2:$D$210,İndirimler!$A$2:$A$210,B14,İndirimler!$B$2:$B$210,C14)&gt;0,ROUND(G14*(1-SUMIFS(İndirimler!$D$2:$D$210,İndirimler!$A$2:$A$210,B14,İndirimler!$B$2:$B$210,C14)),2),"")</f>
        <v>560</v>
      </c>
      <c r="J14" s="11"/>
      <c r="K14" s="27"/>
    </row>
    <row r="15" spans="1:11">
      <c r="A15" s="55" t="s">
        <v>52</v>
      </c>
      <c r="B15" s="11" t="s">
        <v>53</v>
      </c>
      <c r="C15" s="11" t="s">
        <v>33</v>
      </c>
      <c r="D15" s="11" t="s">
        <v>34</v>
      </c>
      <c r="E15" s="11"/>
      <c r="F15" s="11" t="s">
        <v>42</v>
      </c>
      <c r="G15" s="14">
        <v>539</v>
      </c>
      <c r="H15" s="17">
        <f>IF(SUMIFS(İndirimler!$C$2:$C$210,İndirimler!$A$2:$A$210,B15,İndirimler!$B$2:$B$210,C15)&gt;0,ROUND(G15*(1-SUMIFS(İndirimler!$C$2:$C$210,İndirimler!$A$2:$A$210,B15,İndirimler!$B$2:$B$210,C15)),2),"")</f>
        <v>458.15</v>
      </c>
      <c r="I15" s="20">
        <f>IF(SUMIFS(İndirimler!$D$2:$D$210,İndirimler!$A$2:$A$210,B15,İndirimler!$B$2:$B$210,C15)&gt;0,ROUND(G15*(1-SUMIFS(İndirimler!$D$2:$D$210,İndirimler!$A$2:$A$210,B15,İndirimler!$B$2:$B$210,C15)),2),"")</f>
        <v>377.3</v>
      </c>
      <c r="J15" s="11"/>
      <c r="K15" s="27"/>
    </row>
    <row r="16" spans="1:11">
      <c r="A16" s="55" t="s">
        <v>54</v>
      </c>
      <c r="B16" s="11" t="s">
        <v>55</v>
      </c>
      <c r="C16" s="11" t="s">
        <v>33</v>
      </c>
      <c r="D16" s="11" t="s">
        <v>34</v>
      </c>
      <c r="E16" s="11"/>
      <c r="F16" s="11" t="s">
        <v>16</v>
      </c>
      <c r="G16" s="14">
        <v>402</v>
      </c>
      <c r="H16" s="17">
        <f>IF(SUMIFS(İndirimler!$C$2:$C$210,İndirimler!$A$2:$A$210,B16,İndirimler!$B$2:$B$210,C16)&gt;0,ROUND(G16*(1-SUMIFS(İndirimler!$C$2:$C$210,İndirimler!$A$2:$A$210,B16,İndirimler!$B$2:$B$210,C16)),2),"")</f>
        <v>341.7</v>
      </c>
      <c r="I16" s="20">
        <f>IF(SUMIFS(İndirimler!$D$2:$D$210,İndirimler!$A$2:$A$210,B16,İndirimler!$B$2:$B$210,C16)&gt;0,ROUND(G16*(1-SUMIFS(İndirimler!$D$2:$D$210,İndirimler!$A$2:$A$210,B16,İndirimler!$B$2:$B$210,C16)),2),"")</f>
        <v>281.39999999999998</v>
      </c>
      <c r="J16" s="11" t="s">
        <v>56</v>
      </c>
      <c r="K16" s="27"/>
    </row>
    <row r="17" spans="1:11">
      <c r="A17" s="55" t="s">
        <v>57</v>
      </c>
      <c r="B17" s="11" t="s">
        <v>18</v>
      </c>
      <c r="C17" s="11" t="s">
        <v>33</v>
      </c>
      <c r="D17" s="11" t="s">
        <v>34</v>
      </c>
      <c r="E17" s="11"/>
      <c r="F17" s="11" t="s">
        <v>16</v>
      </c>
      <c r="G17" s="14">
        <v>329</v>
      </c>
      <c r="H17" s="17">
        <f>IF(SUMIFS(İndirimler!$C$2:$C$210,İndirimler!$A$2:$A$210,B17,İndirimler!$B$2:$B$210,C17)&gt;0,ROUND(G17*(1-SUMIFS(İndirimler!$C$2:$C$210,İndirimler!$A$2:$A$210,B17,İndirimler!$B$2:$B$210,C17)),2),"")</f>
        <v>279.64999999999998</v>
      </c>
      <c r="I17" s="20">
        <f>IF(SUMIFS(İndirimler!$D$2:$D$210,İndirimler!$A$2:$A$210,B17,İndirimler!$B$2:$B$210,C17)&gt;0,ROUND(G17*(1-SUMIFS(İndirimler!$D$2:$D$210,İndirimler!$A$2:$A$210,B17,İndirimler!$B$2:$B$210,C17)),2),"")</f>
        <v>230.3</v>
      </c>
      <c r="J17" s="26" t="s">
        <v>58</v>
      </c>
      <c r="K17" s="27"/>
    </row>
    <row r="18" spans="1:11">
      <c r="A18" s="55" t="s">
        <v>59</v>
      </c>
      <c r="B18" s="11" t="s">
        <v>44</v>
      </c>
      <c r="C18" s="11" t="s">
        <v>33</v>
      </c>
      <c r="D18" s="11" t="s">
        <v>34</v>
      </c>
      <c r="E18" s="11" t="s">
        <v>60</v>
      </c>
      <c r="F18" s="11" t="s">
        <v>16</v>
      </c>
      <c r="G18" s="14">
        <v>428</v>
      </c>
      <c r="H18" s="17">
        <f>IF(SUMIFS(İndirimler!$C$2:$C$210,İndirimler!$A$2:$A$210,B18,İndirimler!$B$2:$B$210,C18)&gt;0,ROUND(G18*(1-SUMIFS(İndirimler!$C$2:$C$210,İndirimler!$A$2:$A$210,B18,İndirimler!$B$2:$B$210,C18)),2),"")</f>
        <v>363.8</v>
      </c>
      <c r="I18" s="20">
        <f>IF(SUMIFS(İndirimler!$D$2:$D$210,İndirimler!$A$2:$A$210,B18,İndirimler!$B$2:$B$210,C18)&gt;0,ROUND(G18*(1-SUMIFS(İndirimler!$D$2:$D$210,İndirimler!$A$2:$A$210,B18,İndirimler!$B$2:$B$210,C18)),2),"")</f>
        <v>299.60000000000002</v>
      </c>
      <c r="J18" s="11" t="s">
        <v>61</v>
      </c>
      <c r="K18" s="27"/>
    </row>
    <row r="19" spans="1:11">
      <c r="A19" s="55" t="s">
        <v>62</v>
      </c>
      <c r="B19" s="11" t="s">
        <v>63</v>
      </c>
      <c r="C19" s="11" t="s">
        <v>33</v>
      </c>
      <c r="D19" s="11" t="s">
        <v>34</v>
      </c>
      <c r="E19" s="11" t="s">
        <v>64</v>
      </c>
      <c r="F19" s="11" t="s">
        <v>16</v>
      </c>
      <c r="G19" s="14">
        <v>475</v>
      </c>
      <c r="H19" s="17">
        <f>IF(SUMIFS(İndirimler!$C$2:$C$210,İndirimler!$A$2:$A$210,B19,İndirimler!$B$2:$B$210,C19)&gt;0,ROUND(G19*(1-SUMIFS(İndirimler!$C$2:$C$210,İndirimler!$A$2:$A$210,B19,İndirimler!$B$2:$B$210,C19)),2),"")</f>
        <v>403.75</v>
      </c>
      <c r="I19" s="20">
        <f>IF(SUMIFS(İndirimler!$D$2:$D$210,İndirimler!$A$2:$A$210,B19,İndirimler!$B$2:$B$210,C19)&gt;0,ROUND(G19*(1-SUMIFS(İndirimler!$D$2:$D$210,İndirimler!$A$2:$A$210,B19,İndirimler!$B$2:$B$210,C19)),2),"")</f>
        <v>332.5</v>
      </c>
      <c r="J19" s="11" t="s">
        <v>65</v>
      </c>
      <c r="K19" s="27"/>
    </row>
    <row r="20" spans="1:11">
      <c r="A20" s="55" t="s">
        <v>66</v>
      </c>
      <c r="B20" s="11" t="s">
        <v>23</v>
      </c>
      <c r="C20" s="11" t="s">
        <v>33</v>
      </c>
      <c r="D20" s="11" t="s">
        <v>34</v>
      </c>
      <c r="E20" s="11"/>
      <c r="F20" s="11" t="s">
        <v>16</v>
      </c>
      <c r="G20" s="14">
        <v>626</v>
      </c>
      <c r="H20" s="17">
        <f>IF(SUMIFS(İndirimler!$C$2:$C$210,İndirimler!$A$2:$A$210,B20,İndirimler!$B$2:$B$210,C20)&gt;0,ROUND(G20*(1-SUMIFS(İndirimler!$C$2:$C$210,İndirimler!$A$2:$A$210,B20,İndirimler!$B$2:$B$210,C20)),2),"")</f>
        <v>532.1</v>
      </c>
      <c r="I20" s="20">
        <f>IF(SUMIFS(İndirimler!$D$2:$D$210,İndirimler!$A$2:$A$210,B20,İndirimler!$B$2:$B$210,C20)&gt;0,ROUND(G20*(1-SUMIFS(İndirimler!$D$2:$D$210,İndirimler!$A$2:$A$210,B20,İndirimler!$B$2:$B$210,C20)),2),"")</f>
        <v>438.2</v>
      </c>
      <c r="J20" s="26" t="s">
        <v>67</v>
      </c>
      <c r="K20" s="27"/>
    </row>
    <row r="21" spans="1:11">
      <c r="A21" s="55" t="s">
        <v>68</v>
      </c>
      <c r="B21" s="11" t="s">
        <v>50</v>
      </c>
      <c r="C21" s="11" t="s">
        <v>33</v>
      </c>
      <c r="D21" s="11" t="s">
        <v>34</v>
      </c>
      <c r="E21" s="11" t="s">
        <v>69</v>
      </c>
      <c r="F21" s="11" t="s">
        <v>16</v>
      </c>
      <c r="G21" s="14">
        <v>493</v>
      </c>
      <c r="H21" s="17">
        <f>IF(SUMIFS(İndirimler!$C$2:$C$210,İndirimler!$A$2:$A$210,B21,İndirimler!$B$2:$B$210,C21)&gt;0,ROUND(G21*(1-SUMIFS(İndirimler!$C$2:$C$210,İndirimler!$A$2:$A$210,B21,İndirimler!$B$2:$B$210,C21)),2),"")</f>
        <v>419.05</v>
      </c>
      <c r="I21" s="20">
        <f>IF(SUMIFS(İndirimler!$D$2:$D$210,İndirimler!$A$2:$A$210,B21,İndirimler!$B$2:$B$210,C21)&gt;0,ROUND(G21*(1-SUMIFS(İndirimler!$D$2:$D$210,İndirimler!$A$2:$A$210,B21,İndirimler!$B$2:$B$210,C21)),2),"")</f>
        <v>345.1</v>
      </c>
      <c r="J21" s="11"/>
      <c r="K21" s="27"/>
    </row>
    <row r="22" spans="1:11">
      <c r="A22" s="55" t="s">
        <v>70</v>
      </c>
      <c r="B22" s="11" t="s">
        <v>38</v>
      </c>
      <c r="C22" s="11" t="s">
        <v>33</v>
      </c>
      <c r="D22" s="11" t="s">
        <v>34</v>
      </c>
      <c r="E22" s="11" t="s">
        <v>69</v>
      </c>
      <c r="F22" s="11" t="s">
        <v>16</v>
      </c>
      <c r="G22" s="14">
        <v>519</v>
      </c>
      <c r="H22" s="17">
        <f>IF(SUMIFS(İndirimler!$C$2:$C$210,İndirimler!$A$2:$A$210,B22,İndirimler!$B$2:$B$210,C22)&gt;0,ROUND(G22*(1-SUMIFS(İndirimler!$C$2:$C$210,İndirimler!$A$2:$A$210,B22,İndirimler!$B$2:$B$210,C22)),2),"")</f>
        <v>441.15</v>
      </c>
      <c r="I22" s="20">
        <f>IF(SUMIFS(İndirimler!$D$2:$D$210,İndirimler!$A$2:$A$210,B22,İndirimler!$B$2:$B$210,C22)&gt;0,ROUND(G22*(1-SUMIFS(İndirimler!$D$2:$D$210,İndirimler!$A$2:$A$210,B22,İndirimler!$B$2:$B$210,C22)),2),"")</f>
        <v>363.3</v>
      </c>
      <c r="J22" s="26"/>
      <c r="K22" s="27"/>
    </row>
    <row r="23" spans="1:11">
      <c r="A23" s="55" t="s">
        <v>71</v>
      </c>
      <c r="B23" s="11" t="s">
        <v>72</v>
      </c>
      <c r="C23" s="11" t="s">
        <v>33</v>
      </c>
      <c r="D23" s="11" t="s">
        <v>34</v>
      </c>
      <c r="E23" s="11"/>
      <c r="F23" s="11" t="s">
        <v>73</v>
      </c>
      <c r="G23" s="14">
        <v>329</v>
      </c>
      <c r="H23" s="17">
        <f>IF(SUMIFS(İndirimler!$C$2:$C$210,İndirimler!$A$2:$A$210,B23,İndirimler!$B$2:$B$210,C23)&gt;0,ROUND(G23*(1-SUMIFS(İndirimler!$C$2:$C$210,İndirimler!$A$2:$A$210,B23,İndirimler!$B$2:$B$210,C23)),2),"")</f>
        <v>279.64999999999998</v>
      </c>
      <c r="I23" s="20">
        <f>IF(SUMIFS(İndirimler!$D$2:$D$210,İndirimler!$A$2:$A$210,B23,İndirimler!$B$2:$B$210,C23)&gt;0,ROUND(G23*(1-SUMIFS(İndirimler!$D$2:$D$210,İndirimler!$A$2:$A$210,B23,İndirimler!$B$2:$B$210,C23)),2),"")</f>
        <v>230.3</v>
      </c>
      <c r="J23" s="11"/>
      <c r="K23" s="27"/>
    </row>
    <row r="24" spans="1:11">
      <c r="A24" s="55" t="s">
        <v>74</v>
      </c>
      <c r="B24" s="11" t="s">
        <v>72</v>
      </c>
      <c r="C24" s="11" t="s">
        <v>33</v>
      </c>
      <c r="D24" s="11" t="s">
        <v>34</v>
      </c>
      <c r="E24" s="11"/>
      <c r="F24" s="11" t="s">
        <v>73</v>
      </c>
      <c r="G24" s="14">
        <v>429</v>
      </c>
      <c r="H24" s="17">
        <f>IF(SUMIFS(İndirimler!$C$2:$C$210,İndirimler!$A$2:$A$210,B24,İndirimler!$B$2:$B$210,C24)&gt;0,ROUND(G24*(1-SUMIFS(İndirimler!$C$2:$C$210,İndirimler!$A$2:$A$210,B24,İndirimler!$B$2:$B$210,C24)),2),"")</f>
        <v>364.65</v>
      </c>
      <c r="I24" s="20">
        <f>IF(SUMIFS(İndirimler!$D$2:$D$210,İndirimler!$A$2:$A$210,B24,İndirimler!$B$2:$B$210,C24)&gt;0,ROUND(G24*(1-SUMIFS(İndirimler!$D$2:$D$210,İndirimler!$A$2:$A$210,B24,İndirimler!$B$2:$B$210,C24)),2),"")</f>
        <v>300.3</v>
      </c>
      <c r="J24" s="11"/>
      <c r="K24" s="27"/>
    </row>
    <row r="25" spans="1:11">
      <c r="A25" s="55" t="s">
        <v>75</v>
      </c>
      <c r="B25" s="11" t="s">
        <v>32</v>
      </c>
      <c r="C25" s="11" t="s">
        <v>76</v>
      </c>
      <c r="D25" s="11" t="s">
        <v>34</v>
      </c>
      <c r="E25" s="11"/>
      <c r="F25" s="11" t="s">
        <v>35</v>
      </c>
      <c r="G25" s="14">
        <v>529</v>
      </c>
      <c r="H25" s="17">
        <f>IF(SUMIFS(İndirimler!$C$2:$C$210,İndirimler!$A$2:$A$210,B25,İndirimler!$B$2:$B$210,C25)&gt;0,ROUND(G25*(1-SUMIFS(İndirimler!$C$2:$C$210,İndirimler!$A$2:$A$210,B25,İndirimler!$B$2:$B$210,C25)),2),"")</f>
        <v>449.65</v>
      </c>
      <c r="I25" s="20">
        <f>IF(SUMIFS(İndirimler!$D$2:$D$210,İndirimler!$A$2:$A$210,B25,İndirimler!$B$2:$B$210,C25)&gt;0,ROUND(G25*(1-SUMIFS(İndirimler!$D$2:$D$210,İndirimler!$A$2:$A$210,B25,İndirimler!$B$2:$B$210,C25)),2),"")</f>
        <v>370.3</v>
      </c>
      <c r="J25" s="26" t="s">
        <v>77</v>
      </c>
      <c r="K25" s="27"/>
    </row>
    <row r="26" spans="1:11">
      <c r="A26" s="55" t="s">
        <v>78</v>
      </c>
      <c r="B26" s="11" t="s">
        <v>38</v>
      </c>
      <c r="C26" s="11" t="s">
        <v>76</v>
      </c>
      <c r="D26" s="11" t="s">
        <v>34</v>
      </c>
      <c r="E26" s="11"/>
      <c r="F26" s="11" t="s">
        <v>35</v>
      </c>
      <c r="G26" s="14">
        <v>589</v>
      </c>
      <c r="H26" s="17">
        <f>IF(SUMIFS(İndirimler!$C$2:$C$210,İndirimler!$A$2:$A$210,B26,İndirimler!$B$2:$B$210,C26)&gt;0,ROUND(G26*(1-SUMIFS(İndirimler!$C$2:$C$210,İndirimler!$A$2:$A$210,B26,İndirimler!$B$2:$B$210,C26)),2),"")</f>
        <v>500.65</v>
      </c>
      <c r="I26" s="20">
        <f>IF(SUMIFS(İndirimler!$D$2:$D$210,İndirimler!$A$2:$A$210,B26,İndirimler!$B$2:$B$210,C26)&gt;0,ROUND(G26*(1-SUMIFS(İndirimler!$D$2:$D$210,İndirimler!$A$2:$A$210,B26,İndirimler!$B$2:$B$210,C26)),2),"")</f>
        <v>412.3</v>
      </c>
      <c r="J26" s="11" t="s">
        <v>79</v>
      </c>
      <c r="K26" s="27"/>
    </row>
    <row r="27" spans="1:11">
      <c r="A27" s="55" t="s">
        <v>80</v>
      </c>
      <c r="B27" s="11" t="s">
        <v>18</v>
      </c>
      <c r="C27" s="11" t="s">
        <v>76</v>
      </c>
      <c r="D27" s="11" t="s">
        <v>34</v>
      </c>
      <c r="E27" s="11" t="s">
        <v>41</v>
      </c>
      <c r="F27" s="11" t="s">
        <v>42</v>
      </c>
      <c r="G27" s="14"/>
      <c r="H27" s="17">
        <f>IF(SUMIFS(İndirimler!$C$2:$C$210,İndirimler!$A$2:$A$210,B27,İndirimler!$B$2:$B$210,C27)&gt;0,ROUND(G27*(1-SUMIFS(İndirimler!$C$2:$C$210,İndirimler!$A$2:$A$210,B27,İndirimler!$B$2:$B$210,C27)),2),"")</f>
        <v>0</v>
      </c>
      <c r="I27" s="20">
        <f>IF(SUMIFS(İndirimler!$D$2:$D$210,İndirimler!$A$2:$A$210,B27,İndirimler!$B$2:$B$210,C27)&gt;0,ROUND(G27*(1-SUMIFS(İndirimler!$D$2:$D$210,İndirimler!$A$2:$A$210,B27,İndirimler!$B$2:$B$210,C27)),2),"")</f>
        <v>0</v>
      </c>
      <c r="J27" s="11"/>
      <c r="K27" s="27"/>
    </row>
    <row r="28" spans="1:11">
      <c r="A28" s="55" t="s">
        <v>81</v>
      </c>
      <c r="B28" s="11" t="s">
        <v>44</v>
      </c>
      <c r="C28" s="11" t="s">
        <v>76</v>
      </c>
      <c r="D28" s="11" t="s">
        <v>34</v>
      </c>
      <c r="E28" s="11" t="s">
        <v>45</v>
      </c>
      <c r="F28" s="11" t="s">
        <v>42</v>
      </c>
      <c r="G28" s="14">
        <v>376</v>
      </c>
      <c r="H28" s="17">
        <f>IF(SUMIFS(İndirimler!$C$2:$C$210,İndirimler!$A$2:$A$210,B28,İndirimler!$B$2:$B$210,C28)&gt;0,ROUND(G28*(1-SUMIFS(İndirimler!$C$2:$C$210,İndirimler!$A$2:$A$210,B28,İndirimler!$B$2:$B$210,C28)),2),"")</f>
        <v>319.60000000000002</v>
      </c>
      <c r="I28" s="20">
        <f>IF(SUMIFS(İndirimler!$D$2:$D$210,İndirimler!$A$2:$A$210,B28,İndirimler!$B$2:$B$210,C28)&gt;0,ROUND(G28*(1-SUMIFS(İndirimler!$D$2:$D$210,İndirimler!$A$2:$A$210,B28,İndirimler!$B$2:$B$210,C28)),2),"")</f>
        <v>263.2</v>
      </c>
      <c r="J28" s="11" t="s">
        <v>82</v>
      </c>
      <c r="K28" s="27"/>
    </row>
    <row r="29" spans="1:11">
      <c r="A29" s="55" t="s">
        <v>83</v>
      </c>
      <c r="B29" s="11" t="s">
        <v>23</v>
      </c>
      <c r="C29" s="11" t="s">
        <v>76</v>
      </c>
      <c r="D29" s="11" t="s">
        <v>34</v>
      </c>
      <c r="E29" s="11"/>
      <c r="F29" s="11" t="s">
        <v>42</v>
      </c>
      <c r="G29" s="14">
        <v>684</v>
      </c>
      <c r="H29" s="17">
        <f>IF(SUMIFS(İndirimler!$C$2:$C$210,İndirimler!$A$2:$A$210,B29,İndirimler!$B$2:$B$210,C29)&gt;0,ROUND(G29*(1-SUMIFS(İndirimler!$C$2:$C$210,İndirimler!$A$2:$A$210,B29,İndirimler!$B$2:$B$210,C29)),2),"")</f>
        <v>581.4</v>
      </c>
      <c r="I29" s="20">
        <f>IF(SUMIFS(İndirimler!$D$2:$D$210,İndirimler!$A$2:$A$210,B29,İndirimler!$B$2:$B$210,C29)&gt;0,ROUND(G29*(1-SUMIFS(İndirimler!$D$2:$D$210,İndirimler!$A$2:$A$210,B29,İndirimler!$B$2:$B$210,C29)),2),"")</f>
        <v>478.8</v>
      </c>
      <c r="J29" s="11" t="s">
        <v>84</v>
      </c>
      <c r="K29" s="27"/>
    </row>
    <row r="30" spans="1:11">
      <c r="A30" s="55" t="s">
        <v>85</v>
      </c>
      <c r="B30" s="11" t="s">
        <v>50</v>
      </c>
      <c r="C30" s="11" t="s">
        <v>76</v>
      </c>
      <c r="D30" s="11" t="s">
        <v>34</v>
      </c>
      <c r="E30" s="11" t="s">
        <v>51</v>
      </c>
      <c r="F30" s="11" t="s">
        <v>42</v>
      </c>
      <c r="G30" s="14">
        <v>820</v>
      </c>
      <c r="H30" s="17">
        <f>IF(SUMIFS(İndirimler!$C$2:$C$210,İndirimler!$A$2:$A$210,B30,İndirimler!$B$2:$B$210,C30)&gt;0,ROUND(G30*(1-SUMIFS(İndirimler!$C$2:$C$210,İndirimler!$A$2:$A$210,B30,İndirimler!$B$2:$B$210,C30)),2),"")</f>
        <v>697</v>
      </c>
      <c r="I30" s="20">
        <f>IF(SUMIFS(İndirimler!$D$2:$D$210,İndirimler!$A$2:$A$210,B30,İndirimler!$B$2:$B$210,C30)&gt;0,ROUND(G30*(1-SUMIFS(İndirimler!$D$2:$D$210,İndirimler!$A$2:$A$210,B30,İndirimler!$B$2:$B$210,C30)),2),"")</f>
        <v>574</v>
      </c>
      <c r="J30" s="11"/>
      <c r="K30" s="27"/>
    </row>
    <row r="31" spans="1:11">
      <c r="A31" s="55" t="s">
        <v>86</v>
      </c>
      <c r="B31" s="11" t="s">
        <v>55</v>
      </c>
      <c r="C31" s="11" t="s">
        <v>76</v>
      </c>
      <c r="D31" s="11" t="s">
        <v>34</v>
      </c>
      <c r="E31" s="11"/>
      <c r="F31" s="11" t="s">
        <v>16</v>
      </c>
      <c r="G31" s="14">
        <v>402</v>
      </c>
      <c r="H31" s="17">
        <f>IF(SUMIFS(İndirimler!$C$2:$C$210,İndirimler!$A$2:$A$210,B31,İndirimler!$B$2:$B$210,C31)&gt;0,ROUND(G31*(1-SUMIFS(İndirimler!$C$2:$C$210,İndirimler!$A$2:$A$210,B31,İndirimler!$B$2:$B$210,C31)),2),"")</f>
        <v>341.7</v>
      </c>
      <c r="I31" s="20">
        <f>IF(SUMIFS(İndirimler!$D$2:$D$210,İndirimler!$A$2:$A$210,B31,İndirimler!$B$2:$B$210,C31)&gt;0,ROUND(G31*(1-SUMIFS(İndirimler!$D$2:$D$210,İndirimler!$A$2:$A$210,B31,İndirimler!$B$2:$B$210,C31)),2),"")</f>
        <v>281.39999999999998</v>
      </c>
      <c r="J31" s="11" t="s">
        <v>87</v>
      </c>
      <c r="K31" s="27"/>
    </row>
    <row r="32" spans="1:11">
      <c r="A32" s="55" t="s">
        <v>88</v>
      </c>
      <c r="B32" s="11" t="s">
        <v>18</v>
      </c>
      <c r="C32" s="11" t="s">
        <v>76</v>
      </c>
      <c r="D32" s="11" t="s">
        <v>34</v>
      </c>
      <c r="E32" s="11"/>
      <c r="F32" s="11" t="s">
        <v>16</v>
      </c>
      <c r="G32" s="14">
        <v>479</v>
      </c>
      <c r="H32" s="17">
        <f>IF(SUMIFS(İndirimler!$C$2:$C$210,İndirimler!$A$2:$A$210,B32,İndirimler!$B$2:$B$210,C32)&gt;0,ROUND(G32*(1-SUMIFS(İndirimler!$C$2:$C$210,İndirimler!$A$2:$A$210,B32,İndirimler!$B$2:$B$210,C32)),2),"")</f>
        <v>407.15</v>
      </c>
      <c r="I32" s="20">
        <f>IF(SUMIFS(İndirimler!$D$2:$D$210,İndirimler!$A$2:$A$210,B32,İndirimler!$B$2:$B$210,C32)&gt;0,ROUND(G32*(1-SUMIFS(İndirimler!$D$2:$D$210,İndirimler!$A$2:$A$210,B32,İndirimler!$B$2:$B$210,C32)),2),"")</f>
        <v>335.3</v>
      </c>
      <c r="J32" s="26" t="s">
        <v>89</v>
      </c>
      <c r="K32" s="27"/>
    </row>
    <row r="33" spans="1:11">
      <c r="A33" s="55" t="s">
        <v>90</v>
      </c>
      <c r="B33" s="11" t="s">
        <v>44</v>
      </c>
      <c r="C33" s="11" t="s">
        <v>76</v>
      </c>
      <c r="D33" s="11" t="s">
        <v>34</v>
      </c>
      <c r="E33" s="11" t="s">
        <v>60</v>
      </c>
      <c r="F33" s="11" t="s">
        <v>16</v>
      </c>
      <c r="G33" s="14">
        <v>428</v>
      </c>
      <c r="H33" s="17">
        <f>IF(SUMIFS(İndirimler!$C$2:$C$210,İndirimler!$A$2:$A$210,B33,İndirimler!$B$2:$B$210,C33)&gt;0,ROUND(G33*(1-SUMIFS(İndirimler!$C$2:$C$210,İndirimler!$A$2:$A$210,B33,İndirimler!$B$2:$B$210,C33)),2),"")</f>
        <v>363.8</v>
      </c>
      <c r="I33" s="20">
        <f>IF(SUMIFS(İndirimler!$D$2:$D$210,İndirimler!$A$2:$A$210,B33,İndirimler!$B$2:$B$210,C33)&gt;0,ROUND(G33*(1-SUMIFS(İndirimler!$D$2:$D$210,İndirimler!$A$2:$A$210,B33,İndirimler!$B$2:$B$210,C33)),2),"")</f>
        <v>299.60000000000002</v>
      </c>
      <c r="J33" s="11" t="s">
        <v>91</v>
      </c>
      <c r="K33" s="27"/>
    </row>
    <row r="34" spans="1:11">
      <c r="A34" s="55" t="s">
        <v>92</v>
      </c>
      <c r="B34" s="11" t="s">
        <v>63</v>
      </c>
      <c r="C34" s="11" t="s">
        <v>76</v>
      </c>
      <c r="D34" s="11" t="s">
        <v>34</v>
      </c>
      <c r="E34" s="11" t="s">
        <v>64</v>
      </c>
      <c r="F34" s="11" t="s">
        <v>16</v>
      </c>
      <c r="G34" s="14">
        <v>405</v>
      </c>
      <c r="H34" s="17">
        <f>IF(SUMIFS(İndirimler!$C$2:$C$210,İndirimler!$A$2:$A$210,B34,İndirimler!$B$2:$B$210,C34)&gt;0,ROUND(G34*(1-SUMIFS(İndirimler!$C$2:$C$210,İndirimler!$A$2:$A$210,B34,İndirimler!$B$2:$B$210,C34)),2),"")</f>
        <v>344.25</v>
      </c>
      <c r="I34" s="20">
        <f>IF(SUMIFS(İndirimler!$D$2:$D$210,İndirimler!$A$2:$A$210,B34,İndirimler!$B$2:$B$210,C34)&gt;0,ROUND(G34*(1-SUMIFS(İndirimler!$D$2:$D$210,İndirimler!$A$2:$A$210,B34,İndirimler!$B$2:$B$210,C34)),2),"")</f>
        <v>283.5</v>
      </c>
      <c r="J34" s="11" t="s">
        <v>93</v>
      </c>
      <c r="K34" s="27"/>
    </row>
    <row r="35" spans="1:11">
      <c r="A35" s="55" t="s">
        <v>94</v>
      </c>
      <c r="B35" s="11" t="s">
        <v>23</v>
      </c>
      <c r="C35" s="11" t="s">
        <v>76</v>
      </c>
      <c r="D35" s="11" t="s">
        <v>34</v>
      </c>
      <c r="E35" s="11"/>
      <c r="F35" s="11" t="s">
        <v>16</v>
      </c>
      <c r="G35" s="14">
        <v>622</v>
      </c>
      <c r="H35" s="17">
        <f>IF(SUMIFS(İndirimler!$C$2:$C$210,İndirimler!$A$2:$A$210,B35,İndirimler!$B$2:$B$210,C35)&gt;0,ROUND(G35*(1-SUMIFS(İndirimler!$C$2:$C$210,İndirimler!$A$2:$A$210,B35,İndirimler!$B$2:$B$210,C35)),2),"")</f>
        <v>528.70000000000005</v>
      </c>
      <c r="I35" s="20">
        <f>IF(SUMIFS(İndirimler!$D$2:$D$210,İndirimler!$A$2:$A$210,B35,İndirimler!$B$2:$B$210,C35)&gt;0,ROUND(G35*(1-SUMIFS(İndirimler!$D$2:$D$210,İndirimler!$A$2:$A$210,B35,İndirimler!$B$2:$B$210,C35)),2),"")</f>
        <v>435.4</v>
      </c>
      <c r="J35" s="11" t="s">
        <v>95</v>
      </c>
      <c r="K35" s="27"/>
    </row>
    <row r="36" spans="1:11">
      <c r="A36" s="55" t="s">
        <v>96</v>
      </c>
      <c r="B36" s="11" t="s">
        <v>50</v>
      </c>
      <c r="C36" s="11" t="s">
        <v>76</v>
      </c>
      <c r="D36" s="11" t="s">
        <v>34</v>
      </c>
      <c r="E36" s="11" t="s">
        <v>69</v>
      </c>
      <c r="F36" s="11" t="s">
        <v>16</v>
      </c>
      <c r="G36" s="14">
        <v>598</v>
      </c>
      <c r="H36" s="17">
        <f>IF(SUMIFS(İndirimler!$C$2:$C$210,İndirimler!$A$2:$A$210,B36,İndirimler!$B$2:$B$210,C36)&gt;0,ROUND(G36*(1-SUMIFS(İndirimler!$C$2:$C$210,İndirimler!$A$2:$A$210,B36,İndirimler!$B$2:$B$210,C36)),2),"")</f>
        <v>508.3</v>
      </c>
      <c r="I36" s="20">
        <f>IF(SUMIFS(İndirimler!$D$2:$D$210,İndirimler!$A$2:$A$210,B36,İndirimler!$B$2:$B$210,C36)&gt;0,ROUND(G36*(1-SUMIFS(İndirimler!$D$2:$D$210,İndirimler!$A$2:$A$210,B36,İndirimler!$B$2:$B$210,C36)),2),"")</f>
        <v>418.6</v>
      </c>
      <c r="J36" s="11"/>
      <c r="K36" s="27"/>
    </row>
    <row r="37" spans="1:11">
      <c r="A37" s="55" t="s">
        <v>97</v>
      </c>
      <c r="B37" s="11" t="s">
        <v>53</v>
      </c>
      <c r="C37" s="11" t="s">
        <v>76</v>
      </c>
      <c r="D37" s="11" t="s">
        <v>34</v>
      </c>
      <c r="E37" s="11"/>
      <c r="F37" s="11" t="s">
        <v>16</v>
      </c>
      <c r="G37" s="14">
        <v>539</v>
      </c>
      <c r="H37" s="17">
        <f>IF(SUMIFS(İndirimler!$C$2:$C$210,İndirimler!$A$2:$A$210,B37,İndirimler!$B$2:$B$210,C37)&gt;0,ROUND(G37*(1-SUMIFS(İndirimler!$C$2:$C$210,İndirimler!$A$2:$A$210,B37,İndirimler!$B$2:$B$210,C37)),2),"")</f>
        <v>458.15</v>
      </c>
      <c r="I37" s="20">
        <f>IF(SUMIFS(İndirimler!$D$2:$D$210,İndirimler!$A$2:$A$210,B37,İndirimler!$B$2:$B$210,C37)&gt;0,ROUND(G37*(1-SUMIFS(İndirimler!$D$2:$D$210,İndirimler!$A$2:$A$210,B37,İndirimler!$B$2:$B$210,C37)),2),"")</f>
        <v>377.3</v>
      </c>
      <c r="J37" s="11"/>
      <c r="K37" s="27"/>
    </row>
    <row r="38" spans="1:11">
      <c r="A38" s="55" t="s">
        <v>98</v>
      </c>
      <c r="B38" s="11" t="s">
        <v>38</v>
      </c>
      <c r="C38" s="11" t="s">
        <v>76</v>
      </c>
      <c r="D38" s="11" t="s">
        <v>34</v>
      </c>
      <c r="E38" s="11" t="s">
        <v>69</v>
      </c>
      <c r="F38" s="11" t="s">
        <v>16</v>
      </c>
      <c r="G38" s="14">
        <v>505</v>
      </c>
      <c r="H38" s="17">
        <f>IF(SUMIFS(İndirimler!$C$2:$C$210,İndirimler!$A$2:$A$210,B38,İndirimler!$B$2:$B$210,C38)&gt;0,ROUND(G38*(1-SUMIFS(İndirimler!$C$2:$C$210,İndirimler!$A$2:$A$210,B38,İndirimler!$B$2:$B$210,C38)),2),"")</f>
        <v>429.25</v>
      </c>
      <c r="I38" s="20">
        <f>IF(SUMIFS(İndirimler!$D$2:$D$210,İndirimler!$A$2:$A$210,B38,İndirimler!$B$2:$B$210,C38)&gt;0,ROUND(G38*(1-SUMIFS(İndirimler!$D$2:$D$210,İndirimler!$A$2:$A$210,B38,İndirimler!$B$2:$B$210,C38)),2),"")</f>
        <v>353.5</v>
      </c>
      <c r="J38" s="11"/>
      <c r="K38" s="27"/>
    </row>
    <row r="39" spans="1:11">
      <c r="A39" s="55" t="s">
        <v>99</v>
      </c>
      <c r="B39" s="11" t="s">
        <v>72</v>
      </c>
      <c r="C39" s="11" t="s">
        <v>76</v>
      </c>
      <c r="D39" s="11" t="s">
        <v>34</v>
      </c>
      <c r="E39" s="11"/>
      <c r="F39" s="11" t="s">
        <v>73</v>
      </c>
      <c r="G39" s="14">
        <v>409</v>
      </c>
      <c r="H39" s="17">
        <f>IF(SUMIFS(İndirimler!$C$2:$C$210,İndirimler!$A$2:$A$210,B39,İndirimler!$B$2:$B$210,C39)&gt;0,ROUND(G39*(1-SUMIFS(İndirimler!$C$2:$C$210,İndirimler!$A$2:$A$210,B39,İndirimler!$B$2:$B$210,C39)),2),"")</f>
        <v>347.65</v>
      </c>
      <c r="I39" s="20">
        <f>IF(SUMIFS(İndirimler!$D$2:$D$210,İndirimler!$A$2:$A$210,B39,İndirimler!$B$2:$B$210,C39)&gt;0,ROUND(G39*(1-SUMIFS(İndirimler!$D$2:$D$210,İndirimler!$A$2:$A$210,B39,İndirimler!$B$2:$B$210,C39)),2),"")</f>
        <v>286.3</v>
      </c>
      <c r="J39" s="11"/>
      <c r="K39" s="27"/>
    </row>
    <row r="40" spans="1:11">
      <c r="A40" s="55" t="s">
        <v>100</v>
      </c>
      <c r="B40" s="11" t="s">
        <v>38</v>
      </c>
      <c r="C40" s="11" t="s">
        <v>101</v>
      </c>
      <c r="D40" s="11" t="s">
        <v>34</v>
      </c>
      <c r="E40" s="11"/>
      <c r="F40" s="11" t="s">
        <v>35</v>
      </c>
      <c r="G40" s="14"/>
      <c r="H40" s="17">
        <f>IF(SUMIFS(İndirimler!$C$2:$C$210,İndirimler!$A$2:$A$210,B40,İndirimler!$B$2:$B$210,C40)&gt;0,ROUND(G40*(1-SUMIFS(İndirimler!$C$2:$C$210,İndirimler!$A$2:$A$210,B40,İndirimler!$B$2:$B$210,C40)),2),"")</f>
        <v>0</v>
      </c>
      <c r="I40" s="20">
        <f>IF(SUMIFS(İndirimler!$D$2:$D$210,İndirimler!$A$2:$A$210,B40,İndirimler!$B$2:$B$210,C40)&gt;0,ROUND(G40*(1-SUMIFS(İndirimler!$D$2:$D$210,İndirimler!$A$2:$A$210,B40,İndirimler!$B$2:$B$210,C40)),2),"")</f>
        <v>0</v>
      </c>
      <c r="J40" s="11"/>
      <c r="K40" s="27"/>
    </row>
    <row r="41" spans="1:11">
      <c r="A41" s="55" t="s">
        <v>102</v>
      </c>
      <c r="B41" s="11" t="s">
        <v>18</v>
      </c>
      <c r="C41" s="11" t="s">
        <v>101</v>
      </c>
      <c r="D41" s="11" t="s">
        <v>34</v>
      </c>
      <c r="E41" s="11" t="s">
        <v>41</v>
      </c>
      <c r="F41" s="11" t="s">
        <v>42</v>
      </c>
      <c r="G41" s="14"/>
      <c r="H41" s="17">
        <f>IF(SUMIFS(İndirimler!$C$2:$C$210,İndirimler!$A$2:$A$210,B41,İndirimler!$B$2:$B$210,C41)&gt;0,ROUND(G41*(1-SUMIFS(İndirimler!$C$2:$C$210,İndirimler!$A$2:$A$210,B41,İndirimler!$B$2:$B$210,C41)),2),"")</f>
        <v>0</v>
      </c>
      <c r="I41" s="20">
        <f>IF(SUMIFS(İndirimler!$D$2:$D$210,İndirimler!$A$2:$A$210,B41,İndirimler!$B$2:$B$210,C41)&gt;0,ROUND(G41*(1-SUMIFS(İndirimler!$D$2:$D$210,İndirimler!$A$2:$A$210,B41,İndirimler!$B$2:$B$210,C41)),2),"")</f>
        <v>0</v>
      </c>
      <c r="J41" s="11"/>
      <c r="K41" s="27"/>
    </row>
    <row r="42" spans="1:11">
      <c r="A42" s="55" t="s">
        <v>103</v>
      </c>
      <c r="B42" s="11" t="s">
        <v>72</v>
      </c>
      <c r="C42" s="11" t="s">
        <v>101</v>
      </c>
      <c r="D42" s="11" t="s">
        <v>34</v>
      </c>
      <c r="E42" s="11" t="s">
        <v>104</v>
      </c>
      <c r="F42" s="11" t="s">
        <v>42</v>
      </c>
      <c r="G42" s="14"/>
      <c r="H42" s="17">
        <f>IF(SUMIFS(İndirimler!$C$2:$C$210,İndirimler!$A$2:$A$210,B42,İndirimler!$B$2:$B$210,C42)&gt;0,ROUND(G42*(1-SUMIFS(İndirimler!$C$2:$C$210,İndirimler!$A$2:$A$210,B42,İndirimler!$B$2:$B$210,C42)),2),"")</f>
        <v>0</v>
      </c>
      <c r="I42" s="20">
        <f>IF(SUMIFS(İndirimler!$D$2:$D$210,İndirimler!$A$2:$A$210,B42,İndirimler!$B$2:$B$210,C42)&gt;0,ROUND(G42*(1-SUMIFS(İndirimler!$D$2:$D$210,İndirimler!$A$2:$A$210,B42,İndirimler!$B$2:$B$210,C42)),2),"")</f>
        <v>0</v>
      </c>
      <c r="J42" s="11"/>
      <c r="K42" s="27"/>
    </row>
    <row r="43" spans="1:11">
      <c r="A43" s="55" t="s">
        <v>105</v>
      </c>
      <c r="B43" s="11" t="s">
        <v>23</v>
      </c>
      <c r="C43" s="11" t="s">
        <v>101</v>
      </c>
      <c r="D43" s="11" t="s">
        <v>34</v>
      </c>
      <c r="E43" s="11"/>
      <c r="F43" s="11" t="s">
        <v>42</v>
      </c>
      <c r="G43" s="14">
        <v>684</v>
      </c>
      <c r="H43" s="17">
        <f>IF(SUMIFS(İndirimler!$C$2:$C$210,İndirimler!$A$2:$A$210,B43,İndirimler!$B$2:$B$210,C43)&gt;0,ROUND(G43*(1-SUMIFS(İndirimler!$C$2:$C$210,İndirimler!$A$2:$A$210,B43,İndirimler!$B$2:$B$210,C43)),2),"")</f>
        <v>581.4</v>
      </c>
      <c r="I43" s="20">
        <f>IF(SUMIFS(İndirimler!$D$2:$D$210,İndirimler!$A$2:$A$210,B43,İndirimler!$B$2:$B$210,C43)&gt;0,ROUND(G43*(1-SUMIFS(İndirimler!$D$2:$D$210,İndirimler!$A$2:$A$210,B43,İndirimler!$B$2:$B$210,C43)),2),"")</f>
        <v>478.8</v>
      </c>
      <c r="J43" s="11"/>
      <c r="K43" s="27"/>
    </row>
    <row r="44" spans="1:11">
      <c r="A44" s="55" t="s">
        <v>106</v>
      </c>
      <c r="B44" s="11" t="s">
        <v>50</v>
      </c>
      <c r="C44" s="11" t="s">
        <v>101</v>
      </c>
      <c r="D44" s="11" t="s">
        <v>34</v>
      </c>
      <c r="E44" s="11" t="s">
        <v>51</v>
      </c>
      <c r="F44" s="11" t="s">
        <v>42</v>
      </c>
      <c r="G44" s="14">
        <v>840</v>
      </c>
      <c r="H44" s="17">
        <f>IF(SUMIFS(İndirimler!$C$2:$C$210,İndirimler!$A$2:$A$210,B44,İndirimler!$B$2:$B$210,C44)&gt;0,ROUND(G44*(1-SUMIFS(İndirimler!$C$2:$C$210,İndirimler!$A$2:$A$210,B44,İndirimler!$B$2:$B$210,C44)),2),"")</f>
        <v>714</v>
      </c>
      <c r="I44" s="20">
        <f>IF(SUMIFS(İndirimler!$D$2:$D$210,İndirimler!$A$2:$A$210,B44,İndirimler!$B$2:$B$210,C44)&gt;0,ROUND(G44*(1-SUMIFS(İndirimler!$D$2:$D$210,İndirimler!$A$2:$A$210,B44,İndirimler!$B$2:$B$210,C44)),2),"")</f>
        <v>588</v>
      </c>
      <c r="J44" s="11"/>
      <c r="K44" s="27"/>
    </row>
    <row r="45" spans="1:11">
      <c r="A45" s="55" t="s">
        <v>107</v>
      </c>
      <c r="B45" s="11" t="s">
        <v>55</v>
      </c>
      <c r="C45" s="11" t="s">
        <v>101</v>
      </c>
      <c r="D45" s="11" t="s">
        <v>34</v>
      </c>
      <c r="E45" s="11"/>
      <c r="F45" s="11" t="s">
        <v>16</v>
      </c>
      <c r="G45" s="14">
        <v>402</v>
      </c>
      <c r="H45" s="17">
        <f>IF(SUMIFS(İndirimler!$C$2:$C$210,İndirimler!$A$2:$A$210,B45,İndirimler!$B$2:$B$210,C45)&gt;0,ROUND(G45*(1-SUMIFS(İndirimler!$C$2:$C$210,İndirimler!$A$2:$A$210,B45,İndirimler!$B$2:$B$210,C45)),2),"")</f>
        <v>341.7</v>
      </c>
      <c r="I45" s="20">
        <f>IF(SUMIFS(İndirimler!$D$2:$D$210,İndirimler!$A$2:$A$210,B45,İndirimler!$B$2:$B$210,C45)&gt;0,ROUND(G45*(1-SUMIFS(İndirimler!$D$2:$D$210,İndirimler!$A$2:$A$210,B45,İndirimler!$B$2:$B$210,C45)),2),"")</f>
        <v>281.39999999999998</v>
      </c>
      <c r="J45" s="11"/>
      <c r="K45" s="27"/>
    </row>
    <row r="46" spans="1:11">
      <c r="A46" s="55" t="s">
        <v>108</v>
      </c>
      <c r="B46" s="11" t="s">
        <v>18</v>
      </c>
      <c r="C46" s="11" t="s">
        <v>101</v>
      </c>
      <c r="D46" s="11" t="s">
        <v>34</v>
      </c>
      <c r="E46" s="11" t="s">
        <v>109</v>
      </c>
      <c r="F46" s="11" t="s">
        <v>16</v>
      </c>
      <c r="G46" s="14"/>
      <c r="H46" s="17">
        <f>IF(SUMIFS(İndirimler!$C$2:$C$210,İndirimler!$A$2:$A$210,B46,İndirimler!$B$2:$B$210,C46)&gt;0,ROUND(G46*(1-SUMIFS(İndirimler!$C$2:$C$210,İndirimler!$A$2:$A$210,B46,İndirimler!$B$2:$B$210,C46)),2),"")</f>
        <v>0</v>
      </c>
      <c r="I46" s="20">
        <f>IF(SUMIFS(İndirimler!$D$2:$D$210,İndirimler!$A$2:$A$210,B46,İndirimler!$B$2:$B$210,C46)&gt;0,ROUND(G46*(1-SUMIFS(İndirimler!$D$2:$D$210,İndirimler!$A$2:$A$210,B46,İndirimler!$B$2:$B$210,C46)),2),"")</f>
        <v>0</v>
      </c>
      <c r="J46" s="11"/>
      <c r="K46" s="27"/>
    </row>
    <row r="47" spans="1:11">
      <c r="A47" s="55" t="s">
        <v>110</v>
      </c>
      <c r="B47" s="11" t="s">
        <v>63</v>
      </c>
      <c r="C47" s="11" t="s">
        <v>101</v>
      </c>
      <c r="D47" s="11" t="s">
        <v>34</v>
      </c>
      <c r="E47" s="11" t="s">
        <v>64</v>
      </c>
      <c r="F47" s="11" t="s">
        <v>16</v>
      </c>
      <c r="G47" s="14"/>
      <c r="H47" s="17">
        <f>IF(SUMIFS(İndirimler!$C$2:$C$210,İndirimler!$A$2:$A$210,B47,İndirimler!$B$2:$B$210,C47)&gt;0,ROUND(G47*(1-SUMIFS(İndirimler!$C$2:$C$210,İndirimler!$A$2:$A$210,B47,İndirimler!$B$2:$B$210,C47)),2),"")</f>
        <v>0</v>
      </c>
      <c r="I47" s="20">
        <f>IF(SUMIFS(İndirimler!$D$2:$D$210,İndirimler!$A$2:$A$210,B47,İndirimler!$B$2:$B$210,C47)&gt;0,ROUND(G47*(1-SUMIFS(İndirimler!$D$2:$D$210,İndirimler!$A$2:$A$210,B47,İndirimler!$B$2:$B$210,C47)),2),"")</f>
        <v>0</v>
      </c>
      <c r="J47" s="11" t="s">
        <v>111</v>
      </c>
      <c r="K47" s="27"/>
    </row>
    <row r="48" spans="1:11">
      <c r="A48" s="55" t="s">
        <v>112</v>
      </c>
      <c r="B48" s="11" t="s">
        <v>23</v>
      </c>
      <c r="C48" s="11" t="s">
        <v>101</v>
      </c>
      <c r="D48" s="11" t="s">
        <v>34</v>
      </c>
      <c r="E48" s="11"/>
      <c r="F48" s="11" t="s">
        <v>16</v>
      </c>
      <c r="G48" s="14">
        <v>614</v>
      </c>
      <c r="H48" s="17">
        <f>IF(SUMIFS(İndirimler!$C$2:$C$210,İndirimler!$A$2:$A$210,B48,İndirimler!$B$2:$B$210,C48)&gt;0,ROUND(G48*(1-SUMIFS(İndirimler!$C$2:$C$210,İndirimler!$A$2:$A$210,B48,İndirimler!$B$2:$B$210,C48)),2),"")</f>
        <v>521.9</v>
      </c>
      <c r="I48" s="20">
        <f>IF(SUMIFS(İndirimler!$D$2:$D$210,İndirimler!$A$2:$A$210,B48,İndirimler!$B$2:$B$210,C48)&gt;0,ROUND(G48*(1-SUMIFS(İndirimler!$D$2:$D$210,İndirimler!$A$2:$A$210,B48,İndirimler!$B$2:$B$210,C48)),2),"")</f>
        <v>429.8</v>
      </c>
      <c r="J48" s="11"/>
      <c r="K48" s="27"/>
    </row>
    <row r="49" spans="1:11">
      <c r="A49" s="55" t="s">
        <v>113</v>
      </c>
      <c r="B49" s="11" t="s">
        <v>50</v>
      </c>
      <c r="C49" s="11" t="s">
        <v>101</v>
      </c>
      <c r="D49" s="11" t="s">
        <v>34</v>
      </c>
      <c r="E49" s="11" t="s">
        <v>69</v>
      </c>
      <c r="F49" s="11" t="s">
        <v>16</v>
      </c>
      <c r="G49" s="14">
        <v>616</v>
      </c>
      <c r="H49" s="17">
        <f>IF(SUMIFS(İndirimler!$C$2:$C$210,İndirimler!$A$2:$A$210,B49,İndirimler!$B$2:$B$210,C49)&gt;0,ROUND(G49*(1-SUMIFS(İndirimler!$C$2:$C$210,İndirimler!$A$2:$A$210,B49,İndirimler!$B$2:$B$210,C49)),2),"")</f>
        <v>523.6</v>
      </c>
      <c r="I49" s="20">
        <f>IF(SUMIFS(İndirimler!$D$2:$D$210,İndirimler!$A$2:$A$210,B49,İndirimler!$B$2:$B$210,C49)&gt;0,ROUND(G49*(1-SUMIFS(İndirimler!$D$2:$D$210,İndirimler!$A$2:$A$210,B49,İndirimler!$B$2:$B$210,C49)),2),"")</f>
        <v>431.2</v>
      </c>
      <c r="J49" s="11"/>
      <c r="K49" s="27"/>
    </row>
    <row r="50" spans="1:11">
      <c r="A50" s="55" t="s">
        <v>114</v>
      </c>
      <c r="B50" s="11" t="s">
        <v>53</v>
      </c>
      <c r="C50" s="11" t="s">
        <v>101</v>
      </c>
      <c r="D50" s="11" t="s">
        <v>34</v>
      </c>
      <c r="E50" s="11"/>
      <c r="F50" s="11" t="s">
        <v>16</v>
      </c>
      <c r="G50" s="14"/>
      <c r="H50" s="17">
        <f>IF(SUMIFS(İndirimler!$C$2:$C$210,İndirimler!$A$2:$A$210,B50,İndirimler!$B$2:$B$210,C50)&gt;0,ROUND(G50*(1-SUMIFS(İndirimler!$C$2:$C$210,İndirimler!$A$2:$A$210,B50,İndirimler!$B$2:$B$210,C50)),2),"")</f>
        <v>0</v>
      </c>
      <c r="I50" s="20">
        <f>IF(SUMIFS(İndirimler!$D$2:$D$210,İndirimler!$A$2:$A$210,B50,İndirimler!$B$2:$B$210,C50)&gt;0,ROUND(G50*(1-SUMIFS(İndirimler!$D$2:$D$210,İndirimler!$A$2:$A$210,B50,İndirimler!$B$2:$B$210,C50)),2),"")</f>
        <v>0</v>
      </c>
      <c r="J50" s="11"/>
      <c r="K50" s="27"/>
    </row>
    <row r="51" spans="1:11">
      <c r="A51" s="55" t="s">
        <v>115</v>
      </c>
      <c r="B51" s="11" t="s">
        <v>38</v>
      </c>
      <c r="C51" s="11" t="s">
        <v>101</v>
      </c>
      <c r="D51" s="11" t="s">
        <v>34</v>
      </c>
      <c r="E51" s="11"/>
      <c r="F51" s="11" t="s">
        <v>16</v>
      </c>
      <c r="G51" s="14"/>
      <c r="H51" s="17">
        <f>IF(SUMIFS(İndirimler!$C$2:$C$210,İndirimler!$A$2:$A$210,B51,İndirimler!$B$2:$B$210,C51)&gt;0,ROUND(G51*(1-SUMIFS(İndirimler!$C$2:$C$210,İndirimler!$A$2:$A$210,B51,İndirimler!$B$2:$B$210,C51)),2),"")</f>
        <v>0</v>
      </c>
      <c r="I51" s="20">
        <f>IF(SUMIFS(İndirimler!$D$2:$D$210,İndirimler!$A$2:$A$210,B51,İndirimler!$B$2:$B$210,C51)&gt;0,ROUND(G51*(1-SUMIFS(İndirimler!$D$2:$D$210,İndirimler!$A$2:$A$210,B51,İndirimler!$B$2:$B$210,C51)),2),"")</f>
        <v>0</v>
      </c>
      <c r="J51" s="11"/>
      <c r="K51" s="27"/>
    </row>
    <row r="52" spans="1:11">
      <c r="A52" s="55" t="s">
        <v>116</v>
      </c>
      <c r="B52" s="11" t="s">
        <v>72</v>
      </c>
      <c r="C52" s="11" t="s">
        <v>101</v>
      </c>
      <c r="D52" s="11" t="s">
        <v>34</v>
      </c>
      <c r="E52" s="11"/>
      <c r="F52" s="11" t="s">
        <v>73</v>
      </c>
      <c r="G52" s="14"/>
      <c r="H52" s="17">
        <f>IF(SUMIFS(İndirimler!$C$2:$C$210,İndirimler!$A$2:$A$210,B52,İndirimler!$B$2:$B$210,C52)&gt;0,ROUND(G52*(1-SUMIFS(İndirimler!$C$2:$C$210,İndirimler!$A$2:$A$210,B52,İndirimler!$B$2:$B$210,C52)),2),"")</f>
        <v>0</v>
      </c>
      <c r="I52" s="20">
        <f>IF(SUMIFS(İndirimler!$D$2:$D$210,İndirimler!$A$2:$A$210,B52,İndirimler!$B$2:$B$210,C52)&gt;0,ROUND(G52*(1-SUMIFS(İndirimler!$D$2:$D$210,İndirimler!$A$2:$A$210,B52,İndirimler!$B$2:$B$210,C52)),2),"")</f>
        <v>0</v>
      </c>
      <c r="J52" s="11"/>
      <c r="K52" s="27"/>
    </row>
    <row r="53" spans="1:11">
      <c r="A53" s="55" t="s">
        <v>117</v>
      </c>
      <c r="B53" s="11" t="s">
        <v>38</v>
      </c>
      <c r="C53" s="11" t="s">
        <v>13</v>
      </c>
      <c r="D53" s="11" t="s">
        <v>34</v>
      </c>
      <c r="E53" s="11" t="s">
        <v>69</v>
      </c>
      <c r="F53" s="11" t="s">
        <v>16</v>
      </c>
      <c r="G53" s="14">
        <v>365</v>
      </c>
      <c r="H53" s="17">
        <f>IF(SUMIFS(İndirimler!$C$2:$C$210,İndirimler!$A$2:$A$210,B53,İndirimler!$B$2:$B$210,C53)&gt;0,ROUND(G53*(1-SUMIFS(İndirimler!$C$2:$C$210,İndirimler!$A$2:$A$210,B53,İndirimler!$B$2:$B$210,C53)),2),"")</f>
        <v>310.25</v>
      </c>
      <c r="I53" s="20">
        <f>IF(SUMIFS(İndirimler!$D$2:$D$210,İndirimler!$A$2:$A$210,B53,İndirimler!$B$2:$B$210,C53)&gt;0,ROUND(G53*(1-SUMIFS(İndirimler!$D$2:$D$210,İndirimler!$A$2:$A$210,B53,İndirimler!$B$2:$B$210,C53)),2),"")</f>
        <v>255.5</v>
      </c>
      <c r="J53" s="11"/>
      <c r="K53" s="27"/>
    </row>
    <row r="54" spans="1:11">
      <c r="A54" s="55" t="s">
        <v>121</v>
      </c>
      <c r="B54" s="11" t="s">
        <v>119</v>
      </c>
      <c r="C54" s="11" t="s">
        <v>33</v>
      </c>
      <c r="D54" s="11" t="s">
        <v>120</v>
      </c>
      <c r="E54" s="11" t="s">
        <v>41</v>
      </c>
      <c r="F54" s="11" t="s">
        <v>35</v>
      </c>
      <c r="G54" s="14">
        <v>659</v>
      </c>
      <c r="H54" s="17">
        <f>IF(SUMIFS(İndirimler!$C$2:$C$210,İndirimler!$A$2:$A$210,B54,İndirimler!$B$2:$B$210,C54)&gt;0,ROUND(G54*(1-SUMIFS(İndirimler!$C$2:$C$210,İndirimler!$A$2:$A$210,B54,İndirimler!$B$2:$B$210,C54)),2),"")</f>
        <v>560.15</v>
      </c>
      <c r="I54" s="20">
        <f>IF(SUMIFS(İndirimler!$D$2:$D$210,İndirimler!$A$2:$A$210,B54,İndirimler!$B$2:$B$210,C54)&gt;0,ROUND(G54*(1-SUMIFS(İndirimler!$D$2:$D$210,İndirimler!$A$2:$A$210,B54,İndirimler!$B$2:$B$210,C54)),2),"")</f>
        <v>461.3</v>
      </c>
      <c r="J54" s="11"/>
      <c r="K54" s="27" t="s">
        <v>118</v>
      </c>
    </row>
    <row r="55" spans="1:11">
      <c r="A55" s="55" t="s">
        <v>122</v>
      </c>
      <c r="B55" s="11" t="s">
        <v>123</v>
      </c>
      <c r="C55" s="11" t="s">
        <v>33</v>
      </c>
      <c r="D55" s="11" t="s">
        <v>120</v>
      </c>
      <c r="E55" s="11" t="s">
        <v>124</v>
      </c>
      <c r="F55" s="11" t="s">
        <v>35</v>
      </c>
      <c r="G55" s="14"/>
      <c r="H55" s="17">
        <f>IF(SUMIFS(İndirimler!$C$2:$C$210,İndirimler!$A$2:$A$210,B55,İndirimler!$B$2:$B$210,C55)&gt;0,ROUND(G55*(1-SUMIFS(İndirimler!$C$2:$C$210,İndirimler!$A$2:$A$210,B55,İndirimler!$B$2:$B$210,C55)),2),"")</f>
        <v>0</v>
      </c>
      <c r="I55" s="20">
        <f>IF(SUMIFS(İndirimler!$D$2:$D$210,İndirimler!$A$2:$A$210,B55,İndirimler!$B$2:$B$210,C55)&gt;0,ROUND(G55*(1-SUMIFS(İndirimler!$D$2:$D$210,İndirimler!$A$2:$A$210,B55,İndirimler!$B$2:$B$210,C55)),2),"")</f>
        <v>0</v>
      </c>
      <c r="J55" s="11"/>
      <c r="K55" s="27"/>
    </row>
    <row r="56" spans="1:11">
      <c r="A56" s="55" t="s">
        <v>125</v>
      </c>
      <c r="B56" s="11" t="s">
        <v>25</v>
      </c>
      <c r="C56" s="11" t="s">
        <v>33</v>
      </c>
      <c r="D56" s="11" t="s">
        <v>120</v>
      </c>
      <c r="E56" s="11" t="s">
        <v>126</v>
      </c>
      <c r="F56" s="11" t="s">
        <v>35</v>
      </c>
      <c r="G56" s="14">
        <v>659</v>
      </c>
      <c r="H56" s="17">
        <f>IF(SUMIFS(İndirimler!$C$2:$C$210,İndirimler!$A$2:$A$210,B56,İndirimler!$B$2:$B$210,C56)&gt;0,ROUND(G56*(1-SUMIFS(İndirimler!$C$2:$C$210,İndirimler!$A$2:$A$210,B56,İndirimler!$B$2:$B$210,C56)),2),"")</f>
        <v>560.15</v>
      </c>
      <c r="I56" s="20">
        <f>IF(SUMIFS(İndirimler!$D$2:$D$210,İndirimler!$A$2:$A$210,B56,İndirimler!$B$2:$B$210,C56)&gt;0,ROUND(G56*(1-SUMIFS(İndirimler!$D$2:$D$210,İndirimler!$A$2:$A$210,B56,İndirimler!$B$2:$B$210,C56)),2),"")</f>
        <v>461.3</v>
      </c>
      <c r="J56" s="11"/>
      <c r="K56" s="27"/>
    </row>
    <row r="57" spans="1:11">
      <c r="A57" s="55" t="s">
        <v>127</v>
      </c>
      <c r="B57" s="11" t="s">
        <v>894</v>
      </c>
      <c r="C57" s="11" t="s">
        <v>33</v>
      </c>
      <c r="D57" s="11" t="s">
        <v>120</v>
      </c>
      <c r="E57" s="11" t="s">
        <v>128</v>
      </c>
      <c r="F57" s="11" t="s">
        <v>35</v>
      </c>
      <c r="G57" s="14">
        <v>659</v>
      </c>
      <c r="H57" s="17">
        <f>IF(SUMIFS(İndirimler!$C$2:$C$210,İndirimler!$A$2:$A$210,B57,İndirimler!$B$2:$B$210,C57)&gt;0,ROUND(G57*(1-SUMIFS(İndirimler!$C$2:$C$210,İndirimler!$A$2:$A$210,B57,İndirimler!$B$2:$B$210,C57)),2),"")</f>
        <v>560.15</v>
      </c>
      <c r="I57" s="20">
        <f>IF(SUMIFS(İndirimler!$D$2:$D$210,İndirimler!$A$2:$A$210,B57,İndirimler!$B$2:$B$210,C57)&gt;0,ROUND(G57*(1-SUMIFS(İndirimler!$D$2:$D$210,İndirimler!$A$2:$A$210,B57,İndirimler!$B$2:$B$210,C57)),2),"")</f>
        <v>461.3</v>
      </c>
      <c r="J57" s="11"/>
      <c r="K57" s="27" t="s">
        <v>129</v>
      </c>
    </row>
    <row r="58" spans="1:11">
      <c r="A58" s="55" t="s">
        <v>130</v>
      </c>
      <c r="B58" s="11" t="s">
        <v>32</v>
      </c>
      <c r="C58" s="11" t="s">
        <v>33</v>
      </c>
      <c r="D58" s="11" t="s">
        <v>120</v>
      </c>
      <c r="E58" s="11"/>
      <c r="F58" s="11" t="s">
        <v>35</v>
      </c>
      <c r="G58" s="14">
        <v>699</v>
      </c>
      <c r="H58" s="17">
        <f>IF(SUMIFS(İndirimler!$C$2:$C$210,İndirimler!$A$2:$A$210,B58,İndirimler!$B$2:$B$210,C58)&gt;0,ROUND(G58*(1-SUMIFS(İndirimler!$C$2:$C$210,İndirimler!$A$2:$A$210,B58,İndirimler!$B$2:$B$210,C58)),2),"")</f>
        <v>594.15</v>
      </c>
      <c r="I58" s="20">
        <f>IF(SUMIFS(İndirimler!$D$2:$D$210,İndirimler!$A$2:$A$210,B58,İndirimler!$B$2:$B$210,C58)&gt;0,ROUND(G58*(1-SUMIFS(İndirimler!$D$2:$D$210,İndirimler!$A$2:$A$210,B58,İndirimler!$B$2:$B$210,C58)),2),"")</f>
        <v>489.3</v>
      </c>
      <c r="J58" s="26" t="s">
        <v>131</v>
      </c>
      <c r="K58" s="27"/>
    </row>
    <row r="59" spans="1:11">
      <c r="A59" s="55" t="s">
        <v>132</v>
      </c>
      <c r="B59" s="11" t="s">
        <v>133</v>
      </c>
      <c r="C59" s="11" t="s">
        <v>33</v>
      </c>
      <c r="D59" s="11" t="s">
        <v>120</v>
      </c>
      <c r="E59" s="11"/>
      <c r="F59" s="11" t="s">
        <v>35</v>
      </c>
      <c r="G59" s="14">
        <v>999</v>
      </c>
      <c r="H59" s="17">
        <f>IF(SUMIFS(İndirimler!$C$2:$C$210,İndirimler!$A$2:$A$210,B59,İndirimler!$B$2:$B$210,C59)&gt;0,ROUND(G59*(1-SUMIFS(İndirimler!$C$2:$C$210,İndirimler!$A$2:$A$210,B59,İndirimler!$B$2:$B$210,C59)),2),"")</f>
        <v>849.15</v>
      </c>
      <c r="I59" s="20">
        <f>IF(SUMIFS(İndirimler!$D$2:$D$210,İndirimler!$A$2:$A$210,B59,İndirimler!$B$2:$B$210,C59)&gt;0,ROUND(G59*(1-SUMIFS(İndirimler!$D$2:$D$210,İndirimler!$A$2:$A$210,B59,İndirimler!$B$2:$B$210,C59)),2),"")</f>
        <v>699.3</v>
      </c>
      <c r="J59" s="11"/>
      <c r="K59" s="27"/>
    </row>
    <row r="60" spans="1:11">
      <c r="A60" s="55" t="s">
        <v>134</v>
      </c>
      <c r="B60" s="11" t="s">
        <v>38</v>
      </c>
      <c r="C60" s="11" t="s">
        <v>33</v>
      </c>
      <c r="D60" s="11" t="s">
        <v>120</v>
      </c>
      <c r="E60" s="11"/>
      <c r="F60" s="11" t="s">
        <v>35</v>
      </c>
      <c r="G60" s="14">
        <v>899</v>
      </c>
      <c r="H60" s="17">
        <f>IF(SUMIFS(İndirimler!$C$2:$C$210,İndirimler!$A$2:$A$210,B60,İndirimler!$B$2:$B$210,C60)&gt;0,ROUND(G60*(1-SUMIFS(İndirimler!$C$2:$C$210,İndirimler!$A$2:$A$210,B60,İndirimler!$B$2:$B$210,C60)),2),"")</f>
        <v>764.15</v>
      </c>
      <c r="I60" s="20">
        <f>IF(SUMIFS(İndirimler!$D$2:$D$210,İndirimler!$A$2:$A$210,B60,İndirimler!$B$2:$B$210,C60)&gt;0,ROUND(G60*(1-SUMIFS(İndirimler!$D$2:$D$210,İndirimler!$A$2:$A$210,B60,İndirimler!$B$2:$B$210,C60)),2),"")</f>
        <v>629.29999999999995</v>
      </c>
      <c r="J60" s="26" t="s">
        <v>135</v>
      </c>
      <c r="K60" s="27"/>
    </row>
    <row r="61" spans="1:11">
      <c r="A61" s="55" t="s">
        <v>136</v>
      </c>
      <c r="B61" s="11" t="s">
        <v>137</v>
      </c>
      <c r="C61" s="11" t="s">
        <v>33</v>
      </c>
      <c r="D61" s="11" t="s">
        <v>120</v>
      </c>
      <c r="E61" s="11" t="s">
        <v>138</v>
      </c>
      <c r="F61" s="11" t="s">
        <v>42</v>
      </c>
      <c r="G61" s="14">
        <v>644</v>
      </c>
      <c r="H61" s="17">
        <f>IF(SUMIFS(İndirimler!$C$2:$C$210,İndirimler!$A$2:$A$210,B61,İndirimler!$B$2:$B$210,C61)&gt;0,ROUND(G61*(1-SUMIFS(İndirimler!$C$2:$C$210,İndirimler!$A$2:$A$210,B61,İndirimler!$B$2:$B$210,C61)),2),"")</f>
        <v>547.4</v>
      </c>
      <c r="I61" s="20">
        <f>IF(SUMIFS(İndirimler!$D$2:$D$210,İndirimler!$A$2:$A$210,B61,İndirimler!$B$2:$B$210,C61)&gt;0,ROUND(G61*(1-SUMIFS(İndirimler!$D$2:$D$210,İndirimler!$A$2:$A$210,B61,İndirimler!$B$2:$B$210,C61)),2),"")</f>
        <v>450.8</v>
      </c>
      <c r="J61" s="26" t="s">
        <v>139</v>
      </c>
      <c r="K61" s="27"/>
    </row>
    <row r="62" spans="1:11">
      <c r="A62" s="55" t="s">
        <v>140</v>
      </c>
      <c r="B62" s="11" t="s">
        <v>44</v>
      </c>
      <c r="C62" s="11" t="s">
        <v>33</v>
      </c>
      <c r="D62" s="11" t="s">
        <v>120</v>
      </c>
      <c r="E62" s="11" t="s">
        <v>141</v>
      </c>
      <c r="F62" s="11" t="s">
        <v>42</v>
      </c>
      <c r="G62" s="14">
        <v>428</v>
      </c>
      <c r="H62" s="17">
        <f>IF(SUMIFS(İndirimler!$C$2:$C$210,İndirimler!$A$2:$A$210,B62,İndirimler!$B$2:$B$210,C62)&gt;0,ROUND(G62*(1-SUMIFS(İndirimler!$C$2:$C$210,İndirimler!$A$2:$A$210,B62,İndirimler!$B$2:$B$210,C62)),2),"")</f>
        <v>363.8</v>
      </c>
      <c r="I62" s="20">
        <f>IF(SUMIFS(İndirimler!$D$2:$D$210,İndirimler!$A$2:$A$210,B62,İndirimler!$B$2:$B$210,C62)&gt;0,ROUND(G62*(1-SUMIFS(İndirimler!$D$2:$D$210,İndirimler!$A$2:$A$210,B62,İndirimler!$B$2:$B$210,C62)),2),"")</f>
        <v>299.60000000000002</v>
      </c>
      <c r="J62" s="11" t="s">
        <v>142</v>
      </c>
      <c r="K62" s="27"/>
    </row>
    <row r="63" spans="1:11">
      <c r="A63" s="55" t="s">
        <v>143</v>
      </c>
      <c r="B63" s="11" t="s">
        <v>23</v>
      </c>
      <c r="C63" s="11" t="s">
        <v>33</v>
      </c>
      <c r="D63" s="11" t="s">
        <v>120</v>
      </c>
      <c r="E63" s="11"/>
      <c r="F63" s="11" t="s">
        <v>144</v>
      </c>
      <c r="G63" s="14">
        <v>576</v>
      </c>
      <c r="H63" s="17">
        <f>IF(SUMIFS(İndirimler!$C$2:$C$210,İndirimler!$A$2:$A$210,B63,İndirimler!$B$2:$B$210,C63)&gt;0,ROUND(G63*(1-SUMIFS(İndirimler!$C$2:$C$210,İndirimler!$A$2:$A$210,B63,İndirimler!$B$2:$B$210,C63)),2),"")</f>
        <v>489.6</v>
      </c>
      <c r="I63" s="20">
        <f>IF(SUMIFS(İndirimler!$D$2:$D$210,İndirimler!$A$2:$A$210,B63,İndirimler!$B$2:$B$210,C63)&gt;0,ROUND(G63*(1-SUMIFS(İndirimler!$D$2:$D$210,İndirimler!$A$2:$A$210,B63,İndirimler!$B$2:$B$210,C63)),2),"")</f>
        <v>403.2</v>
      </c>
      <c r="J63" s="26" t="s">
        <v>145</v>
      </c>
      <c r="K63" s="27"/>
    </row>
    <row r="64" spans="1:11">
      <c r="A64" s="55" t="s">
        <v>146</v>
      </c>
      <c r="B64" s="11" t="s">
        <v>23</v>
      </c>
      <c r="C64" s="11" t="s">
        <v>33</v>
      </c>
      <c r="D64" s="11" t="s">
        <v>120</v>
      </c>
      <c r="E64" s="11"/>
      <c r="F64" s="11" t="s">
        <v>147</v>
      </c>
      <c r="G64" s="14">
        <v>576</v>
      </c>
      <c r="H64" s="17">
        <f>IF(SUMIFS(İndirimler!$C$2:$C$210,İndirimler!$A$2:$A$210,B64,İndirimler!$B$2:$B$210,C64)&gt;0,ROUND(G64*(1-SUMIFS(İndirimler!$C$2:$C$210,İndirimler!$A$2:$A$210,B64,İndirimler!$B$2:$B$210,C64)),2),"")</f>
        <v>489.6</v>
      </c>
      <c r="I64" s="20">
        <f>IF(SUMIFS(İndirimler!$D$2:$D$210,İndirimler!$A$2:$A$210,B64,İndirimler!$B$2:$B$210,C64)&gt;0,ROUND(G64*(1-SUMIFS(İndirimler!$D$2:$D$210,İndirimler!$A$2:$A$210,B64,İndirimler!$B$2:$B$210,C64)),2),"")</f>
        <v>403.2</v>
      </c>
      <c r="J64" s="11" t="s">
        <v>148</v>
      </c>
      <c r="K64" s="27"/>
    </row>
    <row r="65" spans="1:11">
      <c r="A65" s="55" t="s">
        <v>149</v>
      </c>
      <c r="B65" s="11" t="s">
        <v>50</v>
      </c>
      <c r="C65" s="11" t="s">
        <v>33</v>
      </c>
      <c r="D65" s="11" t="s">
        <v>120</v>
      </c>
      <c r="E65" s="11" t="s">
        <v>150</v>
      </c>
      <c r="F65" s="11" t="s">
        <v>42</v>
      </c>
      <c r="G65" s="14">
        <v>840</v>
      </c>
      <c r="H65" s="17">
        <f>IF(SUMIFS(İndirimler!$C$2:$C$210,İndirimler!$A$2:$A$210,B65,İndirimler!$B$2:$B$210,C65)&gt;0,ROUND(G65*(1-SUMIFS(İndirimler!$C$2:$C$210,İndirimler!$A$2:$A$210,B65,İndirimler!$B$2:$B$210,C65)),2),"")</f>
        <v>714</v>
      </c>
      <c r="I65" s="20">
        <f>IF(SUMIFS(İndirimler!$D$2:$D$210,İndirimler!$A$2:$A$210,B65,İndirimler!$B$2:$B$210,C65)&gt;0,ROUND(G65*(1-SUMIFS(İndirimler!$D$2:$D$210,İndirimler!$A$2:$A$210,B65,İndirimler!$B$2:$B$210,C65)),2),"")</f>
        <v>588</v>
      </c>
      <c r="J65" s="11"/>
      <c r="K65" s="27"/>
    </row>
    <row r="66" spans="1:11">
      <c r="A66" s="55" t="s">
        <v>151</v>
      </c>
      <c r="B66" s="11" t="s">
        <v>55</v>
      </c>
      <c r="C66" s="11" t="s">
        <v>33</v>
      </c>
      <c r="D66" s="11" t="s">
        <v>120</v>
      </c>
      <c r="E66" s="11" t="s">
        <v>69</v>
      </c>
      <c r="F66" s="11" t="s">
        <v>16</v>
      </c>
      <c r="G66" s="14">
        <v>498</v>
      </c>
      <c r="H66" s="17">
        <f>IF(SUMIFS(İndirimler!$C$2:$C$210,İndirimler!$A$2:$A$210,B66,İndirimler!$B$2:$B$210,C66)&gt;0,ROUND(G66*(1-SUMIFS(İndirimler!$C$2:$C$210,İndirimler!$A$2:$A$210,B66,İndirimler!$B$2:$B$210,C66)),2),"")</f>
        <v>423.3</v>
      </c>
      <c r="I66" s="20">
        <f>IF(SUMIFS(İndirimler!$D$2:$D$210,İndirimler!$A$2:$A$210,B66,İndirimler!$B$2:$B$210,C66)&gt;0,ROUND(G66*(1-SUMIFS(İndirimler!$D$2:$D$210,İndirimler!$A$2:$A$210,B66,İndirimler!$B$2:$B$210,C66)),2),"")</f>
        <v>348.6</v>
      </c>
      <c r="J66" s="11" t="s">
        <v>152</v>
      </c>
      <c r="K66" s="27"/>
    </row>
    <row r="67" spans="1:11">
      <c r="A67" s="55" t="s">
        <v>153</v>
      </c>
      <c r="B67" s="11" t="s">
        <v>119</v>
      </c>
      <c r="C67" s="11" t="s">
        <v>33</v>
      </c>
      <c r="D67" s="11" t="s">
        <v>120</v>
      </c>
      <c r="E67" s="11"/>
      <c r="F67" s="11" t="s">
        <v>16</v>
      </c>
      <c r="G67" s="14">
        <v>479</v>
      </c>
      <c r="H67" s="17">
        <f>IF(SUMIFS(İndirimler!$C$2:$C$210,İndirimler!$A$2:$A$210,B67,İndirimler!$B$2:$B$210,C67)&gt;0,ROUND(G67*(1-SUMIFS(İndirimler!$C$2:$C$210,İndirimler!$A$2:$A$210,B67,İndirimler!$B$2:$B$210,C67)),2),"")</f>
        <v>407.15</v>
      </c>
      <c r="I67" s="20">
        <f>IF(SUMIFS(İndirimler!$D$2:$D$210,İndirimler!$A$2:$A$210,B67,İndirimler!$B$2:$B$210,C67)&gt;0,ROUND(G67*(1-SUMIFS(İndirimler!$D$2:$D$210,İndirimler!$A$2:$A$210,B67,İndirimler!$B$2:$B$210,C67)),2),"")</f>
        <v>335.3</v>
      </c>
      <c r="J67" s="11"/>
      <c r="K67" s="27"/>
    </row>
    <row r="68" spans="1:11">
      <c r="A68" s="55" t="s">
        <v>154</v>
      </c>
      <c r="B68" s="11" t="s">
        <v>119</v>
      </c>
      <c r="C68" s="11" t="s">
        <v>33</v>
      </c>
      <c r="D68" s="11" t="s">
        <v>120</v>
      </c>
      <c r="E68" s="11" t="s">
        <v>155</v>
      </c>
      <c r="F68" s="11" t="s">
        <v>16</v>
      </c>
      <c r="G68" s="14">
        <v>505</v>
      </c>
      <c r="H68" s="17">
        <f>IF(SUMIFS(İndirimler!$C$2:$C$210,İndirimler!$A$2:$A$210,B68,İndirimler!$B$2:$B$210,C68)&gt;0,ROUND(G68*(1-SUMIFS(İndirimler!$C$2:$C$210,İndirimler!$A$2:$A$210,B68,İndirimler!$B$2:$B$210,C68)),2),"")</f>
        <v>429.25</v>
      </c>
      <c r="I68" s="20">
        <f>IF(SUMIFS(İndirimler!$D$2:$D$210,İndirimler!$A$2:$A$210,B68,İndirimler!$B$2:$B$210,C68)&gt;0,ROUND(G68*(1-SUMIFS(İndirimler!$D$2:$D$210,İndirimler!$A$2:$A$210,B68,İndirimler!$B$2:$B$210,C68)),2),"")</f>
        <v>353.5</v>
      </c>
      <c r="J68" s="11"/>
      <c r="K68" s="27"/>
    </row>
    <row r="69" spans="1:11">
      <c r="A69" s="55" t="s">
        <v>156</v>
      </c>
      <c r="B69" s="11" t="s">
        <v>137</v>
      </c>
      <c r="C69" s="11" t="s">
        <v>33</v>
      </c>
      <c r="D69" s="11" t="s">
        <v>120</v>
      </c>
      <c r="E69" s="11"/>
      <c r="F69" s="11" t="s">
        <v>16</v>
      </c>
      <c r="G69" s="14">
        <v>608</v>
      </c>
      <c r="H69" s="17">
        <f>IF(SUMIFS(İndirimler!$C$2:$C$210,İndirimler!$A$2:$A$210,B69,İndirimler!$B$2:$B$210,C69)&gt;0,ROUND(G69*(1-SUMIFS(İndirimler!$C$2:$C$210,İndirimler!$A$2:$A$210,B69,İndirimler!$B$2:$B$210,C69)),2),"")</f>
        <v>516.79999999999995</v>
      </c>
      <c r="I69" s="20">
        <f>IF(SUMIFS(İndirimler!$D$2:$D$210,İndirimler!$A$2:$A$210,B69,İndirimler!$B$2:$B$210,C69)&gt;0,ROUND(G69*(1-SUMIFS(İndirimler!$D$2:$D$210,İndirimler!$A$2:$A$210,B69,İndirimler!$B$2:$B$210,C69)),2),"")</f>
        <v>425.6</v>
      </c>
      <c r="J69" s="26" t="s">
        <v>157</v>
      </c>
      <c r="K69" s="27"/>
    </row>
    <row r="70" spans="1:11">
      <c r="A70" s="55" t="s">
        <v>158</v>
      </c>
      <c r="B70" s="11" t="s">
        <v>18</v>
      </c>
      <c r="C70" s="11" t="s">
        <v>33</v>
      </c>
      <c r="D70" s="11" t="s">
        <v>120</v>
      </c>
      <c r="E70" s="11"/>
      <c r="F70" s="11" t="s">
        <v>16</v>
      </c>
      <c r="G70" s="14">
        <v>619</v>
      </c>
      <c r="H70" s="17">
        <f>IF(SUMIFS(İndirimler!$C$2:$C$210,İndirimler!$A$2:$A$210,B70,İndirimler!$B$2:$B$210,C70)&gt;0,ROUND(G70*(1-SUMIFS(İndirimler!$C$2:$C$210,İndirimler!$A$2:$A$210,B70,İndirimler!$B$2:$B$210,C70)),2),"")</f>
        <v>526.15</v>
      </c>
      <c r="I70" s="20">
        <f>IF(SUMIFS(İndirimler!$D$2:$D$210,İndirimler!$A$2:$A$210,B70,İndirimler!$B$2:$B$210,C70)&gt;0,ROUND(G70*(1-SUMIFS(İndirimler!$D$2:$D$210,İndirimler!$A$2:$A$210,B70,İndirimler!$B$2:$B$210,C70)),2),"")</f>
        <v>433.3</v>
      </c>
      <c r="J70" s="26" t="s">
        <v>159</v>
      </c>
      <c r="K70" s="27"/>
    </row>
    <row r="71" spans="1:11">
      <c r="A71" s="55" t="s">
        <v>160</v>
      </c>
      <c r="B71" s="11" t="s">
        <v>18</v>
      </c>
      <c r="C71" s="11" t="s">
        <v>33</v>
      </c>
      <c r="D71" s="11" t="s">
        <v>120</v>
      </c>
      <c r="E71" s="11" t="s">
        <v>41</v>
      </c>
      <c r="F71" s="11" t="s">
        <v>42</v>
      </c>
      <c r="G71" s="14">
        <v>799</v>
      </c>
      <c r="H71" s="17">
        <f>IF(SUMIFS(İndirimler!$C$2:$C$210,İndirimler!$A$2:$A$210,B71,İndirimler!$B$2:$B$210,C71)&gt;0,ROUND(G71*(1-SUMIFS(İndirimler!$C$2:$C$210,İndirimler!$A$2:$A$210,B71,İndirimler!$B$2:$B$210,C71)),2),"")</f>
        <v>679.15</v>
      </c>
      <c r="I71" s="20">
        <f>IF(SUMIFS(İndirimler!$D$2:$D$210,İndirimler!$A$2:$A$210,B71,İndirimler!$B$2:$B$210,C71)&gt;0,ROUND(G71*(1-SUMIFS(İndirimler!$D$2:$D$210,İndirimler!$A$2:$A$210,B71,İndirimler!$B$2:$B$210,C71)),2),"")</f>
        <v>559.29999999999995</v>
      </c>
      <c r="J71" s="11"/>
      <c r="K71" s="27"/>
    </row>
    <row r="72" spans="1:11">
      <c r="A72" s="55" t="s">
        <v>161</v>
      </c>
      <c r="B72" s="11" t="s">
        <v>44</v>
      </c>
      <c r="C72" s="11" t="s">
        <v>33</v>
      </c>
      <c r="D72" s="11" t="s">
        <v>120</v>
      </c>
      <c r="E72" s="11" t="s">
        <v>162</v>
      </c>
      <c r="F72" s="11" t="s">
        <v>16</v>
      </c>
      <c r="G72" s="14">
        <v>428</v>
      </c>
      <c r="H72" s="17">
        <f>IF(SUMIFS(İndirimler!$C$2:$C$210,İndirimler!$A$2:$A$210,B72,İndirimler!$B$2:$B$210,C72)&gt;0,ROUND(G72*(1-SUMIFS(İndirimler!$C$2:$C$210,İndirimler!$A$2:$A$210,B72,İndirimler!$B$2:$B$210,C72)),2),"")</f>
        <v>363.8</v>
      </c>
      <c r="I72" s="20">
        <f>IF(SUMIFS(İndirimler!$D$2:$D$210,İndirimler!$A$2:$A$210,B72,İndirimler!$B$2:$B$210,C72)&gt;0,ROUND(G72*(1-SUMIFS(İndirimler!$D$2:$D$210,İndirimler!$A$2:$A$210,B72,İndirimler!$B$2:$B$210,C72)),2),"")</f>
        <v>299.60000000000002</v>
      </c>
      <c r="J72" s="11" t="s">
        <v>163</v>
      </c>
      <c r="K72" s="27"/>
    </row>
    <row r="73" spans="1:11">
      <c r="A73" s="55" t="s">
        <v>164</v>
      </c>
      <c r="B73" s="11" t="s">
        <v>165</v>
      </c>
      <c r="C73" s="11" t="s">
        <v>33</v>
      </c>
      <c r="D73" s="11" t="s">
        <v>120</v>
      </c>
      <c r="E73" s="11" t="s">
        <v>41</v>
      </c>
      <c r="F73" s="11" t="s">
        <v>16</v>
      </c>
      <c r="G73" s="14">
        <v>455</v>
      </c>
      <c r="H73" s="17">
        <f>IF(SUMIFS(İndirimler!$C$2:$C$210,İndirimler!$A$2:$A$210,B73,İndirimler!$B$2:$B$210,C73)&gt;0,ROUND(G73*(1-SUMIFS(İndirimler!$C$2:$C$210,İndirimler!$A$2:$A$210,B73,İndirimler!$B$2:$B$210,C73)),2),"")</f>
        <v>386.75</v>
      </c>
      <c r="I73" s="20">
        <f>IF(SUMIFS(İndirimler!$D$2:$D$210,İndirimler!$A$2:$A$210,B73,İndirimler!$B$2:$B$210,C73)&gt;0,ROUND(G73*(1-SUMIFS(İndirimler!$D$2:$D$210,İndirimler!$A$2:$A$210,B73,İndirimler!$B$2:$B$210,C73)),2),"")</f>
        <v>318.5</v>
      </c>
      <c r="J73" s="11"/>
      <c r="K73" s="27"/>
    </row>
    <row r="74" spans="1:11">
      <c r="A74" s="55" t="s">
        <v>166</v>
      </c>
      <c r="B74" s="11" t="s">
        <v>63</v>
      </c>
      <c r="C74" s="11" t="s">
        <v>33</v>
      </c>
      <c r="D74" s="11" t="s">
        <v>120</v>
      </c>
      <c r="E74" s="11" t="s">
        <v>64</v>
      </c>
      <c r="F74" s="11" t="s">
        <v>16</v>
      </c>
      <c r="G74" s="14">
        <v>545</v>
      </c>
      <c r="H74" s="17">
        <f>IF(SUMIFS(İndirimler!$C$2:$C$210,İndirimler!$A$2:$A$210,B74,İndirimler!$B$2:$B$210,C74)&gt;0,ROUND(G74*(1-SUMIFS(İndirimler!$C$2:$C$210,İndirimler!$A$2:$A$210,B74,İndirimler!$B$2:$B$210,C74)),2),"")</f>
        <v>463.25</v>
      </c>
      <c r="I74" s="20">
        <f>IF(SUMIFS(İndirimler!$D$2:$D$210,İndirimler!$A$2:$A$210,B74,İndirimler!$B$2:$B$210,C74)&gt;0,ROUND(G74*(1-SUMIFS(İndirimler!$D$2:$D$210,İndirimler!$A$2:$A$210,B74,İndirimler!$B$2:$B$210,C74)),2),"")</f>
        <v>381.5</v>
      </c>
      <c r="J74" s="11" t="s">
        <v>167</v>
      </c>
      <c r="K74" s="27"/>
    </row>
    <row r="75" spans="1:11">
      <c r="A75" s="55" t="s">
        <v>168</v>
      </c>
      <c r="B75" s="11" t="s">
        <v>23</v>
      </c>
      <c r="C75" s="11" t="s">
        <v>33</v>
      </c>
      <c r="D75" s="11" t="s">
        <v>120</v>
      </c>
      <c r="E75" s="11"/>
      <c r="F75" s="11" t="s">
        <v>16</v>
      </c>
      <c r="G75" s="14">
        <v>676</v>
      </c>
      <c r="H75" s="17">
        <f>IF(SUMIFS(İndirimler!$C$2:$C$210,İndirimler!$A$2:$A$210,B75,İndirimler!$B$2:$B$210,C75)&gt;0,ROUND(G75*(1-SUMIFS(İndirimler!$C$2:$C$210,İndirimler!$A$2:$A$210,B75,İndirimler!$B$2:$B$210,C75)),2),"")</f>
        <v>574.6</v>
      </c>
      <c r="I75" s="20">
        <f>IF(SUMIFS(İndirimler!$D$2:$D$210,İndirimler!$A$2:$A$210,B75,İndirimler!$B$2:$B$210,C75)&gt;0,ROUND(G75*(1-SUMIFS(İndirimler!$D$2:$D$210,İndirimler!$A$2:$A$210,B75,İndirimler!$B$2:$B$210,C75)),2),"")</f>
        <v>473.2</v>
      </c>
      <c r="J75" s="26" t="s">
        <v>169</v>
      </c>
      <c r="K75" s="27"/>
    </row>
    <row r="76" spans="1:11">
      <c r="A76" s="55" t="s">
        <v>170</v>
      </c>
      <c r="B76" s="11" t="s">
        <v>25</v>
      </c>
      <c r="C76" s="11" t="s">
        <v>33</v>
      </c>
      <c r="D76" s="11" t="s">
        <v>120</v>
      </c>
      <c r="E76" s="11" t="s">
        <v>28</v>
      </c>
      <c r="F76" s="11" t="s">
        <v>16</v>
      </c>
      <c r="G76" s="14"/>
      <c r="H76" s="17">
        <f>IF(SUMIFS(İndirimler!$C$2:$C$210,İndirimler!$A$2:$A$210,B76,İndirimler!$B$2:$B$210,C76)&gt;0,ROUND(G76*(1-SUMIFS(İndirimler!$C$2:$C$210,İndirimler!$A$2:$A$210,B76,İndirimler!$B$2:$B$210,C76)),2),"")</f>
        <v>0</v>
      </c>
      <c r="I76" s="20">
        <f>IF(SUMIFS(İndirimler!$D$2:$D$210,İndirimler!$A$2:$A$210,B76,İndirimler!$B$2:$B$210,C76)&gt;0,ROUND(G76*(1-SUMIFS(İndirimler!$D$2:$D$210,İndirimler!$A$2:$A$210,B76,İndirimler!$B$2:$B$210,C76)),2),"")</f>
        <v>0</v>
      </c>
      <c r="J76" s="11"/>
      <c r="K76" s="27"/>
    </row>
    <row r="77" spans="1:11">
      <c r="A77" s="55" t="s">
        <v>171</v>
      </c>
      <c r="B77" s="11" t="s">
        <v>50</v>
      </c>
      <c r="C77" s="11" t="s">
        <v>33</v>
      </c>
      <c r="D77" s="11" t="s">
        <v>120</v>
      </c>
      <c r="E77" s="11" t="s">
        <v>69</v>
      </c>
      <c r="F77" s="11" t="s">
        <v>16</v>
      </c>
      <c r="G77" s="14">
        <v>686</v>
      </c>
      <c r="H77" s="17">
        <f>IF(SUMIFS(İndirimler!$C$2:$C$210,İndirimler!$A$2:$A$210,B77,İndirimler!$B$2:$B$210,C77)&gt;0,ROUND(G77*(1-SUMIFS(İndirimler!$C$2:$C$210,İndirimler!$A$2:$A$210,B77,İndirimler!$B$2:$B$210,C77)),2),"")</f>
        <v>583.1</v>
      </c>
      <c r="I77" s="20">
        <f>IF(SUMIFS(İndirimler!$D$2:$D$210,İndirimler!$A$2:$A$210,B77,İndirimler!$B$2:$B$210,C77)&gt;0,ROUND(G77*(1-SUMIFS(İndirimler!$D$2:$D$210,İndirimler!$A$2:$A$210,B77,İndirimler!$B$2:$B$210,C77)),2),"")</f>
        <v>480.2</v>
      </c>
      <c r="J77" s="11"/>
      <c r="K77" s="27"/>
    </row>
    <row r="78" spans="1:11">
      <c r="A78" s="55" t="s">
        <v>172</v>
      </c>
      <c r="B78" s="11" t="s">
        <v>894</v>
      </c>
      <c r="C78" s="11" t="s">
        <v>33</v>
      </c>
      <c r="D78" s="11" t="s">
        <v>120</v>
      </c>
      <c r="E78" s="11"/>
      <c r="F78" s="11" t="s">
        <v>16</v>
      </c>
      <c r="G78" s="14">
        <v>579</v>
      </c>
      <c r="H78" s="17">
        <f>IF(SUMIFS(İndirimler!$C$2:$C$210,İndirimler!$A$2:$A$210,B78,İndirimler!$B$2:$B$210,C78)&gt;0,ROUND(G78*(1-SUMIFS(İndirimler!$C$2:$C$210,İndirimler!$A$2:$A$210,B78,İndirimler!$B$2:$B$210,C78)),2),"")</f>
        <v>492.15</v>
      </c>
      <c r="I78" s="20">
        <f>IF(SUMIFS(İndirimler!$D$2:$D$210,İndirimler!$A$2:$A$210,B78,İndirimler!$B$2:$B$210,C78)&gt;0,ROUND(G78*(1-SUMIFS(İndirimler!$D$2:$D$210,İndirimler!$A$2:$A$210,B78,İndirimler!$B$2:$B$210,C78)),2),"")</f>
        <v>405.3</v>
      </c>
      <c r="J78" s="11"/>
      <c r="K78" s="27"/>
    </row>
    <row r="79" spans="1:11">
      <c r="A79" s="55" t="s">
        <v>173</v>
      </c>
      <c r="B79" s="11" t="s">
        <v>133</v>
      </c>
      <c r="C79" s="11" t="s">
        <v>33</v>
      </c>
      <c r="D79" s="11" t="s">
        <v>120</v>
      </c>
      <c r="E79" s="11"/>
      <c r="F79" s="11" t="s">
        <v>16</v>
      </c>
      <c r="G79" s="14">
        <v>385</v>
      </c>
      <c r="H79" s="17">
        <f>IF(SUMIFS(İndirimler!$C$2:$C$210,İndirimler!$A$2:$A$210,B79,İndirimler!$B$2:$B$210,C79)&gt;0,ROUND(G79*(1-SUMIFS(İndirimler!$C$2:$C$210,İndirimler!$A$2:$A$210,B79,İndirimler!$B$2:$B$210,C79)),2),"")</f>
        <v>327.25</v>
      </c>
      <c r="I79" s="20">
        <f>IF(SUMIFS(İndirimler!$D$2:$D$210,İndirimler!$A$2:$A$210,B79,İndirimler!$B$2:$B$210,C79)&gt;0,ROUND(G79*(1-SUMIFS(İndirimler!$D$2:$D$210,İndirimler!$A$2:$A$210,B79,İndirimler!$B$2:$B$210,C79)),2),"")</f>
        <v>269.5</v>
      </c>
      <c r="J79" s="11"/>
      <c r="K79" s="27"/>
    </row>
    <row r="80" spans="1:11">
      <c r="A80" s="55" t="s">
        <v>174</v>
      </c>
      <c r="B80" s="11" t="s">
        <v>38</v>
      </c>
      <c r="C80" s="11" t="s">
        <v>33</v>
      </c>
      <c r="D80" s="11" t="s">
        <v>120</v>
      </c>
      <c r="E80" s="11" t="s">
        <v>69</v>
      </c>
      <c r="F80" s="11" t="s">
        <v>16</v>
      </c>
      <c r="G80" s="14">
        <v>500</v>
      </c>
      <c r="H80" s="17">
        <f>IF(SUMIFS(İndirimler!$C$2:$C$210,İndirimler!$A$2:$A$210,B80,İndirimler!$B$2:$B$210,C80)&gt;0,ROUND(G80*(1-SUMIFS(İndirimler!$C$2:$C$210,İndirimler!$A$2:$A$210,B80,İndirimler!$B$2:$B$210,C80)),2),"")</f>
        <v>425</v>
      </c>
      <c r="I80" s="20">
        <f>IF(SUMIFS(İndirimler!$D$2:$D$210,İndirimler!$A$2:$A$210,B80,İndirimler!$B$2:$B$210,C80)&gt;0,ROUND(G80*(1-SUMIFS(İndirimler!$D$2:$D$210,İndirimler!$A$2:$A$210,B80,İndirimler!$B$2:$B$210,C80)),2),"")</f>
        <v>350</v>
      </c>
      <c r="J80" s="11" t="s">
        <v>175</v>
      </c>
      <c r="K80" s="27"/>
    </row>
    <row r="81" spans="1:11">
      <c r="A81" s="55" t="s">
        <v>176</v>
      </c>
      <c r="B81" s="11" t="s">
        <v>72</v>
      </c>
      <c r="C81" s="11" t="s">
        <v>33</v>
      </c>
      <c r="D81" s="11" t="s">
        <v>120</v>
      </c>
      <c r="E81" s="11"/>
      <c r="F81" s="11" t="s">
        <v>73</v>
      </c>
      <c r="G81" s="14">
        <v>455</v>
      </c>
      <c r="H81" s="17">
        <f>IF(SUMIFS(İndirimler!$C$2:$C$210,İndirimler!$A$2:$A$210,B81,İndirimler!$B$2:$B$210,C81)&gt;0,ROUND(G81*(1-SUMIFS(İndirimler!$C$2:$C$210,İndirimler!$A$2:$A$210,B81,İndirimler!$B$2:$B$210,C81)),2),"")</f>
        <v>386.75</v>
      </c>
      <c r="I81" s="20">
        <f>IF(SUMIFS(İndirimler!$D$2:$D$210,İndirimler!$A$2:$A$210,B81,İndirimler!$B$2:$B$210,C81)&gt;0,ROUND(G81*(1-SUMIFS(İndirimler!$D$2:$D$210,İndirimler!$A$2:$A$210,B81,İndirimler!$B$2:$B$210,C81)),2),"")</f>
        <v>318.5</v>
      </c>
      <c r="J81" s="11"/>
      <c r="K81" s="27"/>
    </row>
    <row r="82" spans="1:11">
      <c r="A82" s="55" t="s">
        <v>177</v>
      </c>
      <c r="B82" s="11" t="s">
        <v>119</v>
      </c>
      <c r="C82" s="11" t="s">
        <v>76</v>
      </c>
      <c r="D82" s="11" t="s">
        <v>120</v>
      </c>
      <c r="E82" s="11" t="s">
        <v>41</v>
      </c>
      <c r="F82" s="11" t="s">
        <v>35</v>
      </c>
      <c r="G82" s="14">
        <v>689</v>
      </c>
      <c r="H82" s="17">
        <f>IF(SUMIFS(İndirimler!$C$2:$C$210,İndirimler!$A$2:$A$210,B82,İndirimler!$B$2:$B$210,C82)&gt;0,ROUND(G82*(1-SUMIFS(İndirimler!$C$2:$C$210,İndirimler!$A$2:$A$210,B82,İndirimler!$B$2:$B$210,C82)),2),"")</f>
        <v>585.65</v>
      </c>
      <c r="I82" s="20">
        <f>IF(SUMIFS(İndirimler!$D$2:$D$210,İndirimler!$A$2:$A$210,B82,İndirimler!$B$2:$B$210,C82)&gt;0,ROUND(G82*(1-SUMIFS(İndirimler!$D$2:$D$210,İndirimler!$A$2:$A$210,B82,İndirimler!$B$2:$B$210,C82)),2),"")</f>
        <v>482.3</v>
      </c>
      <c r="J82" s="11"/>
      <c r="K82" s="27"/>
    </row>
    <row r="83" spans="1:11">
      <c r="A83" s="55" t="s">
        <v>178</v>
      </c>
      <c r="B83" s="11" t="s">
        <v>123</v>
      </c>
      <c r="C83" s="11" t="s">
        <v>76</v>
      </c>
      <c r="D83" s="11" t="s">
        <v>120</v>
      </c>
      <c r="E83" s="11" t="s">
        <v>124</v>
      </c>
      <c r="F83" s="11" t="s">
        <v>35</v>
      </c>
      <c r="G83" s="14"/>
      <c r="H83" s="17">
        <f>IF(SUMIFS(İndirimler!$C$2:$C$210,İndirimler!$A$2:$A$210,B83,İndirimler!$B$2:$B$210,C83)&gt;0,ROUND(G83*(1-SUMIFS(İndirimler!$C$2:$C$210,İndirimler!$A$2:$A$210,B83,İndirimler!$B$2:$B$210,C83)),2),"")</f>
        <v>0</v>
      </c>
      <c r="I83" s="20">
        <f>IF(SUMIFS(İndirimler!$D$2:$D$210,İndirimler!$A$2:$A$210,B83,İndirimler!$B$2:$B$210,C83)&gt;0,ROUND(G83*(1-SUMIFS(İndirimler!$D$2:$D$210,İndirimler!$A$2:$A$210,B83,İndirimler!$B$2:$B$210,C83)),2),"")</f>
        <v>0</v>
      </c>
      <c r="J83" s="11"/>
      <c r="K83" s="27"/>
    </row>
    <row r="84" spans="1:11">
      <c r="A84" s="55" t="s">
        <v>179</v>
      </c>
      <c r="B84" s="11" t="s">
        <v>25</v>
      </c>
      <c r="C84" s="11" t="s">
        <v>76</v>
      </c>
      <c r="D84" s="11" t="s">
        <v>120</v>
      </c>
      <c r="E84" s="11" t="s">
        <v>126</v>
      </c>
      <c r="F84" s="11" t="s">
        <v>35</v>
      </c>
      <c r="G84" s="14">
        <v>879</v>
      </c>
      <c r="H84" s="17">
        <f>IF(SUMIFS(İndirimler!$C$2:$C$210,İndirimler!$A$2:$A$210,B84,İndirimler!$B$2:$B$210,C84)&gt;0,ROUND(G84*(1-SUMIFS(İndirimler!$C$2:$C$210,İndirimler!$A$2:$A$210,B84,İndirimler!$B$2:$B$210,C84)),2),"")</f>
        <v>747.15</v>
      </c>
      <c r="I84" s="20">
        <f>IF(SUMIFS(İndirimler!$D$2:$D$210,İndirimler!$A$2:$A$210,B84,İndirimler!$B$2:$B$210,C84)&gt;0,ROUND(G84*(1-SUMIFS(İndirimler!$D$2:$D$210,İndirimler!$A$2:$A$210,B84,İndirimler!$B$2:$B$210,C84)),2),"")</f>
        <v>615.29999999999995</v>
      </c>
      <c r="J84" s="11"/>
      <c r="K84" s="27"/>
    </row>
    <row r="85" spans="1:11">
      <c r="A85" s="55" t="s">
        <v>180</v>
      </c>
      <c r="B85" s="11" t="s">
        <v>894</v>
      </c>
      <c r="C85" s="11" t="s">
        <v>76</v>
      </c>
      <c r="D85" s="11" t="s">
        <v>120</v>
      </c>
      <c r="E85" s="11" t="s">
        <v>128</v>
      </c>
      <c r="F85" s="11" t="s">
        <v>35</v>
      </c>
      <c r="G85" s="14">
        <v>849</v>
      </c>
      <c r="H85" s="17">
        <f>IF(SUMIFS(İndirimler!$C$2:$C$210,İndirimler!$A$2:$A$210,B85,İndirimler!$B$2:$B$210,C85)&gt;0,ROUND(G85*(1-SUMIFS(İndirimler!$C$2:$C$210,İndirimler!$A$2:$A$210,B85,İndirimler!$B$2:$B$210,C85)),2),"")</f>
        <v>721.65</v>
      </c>
      <c r="I85" s="20">
        <f>IF(SUMIFS(İndirimler!$D$2:$D$210,İndirimler!$A$2:$A$210,B85,İndirimler!$B$2:$B$210,C85)&gt;0,ROUND(G85*(1-SUMIFS(İndirimler!$D$2:$D$210,İndirimler!$A$2:$A$210,B85,İndirimler!$B$2:$B$210,C85)),2),"")</f>
        <v>594.29999999999995</v>
      </c>
      <c r="J85" s="11"/>
      <c r="K85" s="27"/>
    </row>
    <row r="86" spans="1:11">
      <c r="A86" s="55" t="s">
        <v>181</v>
      </c>
      <c r="B86" s="11" t="s">
        <v>32</v>
      </c>
      <c r="C86" s="11" t="s">
        <v>76</v>
      </c>
      <c r="D86" s="11" t="s">
        <v>120</v>
      </c>
      <c r="E86" s="11"/>
      <c r="F86" s="11" t="s">
        <v>35</v>
      </c>
      <c r="G86" s="14">
        <v>739</v>
      </c>
      <c r="H86" s="17">
        <f>IF(SUMIFS(İndirimler!$C$2:$C$210,İndirimler!$A$2:$A$210,B86,İndirimler!$B$2:$B$210,C86)&gt;0,ROUND(G86*(1-SUMIFS(İndirimler!$C$2:$C$210,İndirimler!$A$2:$A$210,B86,İndirimler!$B$2:$B$210,C86)),2),"")</f>
        <v>628.15</v>
      </c>
      <c r="I86" s="20">
        <f>IF(SUMIFS(İndirimler!$D$2:$D$210,İndirimler!$A$2:$A$210,B86,İndirimler!$B$2:$B$210,C86)&gt;0,ROUND(G86*(1-SUMIFS(İndirimler!$D$2:$D$210,İndirimler!$A$2:$A$210,B86,İndirimler!$B$2:$B$210,C86)),2),"")</f>
        <v>517.29999999999995</v>
      </c>
      <c r="J86" s="26" t="s">
        <v>182</v>
      </c>
      <c r="K86" s="27"/>
    </row>
    <row r="87" spans="1:11">
      <c r="A87" s="55" t="s">
        <v>183</v>
      </c>
      <c r="B87" s="11" t="s">
        <v>133</v>
      </c>
      <c r="C87" s="11" t="s">
        <v>76</v>
      </c>
      <c r="D87" s="11" t="s">
        <v>120</v>
      </c>
      <c r="E87" s="11"/>
      <c r="F87" s="11" t="s">
        <v>35</v>
      </c>
      <c r="G87" s="14">
        <v>755</v>
      </c>
      <c r="H87" s="17">
        <f>IF(SUMIFS(İndirimler!$C$2:$C$210,İndirimler!$A$2:$A$210,B87,İndirimler!$B$2:$B$210,C87)&gt;0,ROUND(G87*(1-SUMIFS(İndirimler!$C$2:$C$210,İndirimler!$A$2:$A$210,B87,İndirimler!$B$2:$B$210,C87)),2),"")</f>
        <v>641.75</v>
      </c>
      <c r="I87" s="20">
        <f>IF(SUMIFS(İndirimler!$D$2:$D$210,İndirimler!$A$2:$A$210,B87,İndirimler!$B$2:$B$210,C87)&gt;0,ROUND(G87*(1-SUMIFS(İndirimler!$D$2:$D$210,İndirimler!$A$2:$A$210,B87,İndirimler!$B$2:$B$210,C87)),2),"")</f>
        <v>528.5</v>
      </c>
      <c r="J87" s="11"/>
      <c r="K87" s="27"/>
    </row>
    <row r="88" spans="1:11">
      <c r="A88" s="55" t="s">
        <v>184</v>
      </c>
      <c r="B88" s="11" t="s">
        <v>38</v>
      </c>
      <c r="C88" s="11" t="s">
        <v>76</v>
      </c>
      <c r="D88" s="11" t="s">
        <v>120</v>
      </c>
      <c r="E88" s="11"/>
      <c r="F88" s="11" t="s">
        <v>35</v>
      </c>
      <c r="G88" s="14">
        <v>779</v>
      </c>
      <c r="H88" s="17">
        <f>IF(SUMIFS(İndirimler!$C$2:$C$210,İndirimler!$A$2:$A$210,B88,İndirimler!$B$2:$B$210,C88)&gt;0,ROUND(G88*(1-SUMIFS(İndirimler!$C$2:$C$210,İndirimler!$A$2:$A$210,B88,İndirimler!$B$2:$B$210,C88)),2),"")</f>
        <v>662.15</v>
      </c>
      <c r="I88" s="20">
        <f>IF(SUMIFS(İndirimler!$D$2:$D$210,İndirimler!$A$2:$A$210,B88,İndirimler!$B$2:$B$210,C88)&gt;0,ROUND(G88*(1-SUMIFS(İndirimler!$D$2:$D$210,İndirimler!$A$2:$A$210,B88,İndirimler!$B$2:$B$210,C88)),2),"")</f>
        <v>545.29999999999995</v>
      </c>
      <c r="J88" s="11" t="s">
        <v>185</v>
      </c>
      <c r="K88" s="27"/>
    </row>
    <row r="89" spans="1:11">
      <c r="A89" s="55" t="s">
        <v>186</v>
      </c>
      <c r="B89" s="11" t="s">
        <v>137</v>
      </c>
      <c r="C89" s="11" t="s">
        <v>76</v>
      </c>
      <c r="D89" s="11" t="s">
        <v>120</v>
      </c>
      <c r="E89" s="11" t="s">
        <v>138</v>
      </c>
      <c r="F89" s="11" t="s">
        <v>42</v>
      </c>
      <c r="G89" s="14">
        <v>592</v>
      </c>
      <c r="H89" s="17">
        <f>IF(SUMIFS(İndirimler!$C$2:$C$210,İndirimler!$A$2:$A$210,B89,İndirimler!$B$2:$B$210,C89)&gt;0,ROUND(G89*(1-SUMIFS(İndirimler!$C$2:$C$210,İndirimler!$A$2:$A$210,B89,İndirimler!$B$2:$B$210,C89)),2),"")</f>
        <v>503.2</v>
      </c>
      <c r="I89" s="20">
        <f>IF(SUMIFS(İndirimler!$D$2:$D$210,İndirimler!$A$2:$A$210,B89,İndirimler!$B$2:$B$210,C89)&gt;0,ROUND(G89*(1-SUMIFS(İndirimler!$D$2:$D$210,İndirimler!$A$2:$A$210,B89,İndirimler!$B$2:$B$210,C89)),2),"")</f>
        <v>414.4</v>
      </c>
      <c r="J89" s="11" t="s">
        <v>187</v>
      </c>
      <c r="K89" s="27"/>
    </row>
    <row r="90" spans="1:11">
      <c r="A90" s="55" t="s">
        <v>188</v>
      </c>
      <c r="B90" s="11" t="s">
        <v>44</v>
      </c>
      <c r="C90" s="11" t="s">
        <v>76</v>
      </c>
      <c r="D90" s="11" t="s">
        <v>120</v>
      </c>
      <c r="E90" s="11" t="s">
        <v>141</v>
      </c>
      <c r="F90" s="11" t="s">
        <v>42</v>
      </c>
      <c r="G90" s="14">
        <v>428</v>
      </c>
      <c r="H90" s="17">
        <f>IF(SUMIFS(İndirimler!$C$2:$C$210,İndirimler!$A$2:$A$210,B90,İndirimler!$B$2:$B$210,C90)&gt;0,ROUND(G90*(1-SUMIFS(İndirimler!$C$2:$C$210,İndirimler!$A$2:$A$210,B90,İndirimler!$B$2:$B$210,C90)),2),"")</f>
        <v>363.8</v>
      </c>
      <c r="I90" s="20">
        <f>IF(SUMIFS(İndirimler!$D$2:$D$210,İndirimler!$A$2:$A$210,B90,İndirimler!$B$2:$B$210,C90)&gt;0,ROUND(G90*(1-SUMIFS(İndirimler!$D$2:$D$210,İndirimler!$A$2:$A$210,B90,İndirimler!$B$2:$B$210,C90)),2),"")</f>
        <v>299.60000000000002</v>
      </c>
      <c r="J90" s="11" t="s">
        <v>189</v>
      </c>
      <c r="K90" s="27"/>
    </row>
    <row r="91" spans="1:11">
      <c r="A91" s="55" t="s">
        <v>190</v>
      </c>
      <c r="B91" s="11" t="s">
        <v>23</v>
      </c>
      <c r="C91" s="11" t="s">
        <v>76</v>
      </c>
      <c r="D91" s="11" t="s">
        <v>120</v>
      </c>
      <c r="E91" s="11" t="s">
        <v>69</v>
      </c>
      <c r="F91" s="11" t="s">
        <v>42</v>
      </c>
      <c r="G91" s="14">
        <v>678</v>
      </c>
      <c r="H91" s="17">
        <f>IF(SUMIFS(İndirimler!$C$2:$C$210,İndirimler!$A$2:$A$210,B91,İndirimler!$B$2:$B$210,C91)&gt;0,ROUND(G91*(1-SUMIFS(İndirimler!$C$2:$C$210,İndirimler!$A$2:$A$210,B91,İndirimler!$B$2:$B$210,C91)),2),"")</f>
        <v>576.29999999999995</v>
      </c>
      <c r="I91" s="20">
        <f>IF(SUMIFS(İndirimler!$D$2:$D$210,İndirimler!$A$2:$A$210,B91,İndirimler!$B$2:$B$210,C91)&gt;0,ROUND(G91*(1-SUMIFS(İndirimler!$D$2:$D$210,İndirimler!$A$2:$A$210,B91,İndirimler!$B$2:$B$210,C91)),2),"")</f>
        <v>474.6</v>
      </c>
      <c r="J91" s="11" t="s">
        <v>95</v>
      </c>
      <c r="K91" s="27"/>
    </row>
    <row r="92" spans="1:11">
      <c r="A92" s="55" t="s">
        <v>191</v>
      </c>
      <c r="B92" s="11" t="s">
        <v>50</v>
      </c>
      <c r="C92" s="11" t="s">
        <v>76</v>
      </c>
      <c r="D92" s="11" t="s">
        <v>120</v>
      </c>
      <c r="E92" s="11" t="s">
        <v>150</v>
      </c>
      <c r="F92" s="11" t="s">
        <v>42</v>
      </c>
      <c r="G92" s="14">
        <v>840</v>
      </c>
      <c r="H92" s="17">
        <f>IF(SUMIFS(İndirimler!$C$2:$C$210,İndirimler!$A$2:$A$210,B92,İndirimler!$B$2:$B$210,C92)&gt;0,ROUND(G92*(1-SUMIFS(İndirimler!$C$2:$C$210,İndirimler!$A$2:$A$210,B92,İndirimler!$B$2:$B$210,C92)),2),"")</f>
        <v>714</v>
      </c>
      <c r="I92" s="20">
        <f>IF(SUMIFS(İndirimler!$D$2:$D$210,İndirimler!$A$2:$A$210,B92,İndirimler!$B$2:$B$210,C92)&gt;0,ROUND(G92*(1-SUMIFS(İndirimler!$D$2:$D$210,İndirimler!$A$2:$A$210,B92,İndirimler!$B$2:$B$210,C92)),2),"")</f>
        <v>588</v>
      </c>
      <c r="J92" s="11"/>
      <c r="K92" s="27"/>
    </row>
    <row r="93" spans="1:11">
      <c r="A93" s="55" t="s">
        <v>192</v>
      </c>
      <c r="B93" s="11" t="s">
        <v>55</v>
      </c>
      <c r="C93" s="11" t="s">
        <v>76</v>
      </c>
      <c r="D93" s="11" t="s">
        <v>120</v>
      </c>
      <c r="E93" s="11" t="s">
        <v>69</v>
      </c>
      <c r="F93" s="11" t="s">
        <v>16</v>
      </c>
      <c r="G93" s="14">
        <v>498</v>
      </c>
      <c r="H93" s="17">
        <f>IF(SUMIFS(İndirimler!$C$2:$C$210,İndirimler!$A$2:$A$210,B93,İndirimler!$B$2:$B$210,C93)&gt;0,ROUND(G93*(1-SUMIFS(İndirimler!$C$2:$C$210,İndirimler!$A$2:$A$210,B93,İndirimler!$B$2:$B$210,C93)),2),"")</f>
        <v>423.3</v>
      </c>
      <c r="I93" s="20">
        <f>IF(SUMIFS(İndirimler!$D$2:$D$210,İndirimler!$A$2:$A$210,B93,İndirimler!$B$2:$B$210,C93)&gt;0,ROUND(G93*(1-SUMIFS(İndirimler!$D$2:$D$210,İndirimler!$A$2:$A$210,B93,İndirimler!$B$2:$B$210,C93)),2),"")</f>
        <v>348.6</v>
      </c>
      <c r="J93" s="11" t="s">
        <v>193</v>
      </c>
      <c r="K93" s="27"/>
    </row>
    <row r="94" spans="1:11">
      <c r="A94" s="55" t="s">
        <v>194</v>
      </c>
      <c r="B94" s="11" t="s">
        <v>119</v>
      </c>
      <c r="C94" s="11" t="s">
        <v>76</v>
      </c>
      <c r="D94" s="11" t="s">
        <v>120</v>
      </c>
      <c r="E94" s="11"/>
      <c r="F94" s="11" t="s">
        <v>16</v>
      </c>
      <c r="G94" s="14">
        <v>465</v>
      </c>
      <c r="H94" s="17">
        <f>IF(SUMIFS(İndirimler!$C$2:$C$210,İndirimler!$A$2:$A$210,B94,İndirimler!$B$2:$B$210,C94)&gt;0,ROUND(G94*(1-SUMIFS(İndirimler!$C$2:$C$210,İndirimler!$A$2:$A$210,B94,İndirimler!$B$2:$B$210,C94)),2),"")</f>
        <v>395.25</v>
      </c>
      <c r="I94" s="20">
        <f>IF(SUMIFS(İndirimler!$D$2:$D$210,İndirimler!$A$2:$A$210,B94,İndirimler!$B$2:$B$210,C94)&gt;0,ROUND(G94*(1-SUMIFS(İndirimler!$D$2:$D$210,İndirimler!$A$2:$A$210,B94,İndirimler!$B$2:$B$210,C94)),2),"")</f>
        <v>325.5</v>
      </c>
      <c r="J94" s="11"/>
      <c r="K94" s="27"/>
    </row>
    <row r="95" spans="1:11">
      <c r="A95" s="55" t="s">
        <v>195</v>
      </c>
      <c r="B95" s="11" t="s">
        <v>119</v>
      </c>
      <c r="C95" s="11" t="s">
        <v>76</v>
      </c>
      <c r="D95" s="11" t="s">
        <v>120</v>
      </c>
      <c r="E95" s="11" t="s">
        <v>155</v>
      </c>
      <c r="F95" s="11" t="s">
        <v>16</v>
      </c>
      <c r="G95" s="14">
        <v>465</v>
      </c>
      <c r="H95" s="17">
        <f>IF(SUMIFS(İndirimler!$C$2:$C$210,İndirimler!$A$2:$A$210,B95,İndirimler!$B$2:$B$210,C95)&gt;0,ROUND(G95*(1-SUMIFS(İndirimler!$C$2:$C$210,İndirimler!$A$2:$A$210,B95,İndirimler!$B$2:$B$210,C95)),2),"")</f>
        <v>395.25</v>
      </c>
      <c r="I95" s="20">
        <f>IF(SUMIFS(İndirimler!$D$2:$D$210,İndirimler!$A$2:$A$210,B95,İndirimler!$B$2:$B$210,C95)&gt;0,ROUND(G95*(1-SUMIFS(İndirimler!$D$2:$D$210,İndirimler!$A$2:$A$210,B95,İndirimler!$B$2:$B$210,C95)),2),"")</f>
        <v>325.5</v>
      </c>
      <c r="J95" s="11"/>
      <c r="K95" s="27"/>
    </row>
    <row r="96" spans="1:11">
      <c r="A96" s="55" t="s">
        <v>196</v>
      </c>
      <c r="B96" s="11" t="s">
        <v>137</v>
      </c>
      <c r="C96" s="11" t="s">
        <v>76</v>
      </c>
      <c r="D96" s="11" t="s">
        <v>120</v>
      </c>
      <c r="E96" s="11" t="s">
        <v>69</v>
      </c>
      <c r="F96" s="11" t="s">
        <v>16</v>
      </c>
      <c r="G96" s="14">
        <v>512</v>
      </c>
      <c r="H96" s="17">
        <f>IF(SUMIFS(İndirimler!$C$2:$C$210,İndirimler!$A$2:$A$210,B96,İndirimler!$B$2:$B$210,C96)&gt;0,ROUND(G96*(1-SUMIFS(İndirimler!$C$2:$C$210,İndirimler!$A$2:$A$210,B96,İndirimler!$B$2:$B$210,C96)),2),"")</f>
        <v>435.2</v>
      </c>
      <c r="I96" s="20">
        <f>IF(SUMIFS(İndirimler!$D$2:$D$210,İndirimler!$A$2:$A$210,B96,İndirimler!$B$2:$B$210,C96)&gt;0,ROUND(G96*(1-SUMIFS(İndirimler!$D$2:$D$210,İndirimler!$A$2:$A$210,B96,İndirimler!$B$2:$B$210,C96)),2),"")</f>
        <v>358.4</v>
      </c>
      <c r="J96" s="11" t="s">
        <v>197</v>
      </c>
      <c r="K96" s="27"/>
    </row>
    <row r="97" spans="1:11">
      <c r="A97" s="55" t="s">
        <v>198</v>
      </c>
      <c r="B97" s="11" t="s">
        <v>18</v>
      </c>
      <c r="C97" s="11" t="s">
        <v>76</v>
      </c>
      <c r="D97" s="11" t="s">
        <v>120</v>
      </c>
      <c r="E97" s="11"/>
      <c r="F97" s="11" t="s">
        <v>16</v>
      </c>
      <c r="G97" s="14">
        <v>685</v>
      </c>
      <c r="H97" s="17">
        <f>IF(SUMIFS(İndirimler!$C$2:$C$210,İndirimler!$A$2:$A$210,B97,İndirimler!$B$2:$B$210,C97)&gt;0,ROUND(G97*(1-SUMIFS(İndirimler!$C$2:$C$210,İndirimler!$A$2:$A$210,B97,İndirimler!$B$2:$B$210,C97)),2),"")</f>
        <v>582.25</v>
      </c>
      <c r="I97" s="20">
        <f>IF(SUMIFS(İndirimler!$D$2:$D$210,İndirimler!$A$2:$A$210,B97,İndirimler!$B$2:$B$210,C97)&gt;0,ROUND(G97*(1-SUMIFS(İndirimler!$D$2:$D$210,İndirimler!$A$2:$A$210,B97,İndirimler!$B$2:$B$210,C97)),2),"")</f>
        <v>479.5</v>
      </c>
      <c r="J97" s="26" t="s">
        <v>199</v>
      </c>
      <c r="K97" s="27"/>
    </row>
    <row r="98" spans="1:11">
      <c r="A98" s="55" t="s">
        <v>200</v>
      </c>
      <c r="B98" s="11" t="s">
        <v>18</v>
      </c>
      <c r="C98" s="11" t="s">
        <v>76</v>
      </c>
      <c r="D98" s="11" t="s">
        <v>120</v>
      </c>
      <c r="E98" s="11" t="s">
        <v>41</v>
      </c>
      <c r="F98" s="11" t="s">
        <v>42</v>
      </c>
      <c r="G98" s="14">
        <v>819</v>
      </c>
      <c r="H98" s="17">
        <f>IF(SUMIFS(İndirimler!$C$2:$C$210,İndirimler!$A$2:$A$210,B98,İndirimler!$B$2:$B$210,C98)&gt;0,ROUND(G98*(1-SUMIFS(İndirimler!$C$2:$C$210,İndirimler!$A$2:$A$210,B98,İndirimler!$B$2:$B$210,C98)),2),"")</f>
        <v>696.15</v>
      </c>
      <c r="I98" s="20">
        <f>IF(SUMIFS(İndirimler!$D$2:$D$210,İndirimler!$A$2:$A$210,B98,İndirimler!$B$2:$B$210,C98)&gt;0,ROUND(G98*(1-SUMIFS(İndirimler!$D$2:$D$210,İndirimler!$A$2:$A$210,B98,İndirimler!$B$2:$B$210,C98)),2),"")</f>
        <v>573.29999999999995</v>
      </c>
      <c r="J98" s="11"/>
      <c r="K98" s="27"/>
    </row>
    <row r="99" spans="1:11">
      <c r="A99" s="55" t="s">
        <v>201</v>
      </c>
      <c r="B99" s="11" t="s">
        <v>44</v>
      </c>
      <c r="C99" s="11" t="s">
        <v>76</v>
      </c>
      <c r="D99" s="11" t="s">
        <v>120</v>
      </c>
      <c r="E99" s="11" t="s">
        <v>162</v>
      </c>
      <c r="F99" s="11" t="s">
        <v>16</v>
      </c>
      <c r="G99" s="14">
        <v>428</v>
      </c>
      <c r="H99" s="17">
        <f>IF(SUMIFS(İndirimler!$C$2:$C$210,İndirimler!$A$2:$A$210,B99,İndirimler!$B$2:$B$210,C99)&gt;0,ROUND(G99*(1-SUMIFS(İndirimler!$C$2:$C$210,İndirimler!$A$2:$A$210,B99,İndirimler!$B$2:$B$210,C99)),2),"")</f>
        <v>363.8</v>
      </c>
      <c r="I99" s="20">
        <f>IF(SUMIFS(İndirimler!$D$2:$D$210,İndirimler!$A$2:$A$210,B99,İndirimler!$B$2:$B$210,C99)&gt;0,ROUND(G99*(1-SUMIFS(İndirimler!$D$2:$D$210,İndirimler!$A$2:$A$210,B99,İndirimler!$B$2:$B$210,C99)),2),"")</f>
        <v>299.60000000000002</v>
      </c>
      <c r="J99" s="11" t="s">
        <v>202</v>
      </c>
      <c r="K99" s="27"/>
    </row>
    <row r="100" spans="1:11">
      <c r="A100" s="55" t="s">
        <v>203</v>
      </c>
      <c r="B100" s="11" t="s">
        <v>165</v>
      </c>
      <c r="C100" s="11" t="s">
        <v>76</v>
      </c>
      <c r="D100" s="11" t="s">
        <v>120</v>
      </c>
      <c r="E100" s="11"/>
      <c r="F100" s="11" t="s">
        <v>16</v>
      </c>
      <c r="G100" s="14">
        <v>499</v>
      </c>
      <c r="H100" s="17">
        <f>IF(SUMIFS(İndirimler!$C$2:$C$210,İndirimler!$A$2:$A$210,B100,İndirimler!$B$2:$B$210,C100)&gt;0,ROUND(G100*(1-SUMIFS(İndirimler!$C$2:$C$210,İndirimler!$A$2:$A$210,B100,İndirimler!$B$2:$B$210,C100)),2),"")</f>
        <v>424.15</v>
      </c>
      <c r="I100" s="20">
        <f>IF(SUMIFS(İndirimler!$D$2:$D$210,İndirimler!$A$2:$A$210,B100,İndirimler!$B$2:$B$210,C100)&gt;0,ROUND(G100*(1-SUMIFS(İndirimler!$D$2:$D$210,İndirimler!$A$2:$A$210,B100,İndirimler!$B$2:$B$210,C100)),2),"")</f>
        <v>349.3</v>
      </c>
      <c r="J100" s="11"/>
      <c r="K100" s="27"/>
    </row>
    <row r="101" spans="1:11">
      <c r="A101" s="55" t="s">
        <v>204</v>
      </c>
      <c r="B101" s="11" t="s">
        <v>63</v>
      </c>
      <c r="C101" s="11" t="s">
        <v>76</v>
      </c>
      <c r="D101" s="11" t="s">
        <v>120</v>
      </c>
      <c r="E101" s="11" t="s">
        <v>64</v>
      </c>
      <c r="F101" s="11" t="s">
        <v>16</v>
      </c>
      <c r="G101" s="14">
        <v>569</v>
      </c>
      <c r="H101" s="17">
        <f>IF(SUMIFS(İndirimler!$C$2:$C$210,İndirimler!$A$2:$A$210,B101,İndirimler!$B$2:$B$210,C101)&gt;0,ROUND(G101*(1-SUMIFS(İndirimler!$C$2:$C$210,İndirimler!$A$2:$A$210,B101,İndirimler!$B$2:$B$210,C101)),2),"")</f>
        <v>483.65</v>
      </c>
      <c r="I101" s="20">
        <f>IF(SUMIFS(İndirimler!$D$2:$D$210,İndirimler!$A$2:$A$210,B101,İndirimler!$B$2:$B$210,C101)&gt;0,ROUND(G101*(1-SUMIFS(İndirimler!$D$2:$D$210,İndirimler!$A$2:$A$210,B101,İndirimler!$B$2:$B$210,C101)),2),"")</f>
        <v>398.3</v>
      </c>
      <c r="J101" s="11" t="s">
        <v>205</v>
      </c>
      <c r="K101" s="27"/>
    </row>
    <row r="102" spans="1:11">
      <c r="A102" s="55" t="s">
        <v>206</v>
      </c>
      <c r="B102" s="11" t="s">
        <v>23</v>
      </c>
      <c r="C102" s="11" t="s">
        <v>76</v>
      </c>
      <c r="D102" s="11" t="s">
        <v>120</v>
      </c>
      <c r="E102" s="11" t="s">
        <v>69</v>
      </c>
      <c r="F102" s="11" t="s">
        <v>16</v>
      </c>
      <c r="G102" s="14">
        <v>670</v>
      </c>
      <c r="H102" s="17">
        <f>IF(SUMIFS(İndirimler!$C$2:$C$210,İndirimler!$A$2:$A$210,B102,İndirimler!$B$2:$B$210,C102)&gt;0,ROUND(G102*(1-SUMIFS(İndirimler!$C$2:$C$210,İndirimler!$A$2:$A$210,B102,İndirimler!$B$2:$B$210,C102)),2),"")</f>
        <v>569.5</v>
      </c>
      <c r="I102" s="20">
        <f>IF(SUMIFS(İndirimler!$D$2:$D$210,İndirimler!$A$2:$A$210,B102,İndirimler!$B$2:$B$210,C102)&gt;0,ROUND(G102*(1-SUMIFS(İndirimler!$D$2:$D$210,İndirimler!$A$2:$A$210,B102,İndirimler!$B$2:$B$210,C102)),2),"")</f>
        <v>469</v>
      </c>
      <c r="J102" s="11" t="s">
        <v>207</v>
      </c>
      <c r="K102" s="27"/>
    </row>
    <row r="103" spans="1:11">
      <c r="A103" s="55" t="s">
        <v>208</v>
      </c>
      <c r="B103" s="11" t="s">
        <v>25</v>
      </c>
      <c r="C103" s="11" t="s">
        <v>76</v>
      </c>
      <c r="D103" s="11" t="s">
        <v>120</v>
      </c>
      <c r="E103" s="11" t="s">
        <v>28</v>
      </c>
      <c r="F103" s="11" t="s">
        <v>16</v>
      </c>
      <c r="G103" s="14"/>
      <c r="H103" s="17">
        <f>IF(SUMIFS(İndirimler!$C$2:$C$210,İndirimler!$A$2:$A$210,B103,İndirimler!$B$2:$B$210,C103)&gt;0,ROUND(G103*(1-SUMIFS(İndirimler!$C$2:$C$210,İndirimler!$A$2:$A$210,B103,İndirimler!$B$2:$B$210,C103)),2),"")</f>
        <v>0</v>
      </c>
      <c r="I103" s="20">
        <f>IF(SUMIFS(İndirimler!$D$2:$D$210,İndirimler!$A$2:$A$210,B103,İndirimler!$B$2:$B$210,C103)&gt;0,ROUND(G103*(1-SUMIFS(İndirimler!$D$2:$D$210,İndirimler!$A$2:$A$210,B103,İndirimler!$B$2:$B$210,C103)),2),"")</f>
        <v>0</v>
      </c>
      <c r="J103" s="11"/>
      <c r="K103" s="27"/>
    </row>
    <row r="104" spans="1:11">
      <c r="A104" s="55" t="s">
        <v>209</v>
      </c>
      <c r="B104" s="11" t="s">
        <v>50</v>
      </c>
      <c r="C104" s="11" t="s">
        <v>76</v>
      </c>
      <c r="D104" s="11" t="s">
        <v>120</v>
      </c>
      <c r="E104" s="11" t="s">
        <v>69</v>
      </c>
      <c r="F104" s="11" t="s">
        <v>16</v>
      </c>
      <c r="G104" s="14">
        <v>616</v>
      </c>
      <c r="H104" s="17">
        <f>IF(SUMIFS(İndirimler!$C$2:$C$210,İndirimler!$A$2:$A$210,B104,İndirimler!$B$2:$B$210,C104)&gt;0,ROUND(G104*(1-SUMIFS(İndirimler!$C$2:$C$210,İndirimler!$A$2:$A$210,B104,İndirimler!$B$2:$B$210,C104)),2),"")</f>
        <v>523.6</v>
      </c>
      <c r="I104" s="20">
        <f>IF(SUMIFS(İndirimler!$D$2:$D$210,İndirimler!$A$2:$A$210,B104,İndirimler!$B$2:$B$210,C104)&gt;0,ROUND(G104*(1-SUMIFS(İndirimler!$D$2:$D$210,İndirimler!$A$2:$A$210,B104,İndirimler!$B$2:$B$210,C104)),2),"")</f>
        <v>431.2</v>
      </c>
      <c r="J104" s="11"/>
      <c r="K104" s="27"/>
    </row>
    <row r="105" spans="1:11">
      <c r="A105" s="55" t="s">
        <v>210</v>
      </c>
      <c r="B105" s="11" t="s">
        <v>894</v>
      </c>
      <c r="C105" s="11" t="s">
        <v>76</v>
      </c>
      <c r="D105" s="11" t="s">
        <v>120</v>
      </c>
      <c r="E105" s="11"/>
      <c r="F105" s="11" t="s">
        <v>16</v>
      </c>
      <c r="G105" s="14">
        <v>669</v>
      </c>
      <c r="H105" s="17">
        <f>IF(SUMIFS(İndirimler!$C$2:$C$210,İndirimler!$A$2:$A$210,B105,İndirimler!$B$2:$B$210,C105)&gt;0,ROUND(G105*(1-SUMIFS(İndirimler!$C$2:$C$210,İndirimler!$A$2:$A$210,B105,İndirimler!$B$2:$B$210,C105)),2),"")</f>
        <v>568.65</v>
      </c>
      <c r="I105" s="20">
        <f>IF(SUMIFS(İndirimler!$D$2:$D$210,İndirimler!$A$2:$A$210,B105,İndirimler!$B$2:$B$210,C105)&gt;0,ROUND(G105*(1-SUMIFS(İndirimler!$D$2:$D$210,İndirimler!$A$2:$A$210,B105,İndirimler!$B$2:$B$210,C105)),2),"")</f>
        <v>468.3</v>
      </c>
      <c r="J105" s="11"/>
      <c r="K105" s="27"/>
    </row>
    <row r="106" spans="1:11">
      <c r="A106" s="55" t="s">
        <v>211</v>
      </c>
      <c r="B106" s="11" t="s">
        <v>133</v>
      </c>
      <c r="C106" s="11" t="s">
        <v>76</v>
      </c>
      <c r="D106" s="11" t="s">
        <v>120</v>
      </c>
      <c r="E106" s="11"/>
      <c r="F106" s="11" t="s">
        <v>16</v>
      </c>
      <c r="G106" s="14">
        <v>385</v>
      </c>
      <c r="H106" s="17">
        <f>IF(SUMIFS(İndirimler!$C$2:$C$210,İndirimler!$A$2:$A$210,B106,İndirimler!$B$2:$B$210,C106)&gt;0,ROUND(G106*(1-SUMIFS(İndirimler!$C$2:$C$210,İndirimler!$A$2:$A$210,B106,İndirimler!$B$2:$B$210,C106)),2),"")</f>
        <v>327.25</v>
      </c>
      <c r="I106" s="20">
        <f>IF(SUMIFS(İndirimler!$D$2:$D$210,İndirimler!$A$2:$A$210,B106,İndirimler!$B$2:$B$210,C106)&gt;0,ROUND(G106*(1-SUMIFS(İndirimler!$D$2:$D$210,İndirimler!$A$2:$A$210,B106,İndirimler!$B$2:$B$210,C106)),2),"")</f>
        <v>269.5</v>
      </c>
      <c r="J106" s="11"/>
      <c r="K106" s="27"/>
    </row>
    <row r="107" spans="1:11">
      <c r="A107" s="55" t="s">
        <v>212</v>
      </c>
      <c r="B107" s="11" t="s">
        <v>38</v>
      </c>
      <c r="C107" s="11" t="s">
        <v>76</v>
      </c>
      <c r="D107" s="11" t="s">
        <v>120</v>
      </c>
      <c r="E107" s="11" t="s">
        <v>69</v>
      </c>
      <c r="F107" s="11" t="s">
        <v>16</v>
      </c>
      <c r="G107" s="14">
        <v>519</v>
      </c>
      <c r="H107" s="17">
        <f>IF(SUMIFS(İndirimler!$C$2:$C$210,İndirimler!$A$2:$A$210,B107,İndirimler!$B$2:$B$210,C107)&gt;0,ROUND(G107*(1-SUMIFS(İndirimler!$C$2:$C$210,İndirimler!$A$2:$A$210,B107,İndirimler!$B$2:$B$210,C107)),2),"")</f>
        <v>441.15</v>
      </c>
      <c r="I107" s="20">
        <f>IF(SUMIFS(İndirimler!$D$2:$D$210,İndirimler!$A$2:$A$210,B107,İndirimler!$B$2:$B$210,C107)&gt;0,ROUND(G107*(1-SUMIFS(İndirimler!$D$2:$D$210,İndirimler!$A$2:$A$210,B107,İndirimler!$B$2:$B$210,C107)),2),"")</f>
        <v>363.3</v>
      </c>
      <c r="J107" s="11" t="s">
        <v>213</v>
      </c>
      <c r="K107" s="27"/>
    </row>
    <row r="108" spans="1:11">
      <c r="A108" s="55" t="s">
        <v>214</v>
      </c>
      <c r="B108" s="11" t="s">
        <v>72</v>
      </c>
      <c r="C108" s="11" t="s">
        <v>76</v>
      </c>
      <c r="D108" s="11" t="s">
        <v>120</v>
      </c>
      <c r="E108" s="11"/>
      <c r="F108" s="11" t="s">
        <v>73</v>
      </c>
      <c r="G108" s="14">
        <v>385</v>
      </c>
      <c r="H108" s="17">
        <f>IF(SUMIFS(İndirimler!$C$2:$C$210,İndirimler!$A$2:$A$210,B108,İndirimler!$B$2:$B$210,C108)&gt;0,ROUND(G108*(1-SUMIFS(İndirimler!$C$2:$C$210,İndirimler!$A$2:$A$210,B108,İndirimler!$B$2:$B$210,C108)),2),"")</f>
        <v>327.25</v>
      </c>
      <c r="I108" s="20">
        <f>IF(SUMIFS(İndirimler!$D$2:$D$210,İndirimler!$A$2:$A$210,B108,İndirimler!$B$2:$B$210,C108)&gt;0,ROUND(G108*(1-SUMIFS(İndirimler!$D$2:$D$210,İndirimler!$A$2:$A$210,B108,İndirimler!$B$2:$B$210,C108)),2),"")</f>
        <v>269.5</v>
      </c>
      <c r="J108" s="11"/>
      <c r="K108" s="27"/>
    </row>
    <row r="109" spans="1:11">
      <c r="A109" s="55" t="s">
        <v>215</v>
      </c>
      <c r="B109" s="11" t="s">
        <v>119</v>
      </c>
      <c r="C109" s="11" t="s">
        <v>101</v>
      </c>
      <c r="D109" s="11" t="s">
        <v>120</v>
      </c>
      <c r="E109" s="11"/>
      <c r="F109" s="11" t="s">
        <v>35</v>
      </c>
      <c r="G109" s="14"/>
      <c r="H109" s="17">
        <f>IF(SUMIFS(İndirimler!$C$2:$C$210,İndirimler!$A$2:$A$210,B109,İndirimler!$B$2:$B$210,C109)&gt;0,ROUND(G109*(1-SUMIFS(İndirimler!$C$2:$C$210,İndirimler!$A$2:$A$210,B109,İndirimler!$B$2:$B$210,C109)),2),"")</f>
        <v>0</v>
      </c>
      <c r="I109" s="20">
        <f>IF(SUMIFS(İndirimler!$D$2:$D$210,İndirimler!$A$2:$A$210,B109,İndirimler!$B$2:$B$210,C109)&gt;0,ROUND(G109*(1-SUMIFS(İndirimler!$D$2:$D$210,İndirimler!$A$2:$A$210,B109,İndirimler!$B$2:$B$210,C109)),2),"")</f>
        <v>0</v>
      </c>
      <c r="J109" s="11"/>
      <c r="K109" s="27"/>
    </row>
    <row r="110" spans="1:11">
      <c r="A110" s="55" t="s">
        <v>216</v>
      </c>
      <c r="B110" s="11" t="s">
        <v>123</v>
      </c>
      <c r="C110" s="11" t="s">
        <v>101</v>
      </c>
      <c r="D110" s="11" t="s">
        <v>120</v>
      </c>
      <c r="E110" s="11" t="s">
        <v>124</v>
      </c>
      <c r="F110" s="11" t="s">
        <v>35</v>
      </c>
      <c r="G110" s="14"/>
      <c r="H110" s="17">
        <f>IF(SUMIFS(İndirimler!$C$2:$C$210,İndirimler!$A$2:$A$210,B110,İndirimler!$B$2:$B$210,C110)&gt;0,ROUND(G110*(1-SUMIFS(İndirimler!$C$2:$C$210,İndirimler!$A$2:$A$210,B110,İndirimler!$B$2:$B$210,C110)),2),"")</f>
        <v>0</v>
      </c>
      <c r="I110" s="20">
        <f>IF(SUMIFS(İndirimler!$D$2:$D$210,İndirimler!$A$2:$A$210,B110,İndirimler!$B$2:$B$210,C110)&gt;0,ROUND(G110*(1-SUMIFS(İndirimler!$D$2:$D$210,İndirimler!$A$2:$A$210,B110,İndirimler!$B$2:$B$210,C110)),2),"")</f>
        <v>0</v>
      </c>
      <c r="J110" s="11"/>
      <c r="K110" s="27"/>
    </row>
    <row r="111" spans="1:11">
      <c r="A111" s="55" t="s">
        <v>217</v>
      </c>
      <c r="B111" s="11" t="s">
        <v>25</v>
      </c>
      <c r="C111" s="11" t="s">
        <v>101</v>
      </c>
      <c r="D111" s="11" t="s">
        <v>120</v>
      </c>
      <c r="E111" s="11" t="s">
        <v>126</v>
      </c>
      <c r="F111" s="11" t="s">
        <v>35</v>
      </c>
      <c r="G111" s="14"/>
      <c r="H111" s="17">
        <f>IF(SUMIFS(İndirimler!$C$2:$C$210,İndirimler!$A$2:$A$210,B111,İndirimler!$B$2:$B$210,C111)&gt;0,ROUND(G111*(1-SUMIFS(İndirimler!$C$2:$C$210,İndirimler!$A$2:$A$210,B111,İndirimler!$B$2:$B$210,C111)),2),"")</f>
        <v>0</v>
      </c>
      <c r="I111" s="20">
        <f>IF(SUMIFS(İndirimler!$D$2:$D$210,İndirimler!$A$2:$A$210,B111,İndirimler!$B$2:$B$210,C111)&gt;0,ROUND(G111*(1-SUMIFS(İndirimler!$D$2:$D$210,İndirimler!$A$2:$A$210,B111,İndirimler!$B$2:$B$210,C111)),2),"")</f>
        <v>0</v>
      </c>
      <c r="J111" s="11"/>
      <c r="K111" s="27"/>
    </row>
    <row r="112" spans="1:11">
      <c r="A112" s="55" t="s">
        <v>218</v>
      </c>
      <c r="B112" s="11" t="s">
        <v>894</v>
      </c>
      <c r="C112" s="11" t="s">
        <v>101</v>
      </c>
      <c r="D112" s="11" t="s">
        <v>120</v>
      </c>
      <c r="E112" s="11" t="s">
        <v>128</v>
      </c>
      <c r="F112" s="11" t="s">
        <v>35</v>
      </c>
      <c r="G112" s="14"/>
      <c r="H112" s="17">
        <f>IF(SUMIFS(İndirimler!$C$2:$C$210,İndirimler!$A$2:$A$210,B112,İndirimler!$B$2:$B$210,C112)&gt;0,ROUND(G112*(1-SUMIFS(İndirimler!$C$2:$C$210,İndirimler!$A$2:$A$210,B112,İndirimler!$B$2:$B$210,C112)),2),"")</f>
        <v>0</v>
      </c>
      <c r="I112" s="20">
        <f>IF(SUMIFS(İndirimler!$D$2:$D$210,İndirimler!$A$2:$A$210,B112,İndirimler!$B$2:$B$210,C112)&gt;0,ROUND(G112*(1-SUMIFS(İndirimler!$D$2:$D$210,İndirimler!$A$2:$A$210,B112,İndirimler!$B$2:$B$210,C112)),2),"")</f>
        <v>0</v>
      </c>
      <c r="J112" s="11"/>
      <c r="K112" s="27"/>
    </row>
    <row r="113" spans="1:11">
      <c r="A113" s="55" t="s">
        <v>219</v>
      </c>
      <c r="B113" s="11" t="s">
        <v>133</v>
      </c>
      <c r="C113" s="11" t="s">
        <v>101</v>
      </c>
      <c r="D113" s="11" t="s">
        <v>120</v>
      </c>
      <c r="E113" s="11"/>
      <c r="F113" s="11" t="s">
        <v>35</v>
      </c>
      <c r="G113" s="14">
        <v>659</v>
      </c>
      <c r="H113" s="17">
        <f>IF(SUMIFS(İndirimler!$C$2:$C$210,İndirimler!$A$2:$A$210,B113,İndirimler!$B$2:$B$210,C113)&gt;0,ROUND(G113*(1-SUMIFS(İndirimler!$C$2:$C$210,İndirimler!$A$2:$A$210,B113,İndirimler!$B$2:$B$210,C113)),2),"")</f>
        <v>560.15</v>
      </c>
      <c r="I113" s="20">
        <f>IF(SUMIFS(İndirimler!$D$2:$D$210,İndirimler!$A$2:$A$210,B113,İndirimler!$B$2:$B$210,C113)&gt;0,ROUND(G113*(1-SUMIFS(İndirimler!$D$2:$D$210,İndirimler!$A$2:$A$210,B113,İndirimler!$B$2:$B$210,C113)),2),"")</f>
        <v>461.3</v>
      </c>
      <c r="J113" s="11"/>
      <c r="K113" s="27"/>
    </row>
    <row r="114" spans="1:11">
      <c r="A114" s="55" t="s">
        <v>220</v>
      </c>
      <c r="B114" s="11" t="s">
        <v>38</v>
      </c>
      <c r="C114" s="11" t="s">
        <v>101</v>
      </c>
      <c r="D114" s="11" t="s">
        <v>120</v>
      </c>
      <c r="E114" s="11"/>
      <c r="F114" s="11" t="s">
        <v>35</v>
      </c>
      <c r="G114" s="14"/>
      <c r="H114" s="17">
        <f>IF(SUMIFS(İndirimler!$C$2:$C$210,İndirimler!$A$2:$A$210,B114,İndirimler!$B$2:$B$210,C114)&gt;0,ROUND(G114*(1-SUMIFS(İndirimler!$C$2:$C$210,İndirimler!$A$2:$A$210,B114,İndirimler!$B$2:$B$210,C114)),2),"")</f>
        <v>0</v>
      </c>
      <c r="I114" s="20">
        <f>IF(SUMIFS(İndirimler!$D$2:$D$210,İndirimler!$A$2:$A$210,B114,İndirimler!$B$2:$B$210,C114)&gt;0,ROUND(G114*(1-SUMIFS(İndirimler!$D$2:$D$210,İndirimler!$A$2:$A$210,B114,İndirimler!$B$2:$B$210,C114)),2),"")</f>
        <v>0</v>
      </c>
      <c r="J114" s="11"/>
      <c r="K114" s="27"/>
    </row>
    <row r="115" spans="1:11">
      <c r="A115" s="55" t="s">
        <v>221</v>
      </c>
      <c r="B115" s="11" t="s">
        <v>137</v>
      </c>
      <c r="C115" s="11" t="s">
        <v>101</v>
      </c>
      <c r="D115" s="11" t="s">
        <v>120</v>
      </c>
      <c r="E115" s="11" t="s">
        <v>138</v>
      </c>
      <c r="F115" s="11" t="s">
        <v>42</v>
      </c>
      <c r="G115" s="14">
        <v>644</v>
      </c>
      <c r="H115" s="17">
        <f>IF(SUMIFS(İndirimler!$C$2:$C$210,İndirimler!$A$2:$A$210,B115,İndirimler!$B$2:$B$210,C115)&gt;0,ROUND(G115*(1-SUMIFS(İndirimler!$C$2:$C$210,İndirimler!$A$2:$A$210,B115,İndirimler!$B$2:$B$210,C115)),2),"")</f>
        <v>547.4</v>
      </c>
      <c r="I115" s="20">
        <f>IF(SUMIFS(İndirimler!$D$2:$D$210,İndirimler!$A$2:$A$210,B115,İndirimler!$B$2:$B$210,C115)&gt;0,ROUND(G115*(1-SUMIFS(İndirimler!$D$2:$D$210,İndirimler!$A$2:$A$210,B115,İndirimler!$B$2:$B$210,C115)),2),"")</f>
        <v>450.8</v>
      </c>
      <c r="J115" s="11"/>
      <c r="K115" s="27"/>
    </row>
    <row r="116" spans="1:11">
      <c r="A116" s="55" t="s">
        <v>222</v>
      </c>
      <c r="B116" s="11" t="s">
        <v>18</v>
      </c>
      <c r="C116" s="11" t="s">
        <v>101</v>
      </c>
      <c r="D116" s="11" t="s">
        <v>120</v>
      </c>
      <c r="E116" s="11" t="s">
        <v>41</v>
      </c>
      <c r="F116" s="11" t="s">
        <v>42</v>
      </c>
      <c r="G116" s="14"/>
      <c r="H116" s="17">
        <f>IF(SUMIFS(İndirimler!$C$2:$C$210,İndirimler!$A$2:$A$210,B116,İndirimler!$B$2:$B$210,C116)&gt;0,ROUND(G116*(1-SUMIFS(İndirimler!$C$2:$C$210,İndirimler!$A$2:$A$210,B116,İndirimler!$B$2:$B$210,C116)),2),"")</f>
        <v>0</v>
      </c>
      <c r="I116" s="20">
        <f>IF(SUMIFS(İndirimler!$D$2:$D$210,İndirimler!$A$2:$A$210,B116,İndirimler!$B$2:$B$210,C116)&gt;0,ROUND(G116*(1-SUMIFS(İndirimler!$D$2:$D$210,İndirimler!$A$2:$A$210,B116,İndirimler!$B$2:$B$210,C116)),2),"")</f>
        <v>0</v>
      </c>
      <c r="J116" s="11"/>
      <c r="K116" s="27"/>
    </row>
    <row r="117" spans="1:11">
      <c r="A117" s="55" t="s">
        <v>223</v>
      </c>
      <c r="B117" s="11" t="s">
        <v>72</v>
      </c>
      <c r="C117" s="11" t="s">
        <v>101</v>
      </c>
      <c r="D117" s="11" t="s">
        <v>120</v>
      </c>
      <c r="E117" s="11" t="s">
        <v>104</v>
      </c>
      <c r="F117" s="11" t="s">
        <v>42</v>
      </c>
      <c r="G117" s="14"/>
      <c r="H117" s="17">
        <f>IF(SUMIFS(İndirimler!$C$2:$C$210,İndirimler!$A$2:$A$210,B117,İndirimler!$B$2:$B$210,C117)&gt;0,ROUND(G117*(1-SUMIFS(İndirimler!$C$2:$C$210,İndirimler!$A$2:$A$210,B117,İndirimler!$B$2:$B$210,C117)),2),"")</f>
        <v>0</v>
      </c>
      <c r="I117" s="20">
        <f>IF(SUMIFS(İndirimler!$D$2:$D$210,İndirimler!$A$2:$A$210,B117,İndirimler!$B$2:$B$210,C117)&gt;0,ROUND(G117*(1-SUMIFS(İndirimler!$D$2:$D$210,İndirimler!$A$2:$A$210,B117,İndirimler!$B$2:$B$210,C117)),2),"")</f>
        <v>0</v>
      </c>
      <c r="J117" s="11"/>
      <c r="K117" s="27"/>
    </row>
    <row r="118" spans="1:11">
      <c r="A118" s="55" t="s">
        <v>224</v>
      </c>
      <c r="B118" s="11" t="s">
        <v>225</v>
      </c>
      <c r="C118" s="11" t="s">
        <v>101</v>
      </c>
      <c r="D118" s="11" t="s">
        <v>120</v>
      </c>
      <c r="E118" s="11"/>
      <c r="F118" s="11" t="s">
        <v>42</v>
      </c>
      <c r="G118" s="14">
        <v>615</v>
      </c>
      <c r="H118" s="17">
        <f>IF(SUMIFS(İndirimler!$C$2:$C$210,İndirimler!$A$2:$A$210,B118,İndirimler!$B$2:$B$210,C118)&gt;0,ROUND(G118*(1-SUMIFS(İndirimler!$C$2:$C$210,İndirimler!$A$2:$A$210,B118,İndirimler!$B$2:$B$210,C118)),2),"")</f>
        <v>522.75</v>
      </c>
      <c r="I118" s="20">
        <f>IF(SUMIFS(İndirimler!$D$2:$D$210,İndirimler!$A$2:$A$210,B118,İndirimler!$B$2:$B$210,C118)&gt;0,ROUND(G118*(1-SUMIFS(İndirimler!$D$2:$D$210,İndirimler!$A$2:$A$210,B118,İndirimler!$B$2:$B$210,C118)),2),"")</f>
        <v>430.5</v>
      </c>
      <c r="J118" s="11"/>
      <c r="K118" s="27"/>
    </row>
    <row r="119" spans="1:11">
      <c r="A119" s="55" t="s">
        <v>226</v>
      </c>
      <c r="B119" s="11" t="s">
        <v>23</v>
      </c>
      <c r="C119" s="11" t="s">
        <v>101</v>
      </c>
      <c r="D119" s="11" t="s">
        <v>120</v>
      </c>
      <c r="E119" s="11"/>
      <c r="F119" s="11" t="s">
        <v>42</v>
      </c>
      <c r="G119" s="14">
        <v>684</v>
      </c>
      <c r="H119" s="17">
        <f>IF(SUMIFS(İndirimler!$C$2:$C$210,İndirimler!$A$2:$A$210,B119,İndirimler!$B$2:$B$210,C119)&gt;0,ROUND(G119*(1-SUMIFS(İndirimler!$C$2:$C$210,İndirimler!$A$2:$A$210,B119,İndirimler!$B$2:$B$210,C119)),2),"")</f>
        <v>581.4</v>
      </c>
      <c r="I119" s="20">
        <f>IF(SUMIFS(İndirimler!$D$2:$D$210,İndirimler!$A$2:$A$210,B119,İndirimler!$B$2:$B$210,C119)&gt;0,ROUND(G119*(1-SUMIFS(İndirimler!$D$2:$D$210,İndirimler!$A$2:$A$210,B119,İndirimler!$B$2:$B$210,C119)),2),"")</f>
        <v>478.8</v>
      </c>
      <c r="J119" s="11"/>
      <c r="K119" s="27"/>
    </row>
    <row r="120" spans="1:11">
      <c r="A120" s="55" t="s">
        <v>227</v>
      </c>
      <c r="B120" s="11" t="s">
        <v>50</v>
      </c>
      <c r="C120" s="11" t="s">
        <v>101</v>
      </c>
      <c r="D120" s="11" t="s">
        <v>120</v>
      </c>
      <c r="E120" s="11" t="s">
        <v>150</v>
      </c>
      <c r="F120" s="11" t="s">
        <v>42</v>
      </c>
      <c r="G120" s="14">
        <v>700</v>
      </c>
      <c r="H120" s="17">
        <f>IF(SUMIFS(İndirimler!$C$2:$C$210,İndirimler!$A$2:$A$210,B120,İndirimler!$B$2:$B$210,C120)&gt;0,ROUND(G120*(1-SUMIFS(İndirimler!$C$2:$C$210,İndirimler!$A$2:$A$210,B120,İndirimler!$B$2:$B$210,C120)),2),"")</f>
        <v>595</v>
      </c>
      <c r="I120" s="20">
        <f>IF(SUMIFS(İndirimler!$D$2:$D$210,İndirimler!$A$2:$A$210,B120,İndirimler!$B$2:$B$210,C120)&gt;0,ROUND(G120*(1-SUMIFS(İndirimler!$D$2:$D$210,İndirimler!$A$2:$A$210,B120,İndirimler!$B$2:$B$210,C120)),2),"")</f>
        <v>490</v>
      </c>
      <c r="J120" s="11"/>
      <c r="K120" s="27"/>
    </row>
    <row r="121" spans="1:11">
      <c r="A121" s="55" t="s">
        <v>228</v>
      </c>
      <c r="B121" s="11" t="s">
        <v>55</v>
      </c>
      <c r="C121" s="11" t="s">
        <v>101</v>
      </c>
      <c r="D121" s="11" t="s">
        <v>120</v>
      </c>
      <c r="E121" s="11" t="s">
        <v>69</v>
      </c>
      <c r="F121" s="11" t="s">
        <v>16</v>
      </c>
      <c r="G121" s="14">
        <v>478</v>
      </c>
      <c r="H121" s="17">
        <f>IF(SUMIFS(İndirimler!$C$2:$C$210,İndirimler!$A$2:$A$210,B121,İndirimler!$B$2:$B$210,C121)&gt;0,ROUND(G121*(1-SUMIFS(İndirimler!$C$2:$C$210,İndirimler!$A$2:$A$210,B121,İndirimler!$B$2:$B$210,C121)),2),"")</f>
        <v>406.3</v>
      </c>
      <c r="I121" s="20">
        <f>IF(SUMIFS(İndirimler!$D$2:$D$210,İndirimler!$A$2:$A$210,B121,İndirimler!$B$2:$B$210,C121)&gt;0,ROUND(G121*(1-SUMIFS(İndirimler!$D$2:$D$210,İndirimler!$A$2:$A$210,B121,İndirimler!$B$2:$B$210,C121)),2),"")</f>
        <v>334.6</v>
      </c>
      <c r="J121" s="11"/>
      <c r="K121" s="27"/>
    </row>
    <row r="122" spans="1:11">
      <c r="A122" s="55" t="s">
        <v>229</v>
      </c>
      <c r="B122" s="11" t="s">
        <v>119</v>
      </c>
      <c r="C122" s="11" t="s">
        <v>101</v>
      </c>
      <c r="D122" s="11" t="s">
        <v>120</v>
      </c>
      <c r="E122" s="11"/>
      <c r="F122" s="11" t="s">
        <v>16</v>
      </c>
      <c r="G122" s="14"/>
      <c r="H122" s="17">
        <f>IF(SUMIFS(İndirimler!$C$2:$C$210,İndirimler!$A$2:$A$210,B122,İndirimler!$B$2:$B$210,C122)&gt;0,ROUND(G122*(1-SUMIFS(İndirimler!$C$2:$C$210,İndirimler!$A$2:$A$210,B122,İndirimler!$B$2:$B$210,C122)),2),"")</f>
        <v>0</v>
      </c>
      <c r="I122" s="20">
        <f>IF(SUMIFS(İndirimler!$D$2:$D$210,İndirimler!$A$2:$A$210,B122,İndirimler!$B$2:$B$210,C122)&gt;0,ROUND(G122*(1-SUMIFS(İndirimler!$D$2:$D$210,İndirimler!$A$2:$A$210,B122,İndirimler!$B$2:$B$210,C122)),2),"")</f>
        <v>0</v>
      </c>
      <c r="J122" s="11"/>
      <c r="K122" s="27"/>
    </row>
    <row r="123" spans="1:11">
      <c r="A123" s="55" t="s">
        <v>230</v>
      </c>
      <c r="B123" s="11" t="s">
        <v>119</v>
      </c>
      <c r="C123" s="11" t="s">
        <v>101</v>
      </c>
      <c r="D123" s="11" t="s">
        <v>120</v>
      </c>
      <c r="E123" s="11" t="s">
        <v>231</v>
      </c>
      <c r="F123" s="11" t="s">
        <v>16</v>
      </c>
      <c r="G123" s="14"/>
      <c r="H123" s="17">
        <f>IF(SUMIFS(İndirimler!$C$2:$C$210,İndirimler!$A$2:$A$210,B123,İndirimler!$B$2:$B$210,C123)&gt;0,ROUND(G123*(1-SUMIFS(İndirimler!$C$2:$C$210,İndirimler!$A$2:$A$210,B123,İndirimler!$B$2:$B$210,C123)),2),"")</f>
        <v>0</v>
      </c>
      <c r="I123" s="20">
        <f>IF(SUMIFS(İndirimler!$D$2:$D$210,İndirimler!$A$2:$A$210,B123,İndirimler!$B$2:$B$210,C123)&gt;0,ROUND(G123*(1-SUMIFS(İndirimler!$D$2:$D$210,İndirimler!$A$2:$A$210,B123,İndirimler!$B$2:$B$210,C123)),2),"")</f>
        <v>0</v>
      </c>
      <c r="J123" s="11"/>
      <c r="K123" s="27"/>
    </row>
    <row r="124" spans="1:11">
      <c r="A124" s="55" t="s">
        <v>232</v>
      </c>
      <c r="B124" s="11" t="s">
        <v>137</v>
      </c>
      <c r="C124" s="11" t="s">
        <v>101</v>
      </c>
      <c r="D124" s="11" t="s">
        <v>120</v>
      </c>
      <c r="E124" s="11" t="s">
        <v>69</v>
      </c>
      <c r="F124" s="11" t="s">
        <v>16</v>
      </c>
      <c r="G124" s="14">
        <v>480</v>
      </c>
      <c r="H124" s="17">
        <f>IF(SUMIFS(İndirimler!$C$2:$C$210,İndirimler!$A$2:$A$210,B124,İndirimler!$B$2:$B$210,C124)&gt;0,ROUND(G124*(1-SUMIFS(İndirimler!$C$2:$C$210,İndirimler!$A$2:$A$210,B124,İndirimler!$B$2:$B$210,C124)),2),"")</f>
        <v>408</v>
      </c>
      <c r="I124" s="20">
        <f>IF(SUMIFS(İndirimler!$D$2:$D$210,İndirimler!$A$2:$A$210,B124,İndirimler!$B$2:$B$210,C124)&gt;0,ROUND(G124*(1-SUMIFS(İndirimler!$D$2:$D$210,İndirimler!$A$2:$A$210,B124,İndirimler!$B$2:$B$210,C124)),2),"")</f>
        <v>336</v>
      </c>
      <c r="J124" s="11"/>
      <c r="K124" s="27"/>
    </row>
    <row r="125" spans="1:11">
      <c r="A125" s="55" t="s">
        <v>233</v>
      </c>
      <c r="B125" s="11" t="s">
        <v>18</v>
      </c>
      <c r="C125" s="11" t="s">
        <v>101</v>
      </c>
      <c r="D125" s="11" t="s">
        <v>120</v>
      </c>
      <c r="E125" s="11" t="s">
        <v>109</v>
      </c>
      <c r="F125" s="11" t="s">
        <v>16</v>
      </c>
      <c r="G125" s="14"/>
      <c r="H125" s="17">
        <f>IF(SUMIFS(İndirimler!$C$2:$C$210,İndirimler!$A$2:$A$210,B125,İndirimler!$B$2:$B$210,C125)&gt;0,ROUND(G125*(1-SUMIFS(İndirimler!$C$2:$C$210,İndirimler!$A$2:$A$210,B125,İndirimler!$B$2:$B$210,C125)),2),"")</f>
        <v>0</v>
      </c>
      <c r="I125" s="20">
        <f>IF(SUMIFS(İndirimler!$D$2:$D$210,İndirimler!$A$2:$A$210,B125,İndirimler!$B$2:$B$210,C125)&gt;0,ROUND(G125*(1-SUMIFS(İndirimler!$D$2:$D$210,İndirimler!$A$2:$A$210,B125,İndirimler!$B$2:$B$210,C125)),2),"")</f>
        <v>0</v>
      </c>
      <c r="J125" s="11"/>
      <c r="K125" s="27"/>
    </row>
    <row r="126" spans="1:11">
      <c r="A126" s="55" t="s">
        <v>234</v>
      </c>
      <c r="B126" s="11" t="s">
        <v>165</v>
      </c>
      <c r="C126" s="11" t="s">
        <v>101</v>
      </c>
      <c r="D126" s="11" t="s">
        <v>120</v>
      </c>
      <c r="E126" s="11"/>
      <c r="F126" s="11" t="s">
        <v>16</v>
      </c>
      <c r="G126" s="14"/>
      <c r="H126" s="17">
        <f>IF(SUMIFS(İndirimler!$C$2:$C$210,İndirimler!$A$2:$A$210,B126,İndirimler!$B$2:$B$210,C126)&gt;0,ROUND(G126*(1-SUMIFS(İndirimler!$C$2:$C$210,İndirimler!$A$2:$A$210,B126,İndirimler!$B$2:$B$210,C126)),2),"")</f>
        <v>0</v>
      </c>
      <c r="I126" s="20">
        <f>IF(SUMIFS(İndirimler!$D$2:$D$210,İndirimler!$A$2:$A$210,B126,İndirimler!$B$2:$B$210,C126)&gt;0,ROUND(G126*(1-SUMIFS(İndirimler!$D$2:$D$210,İndirimler!$A$2:$A$210,B126,İndirimler!$B$2:$B$210,C126)),2),"")</f>
        <v>0</v>
      </c>
      <c r="J126" s="11"/>
      <c r="K126" s="27"/>
    </row>
    <row r="127" spans="1:11">
      <c r="A127" s="55" t="s">
        <v>235</v>
      </c>
      <c r="B127" s="11" t="s">
        <v>63</v>
      </c>
      <c r="C127" s="11" t="s">
        <v>101</v>
      </c>
      <c r="D127" s="11" t="s">
        <v>120</v>
      </c>
      <c r="E127" s="11" t="s">
        <v>64</v>
      </c>
      <c r="F127" s="11" t="s">
        <v>16</v>
      </c>
      <c r="G127" s="14"/>
      <c r="H127" s="17">
        <f>IF(SUMIFS(İndirimler!$C$2:$C$210,İndirimler!$A$2:$A$210,B127,İndirimler!$B$2:$B$210,C127)&gt;0,ROUND(G127*(1-SUMIFS(İndirimler!$C$2:$C$210,İndirimler!$A$2:$A$210,B127,İndirimler!$B$2:$B$210,C127)),2),"")</f>
        <v>0</v>
      </c>
      <c r="I127" s="20">
        <f>IF(SUMIFS(İndirimler!$D$2:$D$210,İndirimler!$A$2:$A$210,B127,İndirimler!$B$2:$B$210,C127)&gt;0,ROUND(G127*(1-SUMIFS(İndirimler!$D$2:$D$210,İndirimler!$A$2:$A$210,B127,İndirimler!$B$2:$B$210,C127)),2),"")</f>
        <v>0</v>
      </c>
      <c r="J127" s="26" t="s">
        <v>236</v>
      </c>
      <c r="K127" s="27"/>
    </row>
    <row r="128" spans="1:11">
      <c r="A128" s="55" t="s">
        <v>237</v>
      </c>
      <c r="B128" s="11" t="s">
        <v>23</v>
      </c>
      <c r="C128" s="11" t="s">
        <v>101</v>
      </c>
      <c r="D128" s="11" t="s">
        <v>120</v>
      </c>
      <c r="E128" s="11"/>
      <c r="F128" s="11" t="s">
        <v>16</v>
      </c>
      <c r="G128" s="14">
        <v>624</v>
      </c>
      <c r="H128" s="17">
        <f>IF(SUMIFS(İndirimler!$C$2:$C$210,İndirimler!$A$2:$A$210,B128,İndirimler!$B$2:$B$210,C128)&gt;0,ROUND(G128*(1-SUMIFS(İndirimler!$C$2:$C$210,İndirimler!$A$2:$A$210,B128,İndirimler!$B$2:$B$210,C128)),2),"")</f>
        <v>530.4</v>
      </c>
      <c r="I128" s="20">
        <f>IF(SUMIFS(İndirimler!$D$2:$D$210,İndirimler!$A$2:$A$210,B128,İndirimler!$B$2:$B$210,C128)&gt;0,ROUND(G128*(1-SUMIFS(İndirimler!$D$2:$D$210,İndirimler!$A$2:$A$210,B128,İndirimler!$B$2:$B$210,C128)),2),"")</f>
        <v>436.8</v>
      </c>
      <c r="J128" s="26"/>
      <c r="K128" s="27"/>
    </row>
    <row r="129" spans="1:11">
      <c r="A129" s="55" t="s">
        <v>238</v>
      </c>
      <c r="B129" s="11" t="s">
        <v>25</v>
      </c>
      <c r="C129" s="11" t="s">
        <v>101</v>
      </c>
      <c r="D129" s="11" t="s">
        <v>120</v>
      </c>
      <c r="E129" s="11" t="s">
        <v>28</v>
      </c>
      <c r="F129" s="11" t="s">
        <v>16</v>
      </c>
      <c r="G129" s="14"/>
      <c r="H129" s="17">
        <f>IF(SUMIFS(İndirimler!$C$2:$C$210,İndirimler!$A$2:$A$210,B129,İndirimler!$B$2:$B$210,C129)&gt;0,ROUND(G129*(1-SUMIFS(İndirimler!$C$2:$C$210,İndirimler!$A$2:$A$210,B129,İndirimler!$B$2:$B$210,C129)),2),"")</f>
        <v>0</v>
      </c>
      <c r="I129" s="20">
        <f>IF(SUMIFS(İndirimler!$D$2:$D$210,İndirimler!$A$2:$A$210,B129,İndirimler!$B$2:$B$210,C129)&gt;0,ROUND(G129*(1-SUMIFS(İndirimler!$D$2:$D$210,İndirimler!$A$2:$A$210,B129,İndirimler!$B$2:$B$210,C129)),2),"")</f>
        <v>0</v>
      </c>
      <c r="J129" s="11"/>
      <c r="K129" s="27"/>
    </row>
    <row r="130" spans="1:11">
      <c r="A130" s="55" t="s">
        <v>239</v>
      </c>
      <c r="B130" s="11" t="s">
        <v>50</v>
      </c>
      <c r="C130" s="11" t="s">
        <v>101</v>
      </c>
      <c r="D130" s="11" t="s">
        <v>120</v>
      </c>
      <c r="E130" s="11" t="s">
        <v>69</v>
      </c>
      <c r="F130" s="11" t="s">
        <v>16</v>
      </c>
      <c r="G130" s="14">
        <v>493</v>
      </c>
      <c r="H130" s="17">
        <f>IF(SUMIFS(İndirimler!$C$2:$C$210,İndirimler!$A$2:$A$210,B130,İndirimler!$B$2:$B$210,C130)&gt;0,ROUND(G130*(1-SUMIFS(İndirimler!$C$2:$C$210,İndirimler!$A$2:$A$210,B130,İndirimler!$B$2:$B$210,C130)),2),"")</f>
        <v>419.05</v>
      </c>
      <c r="I130" s="20">
        <f>IF(SUMIFS(İndirimler!$D$2:$D$210,İndirimler!$A$2:$A$210,B130,İndirimler!$B$2:$B$210,C130)&gt;0,ROUND(G130*(1-SUMIFS(İndirimler!$D$2:$D$210,İndirimler!$A$2:$A$210,B130,İndirimler!$B$2:$B$210,C130)),2),"")</f>
        <v>345.1</v>
      </c>
      <c r="J130" s="11"/>
      <c r="K130" s="27"/>
    </row>
    <row r="131" spans="1:11">
      <c r="A131" s="55" t="s">
        <v>240</v>
      </c>
      <c r="B131" s="11" t="s">
        <v>894</v>
      </c>
      <c r="C131" s="11" t="s">
        <v>101</v>
      </c>
      <c r="D131" s="11" t="s">
        <v>120</v>
      </c>
      <c r="E131" s="11"/>
      <c r="F131" s="11" t="s">
        <v>16</v>
      </c>
      <c r="G131" s="14"/>
      <c r="H131" s="17">
        <f>IF(SUMIFS(İndirimler!$C$2:$C$210,İndirimler!$A$2:$A$210,B131,İndirimler!$B$2:$B$210,C131)&gt;0,ROUND(G131*(1-SUMIFS(İndirimler!$C$2:$C$210,İndirimler!$A$2:$A$210,B131,İndirimler!$B$2:$B$210,C131)),2),"")</f>
        <v>0</v>
      </c>
      <c r="I131" s="20">
        <f>IF(SUMIFS(İndirimler!$D$2:$D$210,İndirimler!$A$2:$A$210,B131,İndirimler!$B$2:$B$210,C131)&gt;0,ROUND(G131*(1-SUMIFS(İndirimler!$D$2:$D$210,İndirimler!$A$2:$A$210,B131,İndirimler!$B$2:$B$210,C131)),2),"")</f>
        <v>0</v>
      </c>
      <c r="J131" s="11"/>
      <c r="K131" s="27"/>
    </row>
    <row r="132" spans="1:11">
      <c r="A132" s="55" t="s">
        <v>241</v>
      </c>
      <c r="B132" s="11" t="s">
        <v>133</v>
      </c>
      <c r="C132" s="11" t="s">
        <v>101</v>
      </c>
      <c r="D132" s="11" t="s">
        <v>120</v>
      </c>
      <c r="E132" s="11"/>
      <c r="F132" s="11" t="s">
        <v>16</v>
      </c>
      <c r="G132" s="14"/>
      <c r="H132" s="17">
        <f>IF(SUMIFS(İndirimler!$C$2:$C$210,İndirimler!$A$2:$A$210,B132,İndirimler!$B$2:$B$210,C132)&gt;0,ROUND(G132*(1-SUMIFS(İndirimler!$C$2:$C$210,İndirimler!$A$2:$A$210,B132,İndirimler!$B$2:$B$210,C132)),2),"")</f>
        <v>0</v>
      </c>
      <c r="I132" s="20">
        <f>IF(SUMIFS(İndirimler!$D$2:$D$210,İndirimler!$A$2:$A$210,B132,İndirimler!$B$2:$B$210,C132)&gt;0,ROUND(G132*(1-SUMIFS(İndirimler!$D$2:$D$210,İndirimler!$A$2:$A$210,B132,İndirimler!$B$2:$B$210,C132)),2),"")</f>
        <v>0</v>
      </c>
      <c r="J132" s="11"/>
      <c r="K132" s="27"/>
    </row>
    <row r="133" spans="1:11">
      <c r="A133" s="55" t="s">
        <v>242</v>
      </c>
      <c r="B133" s="11" t="s">
        <v>38</v>
      </c>
      <c r="C133" s="11" t="s">
        <v>101</v>
      </c>
      <c r="D133" s="11" t="s">
        <v>120</v>
      </c>
      <c r="E133" s="11"/>
      <c r="F133" s="11" t="s">
        <v>16</v>
      </c>
      <c r="G133" s="14"/>
      <c r="H133" s="17">
        <f>IF(SUMIFS(İndirimler!$C$2:$C$210,İndirimler!$A$2:$A$210,B133,İndirimler!$B$2:$B$210,C133)&gt;0,ROUND(G133*(1-SUMIFS(İndirimler!$C$2:$C$210,İndirimler!$A$2:$A$210,B133,İndirimler!$B$2:$B$210,C133)),2),"")</f>
        <v>0</v>
      </c>
      <c r="I133" s="20">
        <f>IF(SUMIFS(İndirimler!$D$2:$D$210,İndirimler!$A$2:$A$210,B133,İndirimler!$B$2:$B$210,C133)&gt;0,ROUND(G133*(1-SUMIFS(İndirimler!$D$2:$D$210,İndirimler!$A$2:$A$210,B133,İndirimler!$B$2:$B$210,C133)),2),"")</f>
        <v>0</v>
      </c>
      <c r="J133" s="11"/>
      <c r="K133" s="27"/>
    </row>
    <row r="134" spans="1:11">
      <c r="A134" s="55" t="s">
        <v>243</v>
      </c>
      <c r="B134" s="11" t="s">
        <v>72</v>
      </c>
      <c r="C134" s="11" t="s">
        <v>101</v>
      </c>
      <c r="D134" s="11" t="s">
        <v>120</v>
      </c>
      <c r="E134" s="11"/>
      <c r="F134" s="11" t="s">
        <v>73</v>
      </c>
      <c r="G134" s="14"/>
      <c r="H134" s="17">
        <f>IF(SUMIFS(İndirimler!$C$2:$C$210,İndirimler!$A$2:$A$210,B134,İndirimler!$B$2:$B$210,C134)&gt;0,ROUND(G134*(1-SUMIFS(İndirimler!$C$2:$C$210,İndirimler!$A$2:$A$210,B134,İndirimler!$B$2:$B$210,C134)),2),"")</f>
        <v>0</v>
      </c>
      <c r="I134" s="20">
        <f>IF(SUMIFS(İndirimler!$D$2:$D$210,İndirimler!$A$2:$A$210,B134,İndirimler!$B$2:$B$210,C134)&gt;0,ROUND(G134*(1-SUMIFS(İndirimler!$D$2:$D$210,İndirimler!$A$2:$A$210,B134,İndirimler!$B$2:$B$210,C134)),2),"")</f>
        <v>0</v>
      </c>
      <c r="J134" s="11"/>
      <c r="K134" s="27"/>
    </row>
    <row r="135" spans="1:11">
      <c r="A135" s="55" t="s">
        <v>244</v>
      </c>
      <c r="B135" s="11" t="s">
        <v>119</v>
      </c>
      <c r="C135" s="11" t="s">
        <v>245</v>
      </c>
      <c r="D135" s="11" t="s">
        <v>120</v>
      </c>
      <c r="E135" s="11"/>
      <c r="F135" s="11" t="s">
        <v>35</v>
      </c>
      <c r="G135" s="14">
        <v>625</v>
      </c>
      <c r="H135" s="17">
        <f>IF(SUMIFS(İndirimler!$C$2:$C$210,İndirimler!$A$2:$A$210,B135,İndirimler!$B$2:$B$210,C135)&gt;0,ROUND(G135*(1-SUMIFS(İndirimler!$C$2:$C$210,İndirimler!$A$2:$A$210,B135,İndirimler!$B$2:$B$210,C135)),2),"")</f>
        <v>531.25</v>
      </c>
      <c r="I135" s="20">
        <f>IF(SUMIFS(İndirimler!$D$2:$D$210,İndirimler!$A$2:$A$210,B135,İndirimler!$B$2:$B$210,C135)&gt;0,ROUND(G135*(1-SUMIFS(İndirimler!$D$2:$D$210,İndirimler!$A$2:$A$210,B135,İndirimler!$B$2:$B$210,C135)),2),"")</f>
        <v>437.5</v>
      </c>
      <c r="J135" s="11"/>
      <c r="K135" s="27"/>
    </row>
    <row r="136" spans="1:11">
      <c r="A136" s="55" t="s">
        <v>246</v>
      </c>
      <c r="B136" s="11" t="s">
        <v>25</v>
      </c>
      <c r="C136" s="11" t="s">
        <v>245</v>
      </c>
      <c r="D136" s="11" t="s">
        <v>120</v>
      </c>
      <c r="E136" s="11" t="s">
        <v>126</v>
      </c>
      <c r="F136" s="11" t="s">
        <v>35</v>
      </c>
      <c r="G136" s="14">
        <v>719</v>
      </c>
      <c r="H136" s="17">
        <f>IF(SUMIFS(İndirimler!$C$2:$C$210,İndirimler!$A$2:$A$210,B136,İndirimler!$B$2:$B$210,C136)&gt;0,ROUND(G136*(1-SUMIFS(İndirimler!$C$2:$C$210,İndirimler!$A$2:$A$210,B136,İndirimler!$B$2:$B$210,C136)),2),"")</f>
        <v>611.15</v>
      </c>
      <c r="I136" s="20">
        <f>IF(SUMIFS(İndirimler!$D$2:$D$210,İndirimler!$A$2:$A$210,B136,İndirimler!$B$2:$B$210,C136)&gt;0,ROUND(G136*(1-SUMIFS(İndirimler!$D$2:$D$210,İndirimler!$A$2:$A$210,B136,İndirimler!$B$2:$B$210,C136)),2),"")</f>
        <v>503.3</v>
      </c>
      <c r="J136" s="11"/>
      <c r="K136" s="27"/>
    </row>
    <row r="137" spans="1:11">
      <c r="A137" s="55" t="s">
        <v>247</v>
      </c>
      <c r="B137" s="11" t="s">
        <v>894</v>
      </c>
      <c r="C137" s="11" t="s">
        <v>245</v>
      </c>
      <c r="D137" s="11" t="s">
        <v>120</v>
      </c>
      <c r="E137" s="11" t="s">
        <v>128</v>
      </c>
      <c r="F137" s="11" t="s">
        <v>35</v>
      </c>
      <c r="G137" s="14">
        <v>779</v>
      </c>
      <c r="H137" s="17">
        <f>IF(SUMIFS(İndirimler!$C$2:$C$210,İndirimler!$A$2:$A$210,B137,İndirimler!$B$2:$B$210,C137)&gt;0,ROUND(G137*(1-SUMIFS(İndirimler!$C$2:$C$210,İndirimler!$A$2:$A$210,B137,İndirimler!$B$2:$B$210,C137)),2),"")</f>
        <v>662.15</v>
      </c>
      <c r="I137" s="20">
        <f>IF(SUMIFS(İndirimler!$D$2:$D$210,İndirimler!$A$2:$A$210,B137,İndirimler!$B$2:$B$210,C137)&gt;0,ROUND(G137*(1-SUMIFS(İndirimler!$D$2:$D$210,İndirimler!$A$2:$A$210,B137,İndirimler!$B$2:$B$210,C137)),2),"")</f>
        <v>545.29999999999995</v>
      </c>
      <c r="J137" s="11"/>
      <c r="K137" s="27"/>
    </row>
    <row r="138" spans="1:11">
      <c r="A138" s="55" t="s">
        <v>248</v>
      </c>
      <c r="B138" s="11" t="s">
        <v>133</v>
      </c>
      <c r="C138" s="11" t="s">
        <v>245</v>
      </c>
      <c r="D138" s="11" t="s">
        <v>120</v>
      </c>
      <c r="E138" s="11"/>
      <c r="F138" s="11" t="s">
        <v>35</v>
      </c>
      <c r="G138" s="14">
        <v>539</v>
      </c>
      <c r="H138" s="17">
        <f>IF(SUMIFS(İndirimler!$C$2:$C$210,İndirimler!$A$2:$A$210,B138,İndirimler!$B$2:$B$210,C138)&gt;0,ROUND(G138*(1-SUMIFS(İndirimler!$C$2:$C$210,İndirimler!$A$2:$A$210,B138,İndirimler!$B$2:$B$210,C138)),2),"")</f>
        <v>458.15</v>
      </c>
      <c r="I138" s="20">
        <f>IF(SUMIFS(İndirimler!$D$2:$D$210,İndirimler!$A$2:$A$210,B138,İndirimler!$B$2:$B$210,C138)&gt;0,ROUND(G138*(1-SUMIFS(İndirimler!$D$2:$D$210,İndirimler!$A$2:$A$210,B138,İndirimler!$B$2:$B$210,C138)),2),"")</f>
        <v>377.3</v>
      </c>
      <c r="J138" s="11"/>
      <c r="K138" s="27"/>
    </row>
    <row r="139" spans="1:11">
      <c r="A139" s="55" t="s">
        <v>249</v>
      </c>
      <c r="B139" s="11" t="s">
        <v>38</v>
      </c>
      <c r="C139" s="11" t="s">
        <v>245</v>
      </c>
      <c r="D139" s="11" t="s">
        <v>120</v>
      </c>
      <c r="E139" s="11" t="s">
        <v>250</v>
      </c>
      <c r="F139" s="11" t="s">
        <v>35</v>
      </c>
      <c r="G139" s="14">
        <v>779</v>
      </c>
      <c r="H139" s="17">
        <f>IF(SUMIFS(İndirimler!$C$2:$C$210,İndirimler!$A$2:$A$210,B139,İndirimler!$B$2:$B$210,C139)&gt;0,ROUND(G139*(1-SUMIFS(İndirimler!$C$2:$C$210,İndirimler!$A$2:$A$210,B139,İndirimler!$B$2:$B$210,C139)),2),"")</f>
        <v>662.15</v>
      </c>
      <c r="I139" s="20">
        <f>IF(SUMIFS(İndirimler!$D$2:$D$210,İndirimler!$A$2:$A$210,B139,İndirimler!$B$2:$B$210,C139)&gt;0,ROUND(G139*(1-SUMIFS(İndirimler!$D$2:$D$210,İndirimler!$A$2:$A$210,B139,İndirimler!$B$2:$B$210,C139)),2),"")</f>
        <v>545.29999999999995</v>
      </c>
      <c r="J139" s="11" t="s">
        <v>251</v>
      </c>
      <c r="K139" s="27"/>
    </row>
    <row r="140" spans="1:11">
      <c r="A140" s="55" t="s">
        <v>252</v>
      </c>
      <c r="B140" s="11" t="s">
        <v>38</v>
      </c>
      <c r="C140" s="11" t="s">
        <v>245</v>
      </c>
      <c r="D140" s="11" t="s">
        <v>120</v>
      </c>
      <c r="E140" s="11" t="s">
        <v>253</v>
      </c>
      <c r="F140" s="11" t="s">
        <v>35</v>
      </c>
      <c r="G140" s="14">
        <v>899</v>
      </c>
      <c r="H140" s="17">
        <f>IF(SUMIFS(İndirimler!$C$2:$C$210,İndirimler!$A$2:$A$210,B140,İndirimler!$B$2:$B$210,C140)&gt;0,ROUND(G140*(1-SUMIFS(İndirimler!$C$2:$C$210,İndirimler!$A$2:$A$210,B140,İndirimler!$B$2:$B$210,C140)),2),"")</f>
        <v>764.15</v>
      </c>
      <c r="I140" s="20">
        <f>IF(SUMIFS(İndirimler!$D$2:$D$210,İndirimler!$A$2:$A$210,B140,İndirimler!$B$2:$B$210,C140)&gt;0,ROUND(G140*(1-SUMIFS(İndirimler!$D$2:$D$210,İndirimler!$A$2:$A$210,B140,İndirimler!$B$2:$B$210,C140)),2),"")</f>
        <v>629.29999999999995</v>
      </c>
      <c r="J140" s="11" t="s">
        <v>254</v>
      </c>
      <c r="K140" s="27"/>
    </row>
    <row r="141" spans="1:11">
      <c r="A141" s="55" t="s">
        <v>255</v>
      </c>
      <c r="B141" s="11" t="s">
        <v>137</v>
      </c>
      <c r="C141" s="11" t="s">
        <v>245</v>
      </c>
      <c r="D141" s="11" t="s">
        <v>120</v>
      </c>
      <c r="E141" s="11" t="s">
        <v>138</v>
      </c>
      <c r="F141" s="11" t="s">
        <v>42</v>
      </c>
      <c r="G141" s="14">
        <v>550</v>
      </c>
      <c r="H141" s="17">
        <f>IF(SUMIFS(İndirimler!$C$2:$C$210,İndirimler!$A$2:$A$210,B141,İndirimler!$B$2:$B$210,C141)&gt;0,ROUND(G141*(1-SUMIFS(İndirimler!$C$2:$C$210,İndirimler!$A$2:$A$210,B141,İndirimler!$B$2:$B$210,C141)),2),"")</f>
        <v>467.5</v>
      </c>
      <c r="I141" s="20">
        <f>IF(SUMIFS(İndirimler!$D$2:$D$210,İndirimler!$A$2:$A$210,B141,İndirimler!$B$2:$B$210,C141)&gt;0,ROUND(G141*(1-SUMIFS(İndirimler!$D$2:$D$210,İndirimler!$A$2:$A$210,B141,İndirimler!$B$2:$B$210,C141)),2),"")</f>
        <v>385</v>
      </c>
      <c r="J141" s="11" t="s">
        <v>256</v>
      </c>
      <c r="K141" s="27"/>
    </row>
    <row r="142" spans="1:11">
      <c r="A142" s="55" t="s">
        <v>257</v>
      </c>
      <c r="B142" s="11" t="s">
        <v>50</v>
      </c>
      <c r="C142" s="11" t="s">
        <v>245</v>
      </c>
      <c r="D142" s="11" t="s">
        <v>120</v>
      </c>
      <c r="E142" s="11" t="s">
        <v>150</v>
      </c>
      <c r="F142" s="11" t="s">
        <v>42</v>
      </c>
      <c r="G142" s="14">
        <v>681</v>
      </c>
      <c r="H142" s="17">
        <f>IF(SUMIFS(İndirimler!$C$2:$C$210,İndirimler!$A$2:$A$210,B142,İndirimler!$B$2:$B$210,C142)&gt;0,ROUND(G142*(1-SUMIFS(İndirimler!$C$2:$C$210,İndirimler!$A$2:$A$210,B142,İndirimler!$B$2:$B$210,C142)),2),"")</f>
        <v>578.85</v>
      </c>
      <c r="I142" s="20">
        <f>IF(SUMIFS(İndirimler!$D$2:$D$210,İndirimler!$A$2:$A$210,B142,İndirimler!$B$2:$B$210,C142)&gt;0,ROUND(G142*(1-SUMIFS(İndirimler!$D$2:$D$210,İndirimler!$A$2:$A$210,B142,İndirimler!$B$2:$B$210,C142)),2),"")</f>
        <v>476.7</v>
      </c>
      <c r="J142" s="11"/>
      <c r="K142" s="27"/>
    </row>
    <row r="143" spans="1:11">
      <c r="A143" s="55" t="s">
        <v>258</v>
      </c>
      <c r="B143" s="11" t="s">
        <v>25</v>
      </c>
      <c r="C143" s="11" t="s">
        <v>13</v>
      </c>
      <c r="D143" s="11" t="s">
        <v>120</v>
      </c>
      <c r="E143" s="11" t="s">
        <v>126</v>
      </c>
      <c r="F143" s="11" t="s">
        <v>35</v>
      </c>
      <c r="G143" s="14">
        <v>999</v>
      </c>
      <c r="H143" s="17">
        <f>IF(SUMIFS(İndirimler!$C$2:$C$210,İndirimler!$A$2:$A$210,B143,İndirimler!$B$2:$B$210,C143)&gt;0,ROUND(G143*(1-SUMIFS(İndirimler!$C$2:$C$210,İndirimler!$A$2:$A$210,B143,İndirimler!$B$2:$B$210,C143)),2),"")</f>
        <v>849.15</v>
      </c>
      <c r="I143" s="20">
        <f>IF(SUMIFS(İndirimler!$D$2:$D$210,İndirimler!$A$2:$A$210,B143,İndirimler!$B$2:$B$210,C143)&gt;0,ROUND(G143*(1-SUMIFS(İndirimler!$D$2:$D$210,İndirimler!$A$2:$A$210,B143,İndirimler!$B$2:$B$210,C143)),2),"")</f>
        <v>699.3</v>
      </c>
      <c r="J143" s="11"/>
      <c r="K143" s="27"/>
    </row>
    <row r="144" spans="1:11">
      <c r="A144" s="55" t="s">
        <v>259</v>
      </c>
      <c r="B144" s="11" t="s">
        <v>119</v>
      </c>
      <c r="C144" s="11" t="s">
        <v>13</v>
      </c>
      <c r="D144" s="11" t="s">
        <v>120</v>
      </c>
      <c r="E144" s="11" t="s">
        <v>231</v>
      </c>
      <c r="F144" s="11" t="s">
        <v>16</v>
      </c>
      <c r="G144" s="14"/>
      <c r="H144" s="17">
        <f>IF(SUMIFS(İndirimler!$C$2:$C$210,İndirimler!$A$2:$A$210,B144,İndirimler!$B$2:$B$210,C144)&gt;0,ROUND(G144*(1-SUMIFS(İndirimler!$C$2:$C$210,İndirimler!$A$2:$A$210,B144,İndirimler!$B$2:$B$210,C144)),2),"")</f>
        <v>0</v>
      </c>
      <c r="I144" s="20">
        <f>IF(SUMIFS(İndirimler!$D$2:$D$210,İndirimler!$A$2:$A$210,B144,İndirimler!$B$2:$B$210,C144)&gt;0,ROUND(G144*(1-SUMIFS(İndirimler!$D$2:$D$210,İndirimler!$A$2:$A$210,B144,İndirimler!$B$2:$B$210,C144)),2),"")</f>
        <v>0</v>
      </c>
      <c r="J144" s="11"/>
      <c r="K144" s="27"/>
    </row>
    <row r="145" spans="1:11">
      <c r="A145" s="55" t="s">
        <v>260</v>
      </c>
      <c r="B145" s="11" t="s">
        <v>119</v>
      </c>
      <c r="C145" s="11" t="s">
        <v>13</v>
      </c>
      <c r="D145" s="11" t="s">
        <v>120</v>
      </c>
      <c r="E145" s="11" t="s">
        <v>261</v>
      </c>
      <c r="F145" s="11" t="s">
        <v>16</v>
      </c>
      <c r="G145" s="14">
        <v>619</v>
      </c>
      <c r="H145" s="17">
        <f>IF(SUMIFS(İndirimler!$C$2:$C$210,İndirimler!$A$2:$A$210,B145,İndirimler!$B$2:$B$210,C145)&gt;0,ROUND(G145*(1-SUMIFS(İndirimler!$C$2:$C$210,İndirimler!$A$2:$A$210,B145,İndirimler!$B$2:$B$210,C145)),2),"")</f>
        <v>526.15</v>
      </c>
      <c r="I145" s="20">
        <f>IF(SUMIFS(İndirimler!$D$2:$D$210,İndirimler!$A$2:$A$210,B145,İndirimler!$B$2:$B$210,C145)&gt;0,ROUND(G145*(1-SUMIFS(İndirimler!$D$2:$D$210,İndirimler!$A$2:$A$210,B145,İndirimler!$B$2:$B$210,C145)),2),"")</f>
        <v>433.3</v>
      </c>
      <c r="J145" s="11"/>
      <c r="K145" s="27"/>
    </row>
    <row r="146" spans="1:11">
      <c r="A146" s="55" t="s">
        <v>262</v>
      </c>
      <c r="B146" s="11" t="s">
        <v>123</v>
      </c>
      <c r="C146" s="11" t="s">
        <v>13</v>
      </c>
      <c r="D146" s="11" t="s">
        <v>120</v>
      </c>
      <c r="E146" s="11" t="s">
        <v>263</v>
      </c>
      <c r="F146" s="11" t="s">
        <v>16</v>
      </c>
      <c r="G146" s="14"/>
      <c r="H146" s="17">
        <f>IF(SUMIFS(İndirimler!$C$2:$C$210,İndirimler!$A$2:$A$210,B146,İndirimler!$B$2:$B$210,C146)&gt;0,ROUND(G146*(1-SUMIFS(İndirimler!$C$2:$C$210,İndirimler!$A$2:$A$210,B146,İndirimler!$B$2:$B$210,C146)),2),"")</f>
        <v>0</v>
      </c>
      <c r="I146" s="20">
        <f>IF(SUMIFS(İndirimler!$D$2:$D$210,İndirimler!$A$2:$A$210,B146,İndirimler!$B$2:$B$210,C146)&gt;0,ROUND(G146*(1-SUMIFS(İndirimler!$D$2:$D$210,İndirimler!$A$2:$A$210,B146,İndirimler!$B$2:$B$210,C146)),2),"")</f>
        <v>0</v>
      </c>
      <c r="J146" s="11"/>
      <c r="K146" s="27"/>
    </row>
    <row r="147" spans="1:11">
      <c r="A147" s="55" t="s">
        <v>264</v>
      </c>
      <c r="B147" s="11" t="s">
        <v>123</v>
      </c>
      <c r="C147" s="11" t="s">
        <v>13</v>
      </c>
      <c r="D147" s="11" t="s">
        <v>120</v>
      </c>
      <c r="E147" s="11" t="s">
        <v>124</v>
      </c>
      <c r="F147" s="11" t="s">
        <v>16</v>
      </c>
      <c r="G147" s="14">
        <v>469</v>
      </c>
      <c r="H147" s="17">
        <f>IF(SUMIFS(İndirimler!$C$2:$C$210,İndirimler!$A$2:$A$210,B147,İndirimler!$B$2:$B$210,C147)&gt;0,ROUND(G147*(1-SUMIFS(İndirimler!$C$2:$C$210,İndirimler!$A$2:$A$210,B147,İndirimler!$B$2:$B$210,C147)),2),"")</f>
        <v>398.65</v>
      </c>
      <c r="I147" s="20">
        <f>IF(SUMIFS(İndirimler!$D$2:$D$210,İndirimler!$A$2:$A$210,B147,İndirimler!$B$2:$B$210,C147)&gt;0,ROUND(G147*(1-SUMIFS(İndirimler!$D$2:$D$210,İndirimler!$A$2:$A$210,B147,İndirimler!$B$2:$B$210,C147)),2),"")</f>
        <v>328.3</v>
      </c>
      <c r="J147" s="11"/>
      <c r="K147" s="27"/>
    </row>
    <row r="148" spans="1:11">
      <c r="A148" s="55" t="s">
        <v>265</v>
      </c>
      <c r="B148" s="11" t="s">
        <v>137</v>
      </c>
      <c r="C148" s="11" t="s">
        <v>13</v>
      </c>
      <c r="D148" s="11" t="s">
        <v>120</v>
      </c>
      <c r="E148" s="11" t="s">
        <v>69</v>
      </c>
      <c r="F148" s="11" t="s">
        <v>16</v>
      </c>
      <c r="G148" s="14">
        <v>638</v>
      </c>
      <c r="H148" s="17">
        <f>IF(SUMIFS(İndirimler!$C$2:$C$210,İndirimler!$A$2:$A$210,B148,İndirimler!$B$2:$B$210,C148)&gt;0,ROUND(G148*(1-SUMIFS(İndirimler!$C$2:$C$210,İndirimler!$A$2:$A$210,B148,İndirimler!$B$2:$B$210,C148)),2),"")</f>
        <v>542.29999999999995</v>
      </c>
      <c r="I148" s="20">
        <f>IF(SUMIFS(İndirimler!$D$2:$D$210,İndirimler!$A$2:$A$210,B148,İndirimler!$B$2:$B$210,C148)&gt;0,ROUND(G148*(1-SUMIFS(İndirimler!$D$2:$D$210,İndirimler!$A$2:$A$210,B148,İndirimler!$B$2:$B$210,C148)),2),"")</f>
        <v>446.6</v>
      </c>
      <c r="J148" s="11"/>
      <c r="K148" s="27"/>
    </row>
    <row r="149" spans="1:11">
      <c r="A149" s="55" t="s">
        <v>266</v>
      </c>
      <c r="B149" s="11" t="s">
        <v>18</v>
      </c>
      <c r="C149" s="11" t="s">
        <v>13</v>
      </c>
      <c r="D149" s="11" t="s">
        <v>120</v>
      </c>
      <c r="E149" s="11"/>
      <c r="F149" s="11" t="s">
        <v>16</v>
      </c>
      <c r="G149" s="14">
        <v>549</v>
      </c>
      <c r="H149" s="17">
        <f>IF(SUMIFS(İndirimler!$C$2:$C$210,İndirimler!$A$2:$A$210,B149,İndirimler!$B$2:$B$210,C149)&gt;0,ROUND(G149*(1-SUMIFS(İndirimler!$C$2:$C$210,İndirimler!$A$2:$A$210,B149,İndirimler!$B$2:$B$210,C149)),2),"")</f>
        <v>466.65</v>
      </c>
      <c r="I149" s="20">
        <f>IF(SUMIFS(İndirimler!$D$2:$D$210,İndirimler!$A$2:$A$210,B149,İndirimler!$B$2:$B$210,C149)&gt;0,ROUND(G149*(1-SUMIFS(İndirimler!$D$2:$D$210,İndirimler!$A$2:$A$210,B149,İndirimler!$B$2:$B$210,C149)),2),"")</f>
        <v>384.3</v>
      </c>
      <c r="J149" s="11" t="s">
        <v>267</v>
      </c>
      <c r="K149" s="27"/>
    </row>
    <row r="150" spans="1:11">
      <c r="A150" s="55" t="s">
        <v>268</v>
      </c>
      <c r="B150" s="11" t="s">
        <v>165</v>
      </c>
      <c r="C150" s="11" t="s">
        <v>13</v>
      </c>
      <c r="D150" s="11" t="s">
        <v>120</v>
      </c>
      <c r="E150" s="11" t="s">
        <v>269</v>
      </c>
      <c r="F150" s="11" t="s">
        <v>16</v>
      </c>
      <c r="G150" s="14"/>
      <c r="H150" s="17">
        <f>IF(SUMIFS(İndirimler!$C$2:$C$210,İndirimler!$A$2:$A$210,B150,İndirimler!$B$2:$B$210,C150)&gt;0,ROUND(G150*(1-SUMIFS(İndirimler!$C$2:$C$210,İndirimler!$A$2:$A$210,B150,İndirimler!$B$2:$B$210,C150)),2),"")</f>
        <v>0</v>
      </c>
      <c r="I150" s="20">
        <f>IF(SUMIFS(İndirimler!$D$2:$D$210,İndirimler!$A$2:$A$210,B150,İndirimler!$B$2:$B$210,C150)&gt;0,ROUND(G150*(1-SUMIFS(İndirimler!$D$2:$D$210,İndirimler!$A$2:$A$210,B150,İndirimler!$B$2:$B$210,C150)),2),"")</f>
        <v>0</v>
      </c>
      <c r="J150" s="11"/>
      <c r="K150" s="27"/>
    </row>
    <row r="151" spans="1:11">
      <c r="A151" s="55" t="s">
        <v>270</v>
      </c>
      <c r="B151" s="11" t="s">
        <v>165</v>
      </c>
      <c r="C151" s="11" t="s">
        <v>13</v>
      </c>
      <c r="D151" s="11" t="s">
        <v>120</v>
      </c>
      <c r="E151" s="11" t="s">
        <v>271</v>
      </c>
      <c r="F151" s="11" t="s">
        <v>16</v>
      </c>
      <c r="G151" s="14"/>
      <c r="H151" s="17">
        <f>IF(SUMIFS(İndirimler!$C$2:$C$210,İndirimler!$A$2:$A$210,B151,İndirimler!$B$2:$B$210,C151)&gt;0,ROUND(G151*(1-SUMIFS(İndirimler!$C$2:$C$210,İndirimler!$A$2:$A$210,B151,İndirimler!$B$2:$B$210,C151)),2),"")</f>
        <v>0</v>
      </c>
      <c r="I151" s="20">
        <f>IF(SUMIFS(İndirimler!$D$2:$D$210,İndirimler!$A$2:$A$210,B151,İndirimler!$B$2:$B$210,C151)&gt;0,ROUND(G151*(1-SUMIFS(İndirimler!$D$2:$D$210,İndirimler!$A$2:$A$210,B151,İndirimler!$B$2:$B$210,C151)),2),"")</f>
        <v>0</v>
      </c>
      <c r="J151" s="11"/>
      <c r="K151" s="27"/>
    </row>
    <row r="152" spans="1:11">
      <c r="A152" s="55" t="s">
        <v>272</v>
      </c>
      <c r="B152" s="11" t="s">
        <v>23</v>
      </c>
      <c r="C152" s="11" t="s">
        <v>13</v>
      </c>
      <c r="D152" s="11" t="s">
        <v>120</v>
      </c>
      <c r="E152" s="11" t="s">
        <v>69</v>
      </c>
      <c r="F152" s="11" t="s">
        <v>16</v>
      </c>
      <c r="G152" s="14">
        <v>495</v>
      </c>
      <c r="H152" s="17">
        <f>IF(SUMIFS(İndirimler!$C$2:$C$210,İndirimler!$A$2:$A$210,B152,İndirimler!$B$2:$B$210,C152)&gt;0,ROUND(G152*(1-SUMIFS(İndirimler!$C$2:$C$210,İndirimler!$A$2:$A$210,B152,İndirimler!$B$2:$B$210,C152)),2),"")</f>
        <v>420.75</v>
      </c>
      <c r="I152" s="20">
        <f>IF(SUMIFS(İndirimler!$D$2:$D$210,İndirimler!$A$2:$A$210,B152,İndirimler!$B$2:$B$210,C152)&gt;0,ROUND(G152*(1-SUMIFS(İndirimler!$D$2:$D$210,İndirimler!$A$2:$A$210,B152,İndirimler!$B$2:$B$210,C152)),2),"")</f>
        <v>346.5</v>
      </c>
      <c r="J152" s="11"/>
      <c r="K152" s="27"/>
    </row>
    <row r="153" spans="1:11">
      <c r="A153" s="55" t="s">
        <v>273</v>
      </c>
      <c r="B153" s="11" t="s">
        <v>25</v>
      </c>
      <c r="C153" s="11" t="s">
        <v>13</v>
      </c>
      <c r="D153" s="11" t="s">
        <v>120</v>
      </c>
      <c r="E153" s="11"/>
      <c r="F153" s="11" t="s">
        <v>16</v>
      </c>
      <c r="G153" s="14"/>
      <c r="H153" s="17">
        <f>IF(SUMIFS(İndirimler!$C$2:$C$210,İndirimler!$A$2:$A$210,B153,İndirimler!$B$2:$B$210,C153)&gt;0,ROUND(G153*(1-SUMIFS(İndirimler!$C$2:$C$210,İndirimler!$A$2:$A$210,B153,İndirimler!$B$2:$B$210,C153)),2),"")</f>
        <v>0</v>
      </c>
      <c r="I153" s="20">
        <f>IF(SUMIFS(İndirimler!$D$2:$D$210,İndirimler!$A$2:$A$210,B153,İndirimler!$B$2:$B$210,C153)&gt;0,ROUND(G153*(1-SUMIFS(İndirimler!$D$2:$D$210,İndirimler!$A$2:$A$210,B153,İndirimler!$B$2:$B$210,C153)),2),"")</f>
        <v>0</v>
      </c>
      <c r="J153" s="11"/>
      <c r="K153" s="27"/>
    </row>
    <row r="154" spans="1:11">
      <c r="A154" s="55" t="s">
        <v>274</v>
      </c>
      <c r="B154" s="11" t="s">
        <v>25</v>
      </c>
      <c r="C154" s="11" t="s">
        <v>13</v>
      </c>
      <c r="D154" s="11" t="s">
        <v>120</v>
      </c>
      <c r="E154" s="11"/>
      <c r="F154" s="11" t="s">
        <v>16</v>
      </c>
      <c r="G154" s="14">
        <v>599</v>
      </c>
      <c r="H154" s="17">
        <f>IF(SUMIFS(İndirimler!$C$2:$C$210,İndirimler!$A$2:$A$210,B154,İndirimler!$B$2:$B$210,C154)&gt;0,ROUND(G154*(1-SUMIFS(İndirimler!$C$2:$C$210,İndirimler!$A$2:$A$210,B154,İndirimler!$B$2:$B$210,C154)),2),"")</f>
        <v>509.15</v>
      </c>
      <c r="I154" s="20">
        <f>IF(SUMIFS(İndirimler!$D$2:$D$210,İndirimler!$A$2:$A$210,B154,İndirimler!$B$2:$B$210,C154)&gt;0,ROUND(G154*(1-SUMIFS(İndirimler!$D$2:$D$210,İndirimler!$A$2:$A$210,B154,İndirimler!$B$2:$B$210,C154)),2),"")</f>
        <v>419.3</v>
      </c>
      <c r="J154" s="26" t="s">
        <v>889</v>
      </c>
      <c r="K154" s="27"/>
    </row>
    <row r="155" spans="1:11">
      <c r="A155" s="55" t="s">
        <v>275</v>
      </c>
      <c r="B155" s="11" t="s">
        <v>25</v>
      </c>
      <c r="C155" s="11" t="s">
        <v>13</v>
      </c>
      <c r="D155" s="11" t="s">
        <v>120</v>
      </c>
      <c r="E155" s="11" t="s">
        <v>276</v>
      </c>
      <c r="F155" s="11" t="s">
        <v>16</v>
      </c>
      <c r="G155" s="14"/>
      <c r="H155" s="17">
        <f>IF(SUMIFS(İndirimler!$C$2:$C$210,İndirimler!$A$2:$A$210,B155,İndirimler!$B$2:$B$210,C155)&gt;0,ROUND(G155*(1-SUMIFS(İndirimler!$C$2:$C$210,İndirimler!$A$2:$A$210,B155,İndirimler!$B$2:$B$210,C155)),2),"")</f>
        <v>0</v>
      </c>
      <c r="I155" s="20">
        <f>IF(SUMIFS(İndirimler!$D$2:$D$210,İndirimler!$A$2:$A$210,B155,İndirimler!$B$2:$B$210,C155)&gt;0,ROUND(G155*(1-SUMIFS(İndirimler!$D$2:$D$210,İndirimler!$A$2:$A$210,B155,İndirimler!$B$2:$B$210,C155)),2),"")</f>
        <v>0</v>
      </c>
      <c r="J155" s="11"/>
      <c r="K155" s="27"/>
    </row>
    <row r="156" spans="1:11">
      <c r="A156" s="55" t="s">
        <v>277</v>
      </c>
      <c r="B156" s="11" t="s">
        <v>50</v>
      </c>
      <c r="C156" s="11" t="s">
        <v>13</v>
      </c>
      <c r="D156" s="11" t="s">
        <v>120</v>
      </c>
      <c r="E156" s="11" t="s">
        <v>69</v>
      </c>
      <c r="F156" s="11" t="s">
        <v>16</v>
      </c>
      <c r="G156" s="14">
        <v>622</v>
      </c>
      <c r="H156" s="17">
        <f>IF(SUMIFS(İndirimler!$C$2:$C$210,İndirimler!$A$2:$A$210,B156,İndirimler!$B$2:$B$210,C156)&gt;0,ROUND(G156*(1-SUMIFS(İndirimler!$C$2:$C$210,İndirimler!$A$2:$A$210,B156,İndirimler!$B$2:$B$210,C156)),2),"")</f>
        <v>528.70000000000005</v>
      </c>
      <c r="I156" s="20">
        <f>IF(SUMIFS(İndirimler!$D$2:$D$210,İndirimler!$A$2:$A$210,B156,İndirimler!$B$2:$B$210,C156)&gt;0,ROUND(G156*(1-SUMIFS(İndirimler!$D$2:$D$210,İndirimler!$A$2:$A$210,B156,İndirimler!$B$2:$B$210,C156)),2),"")</f>
        <v>435.4</v>
      </c>
      <c r="J156" s="11"/>
      <c r="K156" s="27"/>
    </row>
    <row r="157" spans="1:11">
      <c r="A157" s="55" t="s">
        <v>278</v>
      </c>
      <c r="B157" s="11" t="s">
        <v>894</v>
      </c>
      <c r="C157" s="11" t="s">
        <v>13</v>
      </c>
      <c r="D157" s="11" t="s">
        <v>120</v>
      </c>
      <c r="E157" s="11"/>
      <c r="F157" s="11" t="s">
        <v>16</v>
      </c>
      <c r="G157" s="14">
        <v>599</v>
      </c>
      <c r="H157" s="17">
        <f>IF(SUMIFS(İndirimler!$C$2:$C$210,İndirimler!$A$2:$A$210,B157,İndirimler!$B$2:$B$210,C157)&gt;0,ROUND(G157*(1-SUMIFS(İndirimler!$C$2:$C$210,İndirimler!$A$2:$A$210,B157,İndirimler!$B$2:$B$210,C157)),2),"")</f>
        <v>509.15</v>
      </c>
      <c r="I157" s="20">
        <f>IF(SUMIFS(İndirimler!$D$2:$D$210,İndirimler!$A$2:$A$210,B157,İndirimler!$B$2:$B$210,C157)&gt;0,ROUND(G157*(1-SUMIFS(İndirimler!$D$2:$D$210,İndirimler!$A$2:$A$210,B157,İndirimler!$B$2:$B$210,C157)),2),"")</f>
        <v>419.3</v>
      </c>
      <c r="J157" s="26" t="s">
        <v>890</v>
      </c>
      <c r="K157" s="27"/>
    </row>
    <row r="158" spans="1:11">
      <c r="A158" s="55" t="s">
        <v>279</v>
      </c>
      <c r="B158" s="11" t="s">
        <v>894</v>
      </c>
      <c r="C158" s="11" t="s">
        <v>13</v>
      </c>
      <c r="D158" s="11" t="s">
        <v>120</v>
      </c>
      <c r="E158" s="11"/>
      <c r="F158" s="11" t="s">
        <v>16</v>
      </c>
      <c r="G158" s="14"/>
      <c r="H158" s="17">
        <f>IF(SUMIFS(İndirimler!$C$2:$C$210,İndirimler!$A$2:$A$210,B158,İndirimler!$B$2:$B$210,C158)&gt;0,ROUND(G158*(1-SUMIFS(İndirimler!$C$2:$C$210,İndirimler!$A$2:$A$210,B158,İndirimler!$B$2:$B$210,C158)),2),"")</f>
        <v>0</v>
      </c>
      <c r="I158" s="20">
        <f>IF(SUMIFS(İndirimler!$D$2:$D$210,İndirimler!$A$2:$A$210,B158,İndirimler!$B$2:$B$210,C158)&gt;0,ROUND(G158*(1-SUMIFS(İndirimler!$D$2:$D$210,İndirimler!$A$2:$A$210,B158,İndirimler!$B$2:$B$210,C158)),2),"")</f>
        <v>0</v>
      </c>
      <c r="J158" s="11"/>
      <c r="K158" s="27"/>
    </row>
    <row r="159" spans="1:11">
      <c r="A159" s="55" t="s">
        <v>280</v>
      </c>
      <c r="B159" s="11" t="s">
        <v>281</v>
      </c>
      <c r="C159" s="11" t="s">
        <v>13</v>
      </c>
      <c r="D159" s="11" t="s">
        <v>120</v>
      </c>
      <c r="E159" s="11"/>
      <c r="F159" s="11" t="s">
        <v>16</v>
      </c>
      <c r="G159" s="14">
        <v>499</v>
      </c>
      <c r="H159" s="17">
        <f>IF(SUMIFS(İndirimler!$C$2:$C$210,İndirimler!$A$2:$A$210,B159,İndirimler!$B$2:$B$210,C159)&gt;0,ROUND(G159*(1-SUMIFS(İndirimler!$C$2:$C$210,İndirimler!$A$2:$A$210,B159,İndirimler!$B$2:$B$210,C159)),2),"")</f>
        <v>424.15</v>
      </c>
      <c r="I159" s="20">
        <f>IF(SUMIFS(İndirimler!$D$2:$D$210,İndirimler!$A$2:$A$210,B159,İndirimler!$B$2:$B$210,C159)&gt;0,ROUND(G159*(1-SUMIFS(İndirimler!$D$2:$D$210,İndirimler!$A$2:$A$210,B159,İndirimler!$B$2:$B$210,C159)),2),"")</f>
        <v>349.3</v>
      </c>
      <c r="J159" s="26" t="s">
        <v>893</v>
      </c>
      <c r="K159" s="27"/>
    </row>
    <row r="160" spans="1:11">
      <c r="A160" s="55" t="s">
        <v>282</v>
      </c>
      <c r="B160" s="11" t="s">
        <v>133</v>
      </c>
      <c r="C160" s="11" t="s">
        <v>13</v>
      </c>
      <c r="D160" s="11" t="s">
        <v>120</v>
      </c>
      <c r="E160" s="11" t="s">
        <v>271</v>
      </c>
      <c r="F160" s="11" t="s">
        <v>16</v>
      </c>
      <c r="G160" s="14">
        <v>269</v>
      </c>
      <c r="H160" s="17">
        <f>IF(SUMIFS(İndirimler!$C$2:$C$210,İndirimler!$A$2:$A$210,B160,İndirimler!$B$2:$B$210,C160)&gt;0,ROUND(G160*(1-SUMIFS(İndirimler!$C$2:$C$210,İndirimler!$A$2:$A$210,B160,İndirimler!$B$2:$B$210,C160)),2),"")</f>
        <v>228.65</v>
      </c>
      <c r="I160" s="20">
        <f>IF(SUMIFS(İndirimler!$D$2:$D$210,İndirimler!$A$2:$A$210,B160,İndirimler!$B$2:$B$210,C160)&gt;0,ROUND(G160*(1-SUMIFS(İndirimler!$D$2:$D$210,İndirimler!$A$2:$A$210,B160,İndirimler!$B$2:$B$210,C160)),2),"")</f>
        <v>188.3</v>
      </c>
      <c r="J160" s="26" t="s">
        <v>892</v>
      </c>
      <c r="K160" s="27"/>
    </row>
    <row r="161" spans="1:11">
      <c r="A161" s="55" t="s">
        <v>283</v>
      </c>
      <c r="B161" s="11" t="s">
        <v>38</v>
      </c>
      <c r="C161" s="11" t="s">
        <v>13</v>
      </c>
      <c r="D161" s="11" t="s">
        <v>120</v>
      </c>
      <c r="E161" s="11" t="s">
        <v>69</v>
      </c>
      <c r="F161" s="11" t="s">
        <v>16</v>
      </c>
      <c r="G161" s="14">
        <v>419</v>
      </c>
      <c r="H161" s="17">
        <f>IF(SUMIFS(İndirimler!$C$2:$C$210,İndirimler!$A$2:$A$210,B161,İndirimler!$B$2:$B$210,C161)&gt;0,ROUND(G161*(1-SUMIFS(İndirimler!$C$2:$C$210,İndirimler!$A$2:$A$210,B161,İndirimler!$B$2:$B$210,C161)),2),"")</f>
        <v>356.15</v>
      </c>
      <c r="I161" s="20">
        <f>IF(SUMIFS(İndirimler!$D$2:$D$210,İndirimler!$A$2:$A$210,B161,İndirimler!$B$2:$B$210,C161)&gt;0,ROUND(G161*(1-SUMIFS(İndirimler!$D$2:$D$210,İndirimler!$A$2:$A$210,B161,İndirimler!$B$2:$B$210,C161)),2),"")</f>
        <v>293.3</v>
      </c>
      <c r="J161" s="11"/>
      <c r="K161" s="27"/>
    </row>
    <row r="162" spans="1:11">
      <c r="A162" s="55" t="s">
        <v>284</v>
      </c>
      <c r="B162" s="11" t="s">
        <v>285</v>
      </c>
      <c r="C162" s="11" t="s">
        <v>13</v>
      </c>
      <c r="D162" s="11" t="s">
        <v>120</v>
      </c>
      <c r="E162" s="11"/>
      <c r="F162" s="11" t="s">
        <v>286</v>
      </c>
      <c r="G162" s="14">
        <v>499</v>
      </c>
      <c r="H162" s="17" t="str">
        <f>IF(SUMIFS(İndirimler!$C$2:$C$210,İndirimler!$A$2:$A$210,B162,İndirimler!$B$2:$B$210,C162)&gt;0,ROUND(G162*(1-SUMIFS(İndirimler!$C$2:$C$210,İndirimler!$A$2:$A$210,B162,İndirimler!$B$2:$B$210,C162)),2),"")</f>
        <v/>
      </c>
      <c r="I162" s="20" t="str">
        <f>IF(SUMIFS(İndirimler!$D$2:$D$210,İndirimler!$A$2:$A$210,B162,İndirimler!$B$2:$B$210,C162)&gt;0,ROUND(G162*(1-SUMIFS(İndirimler!$D$2:$D$210,İndirimler!$A$2:$A$210,B162,İndirimler!$B$2:$B$210,C162)),2),"")</f>
        <v/>
      </c>
      <c r="J162" s="11"/>
      <c r="K162" s="27"/>
    </row>
    <row r="163" spans="1:11">
      <c r="A163" s="55" t="s">
        <v>287</v>
      </c>
      <c r="B163" s="11" t="s">
        <v>25</v>
      </c>
      <c r="C163" s="11" t="s">
        <v>13</v>
      </c>
      <c r="D163" s="11" t="s">
        <v>288</v>
      </c>
      <c r="E163" s="11" t="s">
        <v>126</v>
      </c>
      <c r="F163" s="11" t="s">
        <v>35</v>
      </c>
      <c r="G163" s="14">
        <v>599</v>
      </c>
      <c r="H163" s="17">
        <f>IF(SUMIFS(İndirimler!$C$2:$C$210,İndirimler!$A$2:$A$210,B163,İndirimler!$B$2:$B$210,C163)&gt;0,ROUND(G163*(1-SUMIFS(İndirimler!$C$2:$C$210,İndirimler!$A$2:$A$210,B163,İndirimler!$B$2:$B$210,C163)),2),"")</f>
        <v>509.15</v>
      </c>
      <c r="I163" s="20">
        <f>IF(SUMIFS(İndirimler!$D$2:$D$210,İndirimler!$A$2:$A$210,B163,İndirimler!$B$2:$B$210,C163)&gt;0,ROUND(G163*(1-SUMIFS(İndirimler!$D$2:$D$210,İndirimler!$A$2:$A$210,B163,İndirimler!$B$2:$B$210,C163)),2),"")</f>
        <v>419.3</v>
      </c>
      <c r="J163" s="11"/>
      <c r="K163" s="27"/>
    </row>
    <row r="164" spans="1:11">
      <c r="A164" s="55" t="s">
        <v>289</v>
      </c>
      <c r="B164" s="11" t="s">
        <v>119</v>
      </c>
      <c r="C164" s="11" t="s">
        <v>13</v>
      </c>
      <c r="D164" s="11" t="s">
        <v>288</v>
      </c>
      <c r="E164" s="11"/>
      <c r="F164" s="11" t="s">
        <v>16</v>
      </c>
      <c r="G164" s="14">
        <v>385</v>
      </c>
      <c r="H164" s="17">
        <f>IF(SUMIFS(İndirimler!$C$2:$C$210,İndirimler!$A$2:$A$210,B164,İndirimler!$B$2:$B$210,C164)&gt;0,ROUND(G164*(1-SUMIFS(İndirimler!$C$2:$C$210,İndirimler!$A$2:$A$210,B164,İndirimler!$B$2:$B$210,C164)),2),"")</f>
        <v>327.25</v>
      </c>
      <c r="I164" s="20">
        <f>IF(SUMIFS(İndirimler!$D$2:$D$210,İndirimler!$A$2:$A$210,B164,İndirimler!$B$2:$B$210,C164)&gt;0,ROUND(G164*(1-SUMIFS(İndirimler!$D$2:$D$210,İndirimler!$A$2:$A$210,B164,İndirimler!$B$2:$B$210,C164)),2),"")</f>
        <v>269.5</v>
      </c>
      <c r="J164" s="11"/>
      <c r="K164" s="27"/>
    </row>
    <row r="165" spans="1:11">
      <c r="A165" s="55" t="s">
        <v>290</v>
      </c>
      <c r="B165" s="11" t="s">
        <v>119</v>
      </c>
      <c r="C165" s="11" t="s">
        <v>13</v>
      </c>
      <c r="D165" s="11" t="s">
        <v>288</v>
      </c>
      <c r="E165" s="11" t="s">
        <v>231</v>
      </c>
      <c r="F165" s="11" t="s">
        <v>16</v>
      </c>
      <c r="G165" s="14"/>
      <c r="H165" s="17">
        <f>IF(SUMIFS(İndirimler!$C$2:$C$210,İndirimler!$A$2:$A$210,B165,İndirimler!$B$2:$B$210,C165)&gt;0,ROUND(G165*(1-SUMIFS(İndirimler!$C$2:$C$210,İndirimler!$A$2:$A$210,B165,İndirimler!$B$2:$B$210,C165)),2),"")</f>
        <v>0</v>
      </c>
      <c r="I165" s="20">
        <f>IF(SUMIFS(İndirimler!$D$2:$D$210,İndirimler!$A$2:$A$210,B165,İndirimler!$B$2:$B$210,C165)&gt;0,ROUND(G165*(1-SUMIFS(İndirimler!$D$2:$D$210,İndirimler!$A$2:$A$210,B165,İndirimler!$B$2:$B$210,C165)),2),"")</f>
        <v>0</v>
      </c>
      <c r="J165" s="11"/>
      <c r="K165" s="27"/>
    </row>
    <row r="166" spans="1:11">
      <c r="A166" s="55" t="s">
        <v>291</v>
      </c>
      <c r="B166" s="11" t="s">
        <v>119</v>
      </c>
      <c r="C166" s="11" t="s">
        <v>13</v>
      </c>
      <c r="D166" s="11" t="s">
        <v>288</v>
      </c>
      <c r="E166" s="11"/>
      <c r="F166" s="11" t="s">
        <v>16</v>
      </c>
      <c r="G166" s="14"/>
      <c r="H166" s="17">
        <f>IF(SUMIFS(İndirimler!$C$2:$C$210,İndirimler!$A$2:$A$210,B166,İndirimler!$B$2:$B$210,C166)&gt;0,ROUND(G166*(1-SUMIFS(İndirimler!$C$2:$C$210,İndirimler!$A$2:$A$210,B166,İndirimler!$B$2:$B$210,C166)),2),"")</f>
        <v>0</v>
      </c>
      <c r="I166" s="20">
        <f>IF(SUMIFS(İndirimler!$D$2:$D$210,İndirimler!$A$2:$A$210,B166,İndirimler!$B$2:$B$210,C166)&gt;0,ROUND(G166*(1-SUMIFS(İndirimler!$D$2:$D$210,İndirimler!$A$2:$A$210,B166,İndirimler!$B$2:$B$210,C166)),2),"")</f>
        <v>0</v>
      </c>
      <c r="J166" s="11"/>
      <c r="K166" s="27"/>
    </row>
    <row r="167" spans="1:11">
      <c r="A167" s="55" t="s">
        <v>292</v>
      </c>
      <c r="B167" s="11" t="s">
        <v>18</v>
      </c>
      <c r="C167" s="11" t="s">
        <v>13</v>
      </c>
      <c r="D167" s="11" t="s">
        <v>288</v>
      </c>
      <c r="E167" s="11"/>
      <c r="F167" s="11" t="s">
        <v>16</v>
      </c>
      <c r="G167" s="14">
        <v>429</v>
      </c>
      <c r="H167" s="17">
        <f>IF(SUMIFS(İndirimler!$C$2:$C$210,İndirimler!$A$2:$A$210,B167,İndirimler!$B$2:$B$210,C167)&gt;0,ROUND(G167*(1-SUMIFS(İndirimler!$C$2:$C$210,İndirimler!$A$2:$A$210,B167,İndirimler!$B$2:$B$210,C167)),2),"")</f>
        <v>364.65</v>
      </c>
      <c r="I167" s="20">
        <f>IF(SUMIFS(İndirimler!$D$2:$D$210,İndirimler!$A$2:$A$210,B167,İndirimler!$B$2:$B$210,C167)&gt;0,ROUND(G167*(1-SUMIFS(İndirimler!$D$2:$D$210,İndirimler!$A$2:$A$210,B167,İndirimler!$B$2:$B$210,C167)),2),"")</f>
        <v>300.3</v>
      </c>
      <c r="J167" s="11" t="s">
        <v>293</v>
      </c>
      <c r="K167" s="27"/>
    </row>
    <row r="168" spans="1:11">
      <c r="A168" s="55" t="s">
        <v>294</v>
      </c>
      <c r="B168" s="11" t="s">
        <v>165</v>
      </c>
      <c r="C168" s="11" t="s">
        <v>13</v>
      </c>
      <c r="D168" s="11" t="s">
        <v>288</v>
      </c>
      <c r="E168" s="11" t="s">
        <v>295</v>
      </c>
      <c r="F168" s="11" t="s">
        <v>16</v>
      </c>
      <c r="G168" s="14"/>
      <c r="H168" s="17">
        <f>IF(SUMIFS(İndirimler!$C$2:$C$210,İndirimler!$A$2:$A$210,B168,İndirimler!$B$2:$B$210,C168)&gt;0,ROUND(G168*(1-SUMIFS(İndirimler!$C$2:$C$210,İndirimler!$A$2:$A$210,B168,İndirimler!$B$2:$B$210,C168)),2),"")</f>
        <v>0</v>
      </c>
      <c r="I168" s="20">
        <f>IF(SUMIFS(İndirimler!$D$2:$D$210,İndirimler!$A$2:$A$210,B168,İndirimler!$B$2:$B$210,C168)&gt;0,ROUND(G168*(1-SUMIFS(İndirimler!$D$2:$D$210,İndirimler!$A$2:$A$210,B168,İndirimler!$B$2:$B$210,C168)),2),"")</f>
        <v>0</v>
      </c>
      <c r="J168" s="11"/>
      <c r="K168" s="27"/>
    </row>
    <row r="169" spans="1:11">
      <c r="A169" s="55" t="s">
        <v>296</v>
      </c>
      <c r="B169" s="11" t="s">
        <v>23</v>
      </c>
      <c r="C169" s="11" t="s">
        <v>13</v>
      </c>
      <c r="D169" s="11" t="s">
        <v>288</v>
      </c>
      <c r="E169" s="11"/>
      <c r="F169" s="11" t="s">
        <v>16</v>
      </c>
      <c r="G169" s="14">
        <v>475</v>
      </c>
      <c r="H169" s="17">
        <f>IF(SUMIFS(İndirimler!$C$2:$C$210,İndirimler!$A$2:$A$210,B169,İndirimler!$B$2:$B$210,C169)&gt;0,ROUND(G169*(1-SUMIFS(İndirimler!$C$2:$C$210,İndirimler!$A$2:$A$210,B169,İndirimler!$B$2:$B$210,C169)),2),"")</f>
        <v>403.75</v>
      </c>
      <c r="I169" s="20">
        <f>IF(SUMIFS(İndirimler!$D$2:$D$210,İndirimler!$A$2:$A$210,B169,İndirimler!$B$2:$B$210,C169)&gt;0,ROUND(G169*(1-SUMIFS(İndirimler!$D$2:$D$210,İndirimler!$A$2:$A$210,B169,İndirimler!$B$2:$B$210,C169)),2),"")</f>
        <v>332.5</v>
      </c>
      <c r="J169" s="11"/>
      <c r="K169" s="27"/>
    </row>
    <row r="170" spans="1:11">
      <c r="A170" s="55" t="s">
        <v>297</v>
      </c>
      <c r="B170" s="11" t="s">
        <v>25</v>
      </c>
      <c r="C170" s="11" t="s">
        <v>13</v>
      </c>
      <c r="D170" s="11" t="s">
        <v>288</v>
      </c>
      <c r="E170" s="11"/>
      <c r="F170" s="11" t="s">
        <v>16</v>
      </c>
      <c r="G170" s="14"/>
      <c r="H170" s="17">
        <f>IF(SUMIFS(İndirimler!$C$2:$C$210,İndirimler!$A$2:$A$210,B170,İndirimler!$B$2:$B$210,C170)&gt;0,ROUND(G170*(1-SUMIFS(İndirimler!$C$2:$C$210,İndirimler!$A$2:$A$210,B170,İndirimler!$B$2:$B$210,C170)),2),"")</f>
        <v>0</v>
      </c>
      <c r="I170" s="20">
        <f>IF(SUMIFS(İndirimler!$D$2:$D$210,İndirimler!$A$2:$A$210,B170,İndirimler!$B$2:$B$210,C170)&gt;0,ROUND(G170*(1-SUMIFS(İndirimler!$D$2:$D$210,İndirimler!$A$2:$A$210,B170,İndirimler!$B$2:$B$210,C170)),2),"")</f>
        <v>0</v>
      </c>
      <c r="J170" s="11"/>
      <c r="K170" s="27"/>
    </row>
    <row r="171" spans="1:11">
      <c r="A171" s="55" t="s">
        <v>298</v>
      </c>
      <c r="B171" s="11" t="s">
        <v>25</v>
      </c>
      <c r="C171" s="11" t="s">
        <v>13</v>
      </c>
      <c r="D171" s="11" t="s">
        <v>288</v>
      </c>
      <c r="E171" s="11" t="s">
        <v>28</v>
      </c>
      <c r="F171" s="11" t="s">
        <v>16</v>
      </c>
      <c r="G171" s="14">
        <v>559</v>
      </c>
      <c r="H171" s="17">
        <f>IF(SUMIFS(İndirimler!$C$2:$C$210,İndirimler!$A$2:$A$210,B171,İndirimler!$B$2:$B$210,C171)&gt;0,ROUND(G171*(1-SUMIFS(İndirimler!$C$2:$C$210,İndirimler!$A$2:$A$210,B171,İndirimler!$B$2:$B$210,C171)),2),"")</f>
        <v>475.15</v>
      </c>
      <c r="I171" s="20">
        <f>IF(SUMIFS(İndirimler!$D$2:$D$210,İndirimler!$A$2:$A$210,B171,İndirimler!$B$2:$B$210,C171)&gt;0,ROUND(G171*(1-SUMIFS(İndirimler!$D$2:$D$210,İndirimler!$A$2:$A$210,B171,İndirimler!$B$2:$B$210,C171)),2),"")</f>
        <v>391.3</v>
      </c>
      <c r="J171" s="26" t="s">
        <v>891</v>
      </c>
      <c r="K171" s="27"/>
    </row>
    <row r="172" spans="1:11">
      <c r="A172" s="55" t="s">
        <v>299</v>
      </c>
      <c r="B172" s="11" t="s">
        <v>25</v>
      </c>
      <c r="C172" s="11" t="s">
        <v>13</v>
      </c>
      <c r="D172" s="11" t="s">
        <v>288</v>
      </c>
      <c r="E172" s="11" t="s">
        <v>276</v>
      </c>
      <c r="F172" s="11" t="s">
        <v>16</v>
      </c>
      <c r="G172" s="14"/>
      <c r="H172" s="17">
        <f>IF(SUMIFS(İndirimler!$C$2:$C$210,İndirimler!$A$2:$A$210,B172,İndirimler!$B$2:$B$210,C172)&gt;0,ROUND(G172*(1-SUMIFS(İndirimler!$C$2:$C$210,İndirimler!$A$2:$A$210,B172,İndirimler!$B$2:$B$210,C172)),2),"")</f>
        <v>0</v>
      </c>
      <c r="I172" s="20">
        <f>IF(SUMIFS(İndirimler!$D$2:$D$210,İndirimler!$A$2:$A$210,B172,İndirimler!$B$2:$B$210,C172)&gt;0,ROUND(G172*(1-SUMIFS(İndirimler!$D$2:$D$210,İndirimler!$A$2:$A$210,B172,İndirimler!$B$2:$B$210,C172)),2),"")</f>
        <v>0</v>
      </c>
      <c r="J172" s="11"/>
      <c r="K172" s="27"/>
    </row>
    <row r="173" spans="1:11">
      <c r="A173" s="55" t="s">
        <v>300</v>
      </c>
      <c r="B173" s="11" t="s">
        <v>50</v>
      </c>
      <c r="C173" s="11" t="s">
        <v>13</v>
      </c>
      <c r="D173" s="11" t="s">
        <v>288</v>
      </c>
      <c r="E173" s="11"/>
      <c r="F173" s="11" t="s">
        <v>16</v>
      </c>
      <c r="G173" s="14">
        <v>706</v>
      </c>
      <c r="H173" s="17">
        <f>IF(SUMIFS(İndirimler!$C$2:$C$210,İndirimler!$A$2:$A$210,B173,İndirimler!$B$2:$B$210,C173)&gt;0,ROUND(G173*(1-SUMIFS(İndirimler!$C$2:$C$210,İndirimler!$A$2:$A$210,B173,İndirimler!$B$2:$B$210,C173)),2),"")</f>
        <v>600.1</v>
      </c>
      <c r="I173" s="20">
        <f>IF(SUMIFS(İndirimler!$D$2:$D$210,İndirimler!$A$2:$A$210,B173,İndirimler!$B$2:$B$210,C173)&gt;0,ROUND(G173*(1-SUMIFS(İndirimler!$D$2:$D$210,İndirimler!$A$2:$A$210,B173,İndirimler!$B$2:$B$210,C173)),2),"")</f>
        <v>494.2</v>
      </c>
      <c r="J173" s="11"/>
      <c r="K173" s="27"/>
    </row>
    <row r="174" spans="1:11">
      <c r="A174" s="55" t="s">
        <v>301</v>
      </c>
      <c r="B174" s="11" t="s">
        <v>894</v>
      </c>
      <c r="C174" s="11" t="s">
        <v>13</v>
      </c>
      <c r="D174" s="11" t="s">
        <v>288</v>
      </c>
      <c r="E174" s="11"/>
      <c r="F174" s="11" t="s">
        <v>16</v>
      </c>
      <c r="G174" s="14"/>
      <c r="H174" s="17">
        <f>IF(SUMIFS(İndirimler!$C$2:$C$210,İndirimler!$A$2:$A$210,B174,İndirimler!$B$2:$B$210,C174)&gt;0,ROUND(G174*(1-SUMIFS(İndirimler!$C$2:$C$210,İndirimler!$A$2:$A$210,B174,İndirimler!$B$2:$B$210,C174)),2),"")</f>
        <v>0</v>
      </c>
      <c r="I174" s="20">
        <f>IF(SUMIFS(İndirimler!$D$2:$D$210,İndirimler!$A$2:$A$210,B174,İndirimler!$B$2:$B$210,C174)&gt;0,ROUND(G174*(1-SUMIFS(İndirimler!$D$2:$D$210,İndirimler!$A$2:$A$210,B174,İndirimler!$B$2:$B$210,C174)),2),"")</f>
        <v>0</v>
      </c>
      <c r="J174" s="11"/>
      <c r="K174" s="27"/>
    </row>
    <row r="175" spans="1:11">
      <c r="A175" s="55" t="s">
        <v>302</v>
      </c>
      <c r="B175" s="11" t="s">
        <v>303</v>
      </c>
      <c r="C175" s="11" t="s">
        <v>33</v>
      </c>
      <c r="D175" s="11" t="s">
        <v>304</v>
      </c>
      <c r="E175" s="11" t="s">
        <v>305</v>
      </c>
      <c r="F175" s="11" t="s">
        <v>35</v>
      </c>
      <c r="G175" s="14">
        <v>565</v>
      </c>
      <c r="H175" s="17">
        <f>IF(SUMIFS(İndirimler!$C$2:$C$210,İndirimler!$A$2:$A$210,B175,İndirimler!$B$2:$B$210,C175)&gt;0,ROUND(G175*(1-SUMIFS(İndirimler!$C$2:$C$210,İndirimler!$A$2:$A$210,B175,İndirimler!$B$2:$B$210,C175)),2),"")</f>
        <v>480.25</v>
      </c>
      <c r="I175" s="20">
        <f>IF(SUMIFS(İndirimler!$D$2:$D$210,İndirimler!$A$2:$A$210,B175,İndirimler!$B$2:$B$210,C175)&gt;0,ROUND(G175*(1-SUMIFS(İndirimler!$D$2:$D$210,İndirimler!$A$2:$A$210,B175,İndirimler!$B$2:$B$210,C175)),2),"")</f>
        <v>395.5</v>
      </c>
      <c r="J175" s="11"/>
      <c r="K175" s="27"/>
    </row>
    <row r="176" spans="1:11">
      <c r="A176" s="55" t="s">
        <v>306</v>
      </c>
      <c r="B176" s="11" t="s">
        <v>25</v>
      </c>
      <c r="C176" s="11" t="s">
        <v>33</v>
      </c>
      <c r="D176" s="11" t="s">
        <v>304</v>
      </c>
      <c r="E176" s="11" t="s">
        <v>126</v>
      </c>
      <c r="F176" s="11" t="s">
        <v>16</v>
      </c>
      <c r="G176" s="14">
        <v>199</v>
      </c>
      <c r="H176" s="17">
        <f>IF(SUMIFS(İndirimler!$C$2:$C$210,İndirimler!$A$2:$A$210,B176,İndirimler!$B$2:$B$210,C176)&gt;0,ROUND(G176*(1-SUMIFS(İndirimler!$C$2:$C$210,İndirimler!$A$2:$A$210,B176,İndirimler!$B$2:$B$210,C176)),2),"")</f>
        <v>169.15</v>
      </c>
      <c r="I176" s="20">
        <f>IF(SUMIFS(İndirimler!$D$2:$D$210,İndirimler!$A$2:$A$210,B176,İndirimler!$B$2:$B$210,C176)&gt;0,ROUND(G176*(1-SUMIFS(İndirimler!$D$2:$D$210,İndirimler!$A$2:$A$210,B176,İndirimler!$B$2:$B$210,C176)),2),"")</f>
        <v>139.30000000000001</v>
      </c>
      <c r="J176" s="11"/>
      <c r="K176" s="27"/>
    </row>
    <row r="177" spans="1:11">
      <c r="A177" s="55" t="s">
        <v>307</v>
      </c>
      <c r="B177" s="11" t="s">
        <v>25</v>
      </c>
      <c r="C177" s="11" t="s">
        <v>33</v>
      </c>
      <c r="D177" s="11" t="s">
        <v>304</v>
      </c>
      <c r="E177" s="11" t="s">
        <v>126</v>
      </c>
      <c r="F177" s="11" t="s">
        <v>35</v>
      </c>
      <c r="G177" s="14">
        <v>379</v>
      </c>
      <c r="H177" s="17">
        <f>IF(SUMIFS(İndirimler!$C$2:$C$210,İndirimler!$A$2:$A$210,B177,İndirimler!$B$2:$B$210,C177)&gt;0,ROUND(G177*(1-SUMIFS(İndirimler!$C$2:$C$210,İndirimler!$A$2:$A$210,B177,İndirimler!$B$2:$B$210,C177)),2),"")</f>
        <v>322.14999999999998</v>
      </c>
      <c r="I177" s="20">
        <f>IF(SUMIFS(İndirimler!$D$2:$D$210,İndirimler!$A$2:$A$210,B177,İndirimler!$B$2:$B$210,C177)&gt;0,ROUND(G177*(1-SUMIFS(İndirimler!$D$2:$D$210,İndirimler!$A$2:$A$210,B177,İndirimler!$B$2:$B$210,C177)),2),"")</f>
        <v>265.3</v>
      </c>
      <c r="J177" s="11"/>
      <c r="K177" s="27"/>
    </row>
    <row r="178" spans="1:11">
      <c r="A178" s="55" t="s">
        <v>308</v>
      </c>
      <c r="B178" s="11" t="s">
        <v>32</v>
      </c>
      <c r="C178" s="11" t="s">
        <v>33</v>
      </c>
      <c r="D178" s="11" t="s">
        <v>304</v>
      </c>
      <c r="E178" s="11"/>
      <c r="F178" s="11" t="s">
        <v>35</v>
      </c>
      <c r="G178" s="14">
        <v>539</v>
      </c>
      <c r="H178" s="17">
        <f>IF(SUMIFS(İndirimler!$C$2:$C$210,İndirimler!$A$2:$A$210,B178,İndirimler!$B$2:$B$210,C178)&gt;0,ROUND(G178*(1-SUMIFS(İndirimler!$C$2:$C$210,İndirimler!$A$2:$A$210,B178,İndirimler!$B$2:$B$210,C178)),2),"")</f>
        <v>458.15</v>
      </c>
      <c r="I178" s="20">
        <f>IF(SUMIFS(İndirimler!$D$2:$D$210,İndirimler!$A$2:$A$210,B178,İndirimler!$B$2:$B$210,C178)&gt;0,ROUND(G178*(1-SUMIFS(İndirimler!$D$2:$D$210,İndirimler!$A$2:$A$210,B178,İndirimler!$B$2:$B$210,C178)),2),"")</f>
        <v>377.3</v>
      </c>
      <c r="J178" s="26" t="s">
        <v>309</v>
      </c>
      <c r="K178" s="27"/>
    </row>
    <row r="179" spans="1:11">
      <c r="A179" s="55" t="s">
        <v>310</v>
      </c>
      <c r="B179" s="11" t="s">
        <v>38</v>
      </c>
      <c r="C179" s="11" t="s">
        <v>33</v>
      </c>
      <c r="D179" s="11" t="s">
        <v>304</v>
      </c>
      <c r="E179" s="11"/>
      <c r="F179" s="11" t="s">
        <v>35</v>
      </c>
      <c r="G179" s="14">
        <v>685</v>
      </c>
      <c r="H179" s="17">
        <f>IF(SUMIFS(İndirimler!$C$2:$C$210,İndirimler!$A$2:$A$210,B179,İndirimler!$B$2:$B$210,C179)&gt;0,ROUND(G179*(1-SUMIFS(İndirimler!$C$2:$C$210,İndirimler!$A$2:$A$210,B179,İndirimler!$B$2:$B$210,C179)),2),"")</f>
        <v>582.25</v>
      </c>
      <c r="I179" s="20">
        <f>IF(SUMIFS(İndirimler!$D$2:$D$210,İndirimler!$A$2:$A$210,B179,İndirimler!$B$2:$B$210,C179)&gt;0,ROUND(G179*(1-SUMIFS(İndirimler!$D$2:$D$210,İndirimler!$A$2:$A$210,B179,İndirimler!$B$2:$B$210,C179)),2),"")</f>
        <v>479.5</v>
      </c>
      <c r="J179" s="26" t="s">
        <v>311</v>
      </c>
      <c r="K179" s="27"/>
    </row>
    <row r="180" spans="1:11">
      <c r="A180" s="55" t="s">
        <v>312</v>
      </c>
      <c r="B180" s="11" t="s">
        <v>137</v>
      </c>
      <c r="C180" s="11" t="s">
        <v>33</v>
      </c>
      <c r="D180" s="11" t="s">
        <v>304</v>
      </c>
      <c r="E180" s="11" t="s">
        <v>313</v>
      </c>
      <c r="F180" s="11" t="s">
        <v>42</v>
      </c>
      <c r="G180" s="14">
        <v>478</v>
      </c>
      <c r="H180" s="17">
        <f>IF(SUMIFS(İndirimler!$C$2:$C$210,İndirimler!$A$2:$A$210,B180,İndirimler!$B$2:$B$210,C180)&gt;0,ROUND(G180*(1-SUMIFS(İndirimler!$C$2:$C$210,İndirimler!$A$2:$A$210,B180,İndirimler!$B$2:$B$210,C180)),2),"")</f>
        <v>406.3</v>
      </c>
      <c r="I180" s="20">
        <f>IF(SUMIFS(İndirimler!$D$2:$D$210,İndirimler!$A$2:$A$210,B180,İndirimler!$B$2:$B$210,C180)&gt;0,ROUND(G180*(1-SUMIFS(İndirimler!$D$2:$D$210,İndirimler!$A$2:$A$210,B180,İndirimler!$B$2:$B$210,C180)),2),"")</f>
        <v>334.6</v>
      </c>
      <c r="J180" s="26" t="s">
        <v>314</v>
      </c>
      <c r="K180" s="27"/>
    </row>
    <row r="181" spans="1:11">
      <c r="A181" s="55" t="s">
        <v>315</v>
      </c>
      <c r="B181" s="11" t="s">
        <v>18</v>
      </c>
      <c r="C181" s="11" t="s">
        <v>33</v>
      </c>
      <c r="D181" s="11" t="s">
        <v>304</v>
      </c>
      <c r="E181" s="11" t="s">
        <v>41</v>
      </c>
      <c r="F181" s="11" t="s">
        <v>42</v>
      </c>
      <c r="G181" s="14"/>
      <c r="H181" s="17">
        <f>IF(SUMIFS(İndirimler!$C$2:$C$210,İndirimler!$A$2:$A$210,B181,İndirimler!$B$2:$B$210,C181)&gt;0,ROUND(G181*(1-SUMIFS(İndirimler!$C$2:$C$210,İndirimler!$A$2:$A$210,B181,İndirimler!$B$2:$B$210,C181)),2),"")</f>
        <v>0</v>
      </c>
      <c r="I181" s="20">
        <f>IF(SUMIFS(İndirimler!$D$2:$D$210,İndirimler!$A$2:$A$210,B181,İndirimler!$B$2:$B$210,C181)&gt;0,ROUND(G181*(1-SUMIFS(İndirimler!$D$2:$D$210,İndirimler!$A$2:$A$210,B181,İndirimler!$B$2:$B$210,C181)),2),"")</f>
        <v>0</v>
      </c>
      <c r="J181" s="11"/>
      <c r="K181" s="27"/>
    </row>
    <row r="182" spans="1:11">
      <c r="A182" s="55" t="s">
        <v>316</v>
      </c>
      <c r="B182" s="11" t="s">
        <v>44</v>
      </c>
      <c r="C182" s="11" t="s">
        <v>33</v>
      </c>
      <c r="D182" s="11" t="s">
        <v>304</v>
      </c>
      <c r="E182" s="11" t="s">
        <v>45</v>
      </c>
      <c r="F182" s="11" t="s">
        <v>42</v>
      </c>
      <c r="G182" s="14">
        <v>274</v>
      </c>
      <c r="H182" s="17">
        <f>IF(SUMIFS(İndirimler!$C$2:$C$210,İndirimler!$A$2:$A$210,B182,İndirimler!$B$2:$B$210,C182)&gt;0,ROUND(G182*(1-SUMIFS(İndirimler!$C$2:$C$210,İndirimler!$A$2:$A$210,B182,İndirimler!$B$2:$B$210,C182)),2),"")</f>
        <v>232.9</v>
      </c>
      <c r="I182" s="20">
        <f>IF(SUMIFS(İndirimler!$D$2:$D$210,İndirimler!$A$2:$A$210,B182,İndirimler!$B$2:$B$210,C182)&gt;0,ROUND(G182*(1-SUMIFS(İndirimler!$D$2:$D$210,İndirimler!$A$2:$A$210,B182,İndirimler!$B$2:$B$210,C182)),2),"")</f>
        <v>191.8</v>
      </c>
      <c r="J182" s="11" t="s">
        <v>317</v>
      </c>
      <c r="K182" s="27"/>
    </row>
    <row r="183" spans="1:11">
      <c r="A183" s="55" t="s">
        <v>318</v>
      </c>
      <c r="B183" s="11" t="s">
        <v>23</v>
      </c>
      <c r="C183" s="11" t="s">
        <v>33</v>
      </c>
      <c r="D183" s="11" t="s">
        <v>304</v>
      </c>
      <c r="E183" s="11"/>
      <c r="F183" s="11" t="s">
        <v>42</v>
      </c>
      <c r="G183" s="14">
        <v>576</v>
      </c>
      <c r="H183" s="17">
        <f>IF(SUMIFS(İndirimler!$C$2:$C$210,İndirimler!$A$2:$A$210,B183,İndirimler!$B$2:$B$210,C183)&gt;0,ROUND(G183*(1-SUMIFS(İndirimler!$C$2:$C$210,İndirimler!$A$2:$A$210,B183,İndirimler!$B$2:$B$210,C183)),2),"")</f>
        <v>489.6</v>
      </c>
      <c r="I183" s="20">
        <f>IF(SUMIFS(İndirimler!$D$2:$D$210,İndirimler!$A$2:$A$210,B183,İndirimler!$B$2:$B$210,C183)&gt;0,ROUND(G183*(1-SUMIFS(İndirimler!$D$2:$D$210,İndirimler!$A$2:$A$210,B183,İndirimler!$B$2:$B$210,C183)),2),"")</f>
        <v>403.2</v>
      </c>
      <c r="J183" s="11" t="s">
        <v>319</v>
      </c>
      <c r="K183" s="27"/>
    </row>
    <row r="184" spans="1:11">
      <c r="A184" s="55" t="s">
        <v>320</v>
      </c>
      <c r="B184" s="11" t="s">
        <v>50</v>
      </c>
      <c r="C184" s="11" t="s">
        <v>33</v>
      </c>
      <c r="D184" s="11" t="s">
        <v>304</v>
      </c>
      <c r="E184" s="11" t="s">
        <v>51</v>
      </c>
      <c r="F184" s="11" t="s">
        <v>42</v>
      </c>
      <c r="G184" s="14">
        <v>660</v>
      </c>
      <c r="H184" s="17">
        <f>IF(SUMIFS(İndirimler!$C$2:$C$210,İndirimler!$A$2:$A$210,B184,İndirimler!$B$2:$B$210,C184)&gt;0,ROUND(G184*(1-SUMIFS(İndirimler!$C$2:$C$210,İndirimler!$A$2:$A$210,B184,İndirimler!$B$2:$B$210,C184)),2),"")</f>
        <v>561</v>
      </c>
      <c r="I184" s="20">
        <f>IF(SUMIFS(İndirimler!$D$2:$D$210,İndirimler!$A$2:$A$210,B184,İndirimler!$B$2:$B$210,C184)&gt;0,ROUND(G184*(1-SUMIFS(İndirimler!$D$2:$D$210,İndirimler!$A$2:$A$210,B184,İndirimler!$B$2:$B$210,C184)),2),"")</f>
        <v>462</v>
      </c>
      <c r="J184" s="11"/>
      <c r="K184" s="27"/>
    </row>
    <row r="185" spans="1:11">
      <c r="A185" s="55" t="s">
        <v>321</v>
      </c>
      <c r="B185" s="11" t="s">
        <v>322</v>
      </c>
      <c r="C185" s="11" t="s">
        <v>33</v>
      </c>
      <c r="D185" s="11" t="s">
        <v>304</v>
      </c>
      <c r="E185" s="11"/>
      <c r="F185" s="11" t="s">
        <v>42</v>
      </c>
      <c r="G185" s="14">
        <v>525</v>
      </c>
      <c r="H185" s="17">
        <f>IF(SUMIFS(İndirimler!$C$2:$C$210,İndirimler!$A$2:$A$210,B185,İndirimler!$B$2:$B$210,C185)&gt;0,ROUND(G185*(1-SUMIFS(İndirimler!$C$2:$C$210,İndirimler!$A$2:$A$210,B185,İndirimler!$B$2:$B$210,C185)),2),"")</f>
        <v>446.25</v>
      </c>
      <c r="I185" s="20">
        <f>IF(SUMIFS(İndirimler!$D$2:$D$210,İndirimler!$A$2:$A$210,B185,İndirimler!$B$2:$B$210,C185)&gt;0,ROUND(G185*(1-SUMIFS(İndirimler!$D$2:$D$210,İndirimler!$A$2:$A$210,B185,İndirimler!$B$2:$B$210,C185)),2),"")</f>
        <v>367.5</v>
      </c>
      <c r="J185" s="11"/>
      <c r="K185" s="27"/>
    </row>
    <row r="186" spans="1:11">
      <c r="A186" s="55" t="s">
        <v>323</v>
      </c>
      <c r="B186" s="11" t="s">
        <v>55</v>
      </c>
      <c r="C186" s="11" t="s">
        <v>33</v>
      </c>
      <c r="D186" s="11" t="s">
        <v>304</v>
      </c>
      <c r="E186" s="11"/>
      <c r="F186" s="11" t="s">
        <v>16</v>
      </c>
      <c r="G186" s="14">
        <v>346</v>
      </c>
      <c r="H186" s="17">
        <f>IF(SUMIFS(İndirimler!$C$2:$C$210,İndirimler!$A$2:$A$210,B186,İndirimler!$B$2:$B$210,C186)&gt;0,ROUND(G186*(1-SUMIFS(İndirimler!$C$2:$C$210,İndirimler!$A$2:$A$210,B186,İndirimler!$B$2:$B$210,C186)),2),"")</f>
        <v>294.10000000000002</v>
      </c>
      <c r="I186" s="20">
        <f>IF(SUMIFS(İndirimler!$D$2:$D$210,İndirimler!$A$2:$A$210,B186,İndirimler!$B$2:$B$210,C186)&gt;0,ROUND(G186*(1-SUMIFS(İndirimler!$D$2:$D$210,İndirimler!$A$2:$A$210,B186,İndirimler!$B$2:$B$210,C186)),2),"")</f>
        <v>242.2</v>
      </c>
      <c r="J186" s="11" t="s">
        <v>324</v>
      </c>
      <c r="K186" s="27"/>
    </row>
    <row r="187" spans="1:11">
      <c r="A187" s="55" t="s">
        <v>325</v>
      </c>
      <c r="B187" s="11" t="s">
        <v>137</v>
      </c>
      <c r="C187" s="11" t="s">
        <v>33</v>
      </c>
      <c r="D187" s="11" t="s">
        <v>304</v>
      </c>
      <c r="E187" s="11"/>
      <c r="F187" s="11" t="s">
        <v>16</v>
      </c>
      <c r="G187" s="14">
        <v>416</v>
      </c>
      <c r="H187" s="17">
        <f>IF(SUMIFS(İndirimler!$C$2:$C$210,İndirimler!$A$2:$A$210,B187,İndirimler!$B$2:$B$210,C187)&gt;0,ROUND(G187*(1-SUMIFS(İndirimler!$C$2:$C$210,İndirimler!$A$2:$A$210,B187,İndirimler!$B$2:$B$210,C187)),2),"")</f>
        <v>353.6</v>
      </c>
      <c r="I187" s="20">
        <f>IF(SUMIFS(İndirimler!$D$2:$D$210,İndirimler!$A$2:$A$210,B187,İndirimler!$B$2:$B$210,C187)&gt;0,ROUND(G187*(1-SUMIFS(İndirimler!$D$2:$D$210,İndirimler!$A$2:$A$210,B187,İndirimler!$B$2:$B$210,C187)),2),"")</f>
        <v>291.2</v>
      </c>
      <c r="J187" s="26" t="s">
        <v>326</v>
      </c>
      <c r="K187" s="27"/>
    </row>
    <row r="188" spans="1:11">
      <c r="A188" s="55" t="s">
        <v>327</v>
      </c>
      <c r="B188" s="11" t="s">
        <v>18</v>
      </c>
      <c r="C188" s="11" t="s">
        <v>33</v>
      </c>
      <c r="D188" s="11" t="s">
        <v>304</v>
      </c>
      <c r="E188" s="11"/>
      <c r="F188" s="11" t="s">
        <v>16</v>
      </c>
      <c r="G188" s="14">
        <v>479</v>
      </c>
      <c r="H188" s="17">
        <f>IF(SUMIFS(İndirimler!$C$2:$C$210,İndirimler!$A$2:$A$210,B188,İndirimler!$B$2:$B$210,C188)&gt;0,ROUND(G188*(1-SUMIFS(İndirimler!$C$2:$C$210,İndirimler!$A$2:$A$210,B188,İndirimler!$B$2:$B$210,C188)),2),"")</f>
        <v>407.15</v>
      </c>
      <c r="I188" s="20">
        <f>IF(SUMIFS(İndirimler!$D$2:$D$210,İndirimler!$A$2:$A$210,B188,İndirimler!$B$2:$B$210,C188)&gt;0,ROUND(G188*(1-SUMIFS(İndirimler!$D$2:$D$210,İndirimler!$A$2:$A$210,B188,İndirimler!$B$2:$B$210,C188)),2),"")</f>
        <v>335.3</v>
      </c>
      <c r="J188" s="26" t="s">
        <v>328</v>
      </c>
      <c r="K188" s="27"/>
    </row>
    <row r="189" spans="1:11">
      <c r="A189" s="55" t="s">
        <v>329</v>
      </c>
      <c r="B189" s="11" t="s">
        <v>330</v>
      </c>
      <c r="C189" s="11" t="s">
        <v>33</v>
      </c>
      <c r="D189" s="11" t="s">
        <v>304</v>
      </c>
      <c r="E189" s="11"/>
      <c r="F189" s="11" t="s">
        <v>16</v>
      </c>
      <c r="G189" s="14">
        <v>429</v>
      </c>
      <c r="H189" s="17">
        <f>IF(SUMIFS(İndirimler!$C$2:$C$210,İndirimler!$A$2:$A$210,B189,İndirimler!$B$2:$B$210,C189)&gt;0,ROUND(G189*(1-SUMIFS(İndirimler!$C$2:$C$210,İndirimler!$A$2:$A$210,B189,İndirimler!$B$2:$B$210,C189)),2),"")</f>
        <v>364.65</v>
      </c>
      <c r="I189" s="20">
        <f>IF(SUMIFS(İndirimler!$D$2:$D$210,İndirimler!$A$2:$A$210,B189,İndirimler!$B$2:$B$210,C189)&gt;0,ROUND(G189*(1-SUMIFS(İndirimler!$D$2:$D$210,İndirimler!$A$2:$A$210,B189,İndirimler!$B$2:$B$210,C189)),2),"")</f>
        <v>300.3</v>
      </c>
      <c r="J189" s="11"/>
      <c r="K189" s="27"/>
    </row>
    <row r="190" spans="1:11">
      <c r="A190" s="55" t="s">
        <v>331</v>
      </c>
      <c r="B190" s="11" t="s">
        <v>44</v>
      </c>
      <c r="C190" s="11" t="s">
        <v>33</v>
      </c>
      <c r="D190" s="11" t="s">
        <v>304</v>
      </c>
      <c r="E190" s="11" t="s">
        <v>60</v>
      </c>
      <c r="F190" s="11" t="s">
        <v>16</v>
      </c>
      <c r="G190" s="14">
        <v>274</v>
      </c>
      <c r="H190" s="17">
        <f>IF(SUMIFS(İndirimler!$C$2:$C$210,İndirimler!$A$2:$A$210,B190,İndirimler!$B$2:$B$210,C190)&gt;0,ROUND(G190*(1-SUMIFS(İndirimler!$C$2:$C$210,İndirimler!$A$2:$A$210,B190,İndirimler!$B$2:$B$210,C190)),2),"")</f>
        <v>232.9</v>
      </c>
      <c r="I190" s="20">
        <f>IF(SUMIFS(İndirimler!$D$2:$D$210,İndirimler!$A$2:$A$210,B190,İndirimler!$B$2:$B$210,C190)&gt;0,ROUND(G190*(1-SUMIFS(İndirimler!$D$2:$D$210,İndirimler!$A$2:$A$210,B190,İndirimler!$B$2:$B$210,C190)),2),"")</f>
        <v>191.8</v>
      </c>
      <c r="J190" s="11" t="s">
        <v>332</v>
      </c>
      <c r="K190" s="27"/>
    </row>
    <row r="191" spans="1:11">
      <c r="A191" s="55" t="s">
        <v>333</v>
      </c>
      <c r="B191" s="11" t="s">
        <v>303</v>
      </c>
      <c r="C191" s="11" t="s">
        <v>33</v>
      </c>
      <c r="D191" s="11" t="s">
        <v>304</v>
      </c>
      <c r="E191" s="11"/>
      <c r="F191" s="11" t="s">
        <v>16</v>
      </c>
      <c r="G191" s="14"/>
      <c r="H191" s="17">
        <f>IF(SUMIFS(İndirimler!$C$2:$C$210,İndirimler!$A$2:$A$210,B191,İndirimler!$B$2:$B$210,C191)&gt;0,ROUND(G191*(1-SUMIFS(İndirimler!$C$2:$C$210,İndirimler!$A$2:$A$210,B191,İndirimler!$B$2:$B$210,C191)),2),"")</f>
        <v>0</v>
      </c>
      <c r="I191" s="20">
        <f>IF(SUMIFS(İndirimler!$D$2:$D$210,İndirimler!$A$2:$A$210,B191,İndirimler!$B$2:$B$210,C191)&gt;0,ROUND(G191*(1-SUMIFS(İndirimler!$D$2:$D$210,İndirimler!$A$2:$A$210,B191,İndirimler!$B$2:$B$210,C191)),2),"")</f>
        <v>0</v>
      </c>
      <c r="J191" s="11"/>
      <c r="K191" s="27" t="s">
        <v>334</v>
      </c>
    </row>
    <row r="192" spans="1:11">
      <c r="A192" s="55" t="s">
        <v>335</v>
      </c>
      <c r="B192" s="11" t="s">
        <v>63</v>
      </c>
      <c r="C192" s="11" t="s">
        <v>33</v>
      </c>
      <c r="D192" s="11" t="s">
        <v>304</v>
      </c>
      <c r="E192" s="11" t="s">
        <v>64</v>
      </c>
      <c r="F192" s="11" t="s">
        <v>16</v>
      </c>
      <c r="G192" s="14">
        <v>499</v>
      </c>
      <c r="H192" s="17">
        <f>IF(SUMIFS(İndirimler!$C$2:$C$210,İndirimler!$A$2:$A$210,B192,İndirimler!$B$2:$B$210,C192)&gt;0,ROUND(G192*(1-SUMIFS(İndirimler!$C$2:$C$210,İndirimler!$A$2:$A$210,B192,İndirimler!$B$2:$B$210,C192)),2),"")</f>
        <v>424.15</v>
      </c>
      <c r="I192" s="20">
        <f>IF(SUMIFS(İndirimler!$D$2:$D$210,İndirimler!$A$2:$A$210,B192,İndirimler!$B$2:$B$210,C192)&gt;0,ROUND(G192*(1-SUMIFS(İndirimler!$D$2:$D$210,İndirimler!$A$2:$A$210,B192,İndirimler!$B$2:$B$210,C192)),2),"")</f>
        <v>349.3</v>
      </c>
      <c r="J192" s="11" t="s">
        <v>336</v>
      </c>
      <c r="K192" s="27"/>
    </row>
    <row r="193" spans="1:11">
      <c r="A193" s="55" t="s">
        <v>337</v>
      </c>
      <c r="B193" s="11" t="s">
        <v>23</v>
      </c>
      <c r="C193" s="11" t="s">
        <v>33</v>
      </c>
      <c r="D193" s="11" t="s">
        <v>304</v>
      </c>
      <c r="E193" s="11"/>
      <c r="F193" s="11" t="s">
        <v>16</v>
      </c>
      <c r="G193" s="14">
        <v>560</v>
      </c>
      <c r="H193" s="17">
        <f>IF(SUMIFS(İndirimler!$C$2:$C$210,İndirimler!$A$2:$A$210,B193,İndirimler!$B$2:$B$210,C193)&gt;0,ROUND(G193*(1-SUMIFS(İndirimler!$C$2:$C$210,İndirimler!$A$2:$A$210,B193,İndirimler!$B$2:$B$210,C193)),2),"")</f>
        <v>476</v>
      </c>
      <c r="I193" s="20">
        <f>IF(SUMIFS(İndirimler!$D$2:$D$210,İndirimler!$A$2:$A$210,B193,İndirimler!$B$2:$B$210,C193)&gt;0,ROUND(G193*(1-SUMIFS(İndirimler!$D$2:$D$210,İndirimler!$A$2:$A$210,B193,İndirimler!$B$2:$B$210,C193)),2),"")</f>
        <v>392</v>
      </c>
      <c r="J193" s="26" t="s">
        <v>338</v>
      </c>
      <c r="K193" s="27"/>
    </row>
    <row r="194" spans="1:11">
      <c r="A194" s="55" t="s">
        <v>339</v>
      </c>
      <c r="B194" s="11" t="s">
        <v>50</v>
      </c>
      <c r="C194" s="11" t="s">
        <v>33</v>
      </c>
      <c r="D194" s="11" t="s">
        <v>304</v>
      </c>
      <c r="E194" s="11" t="s">
        <v>69</v>
      </c>
      <c r="F194" s="11" t="s">
        <v>16</v>
      </c>
      <c r="G194" s="14">
        <v>546</v>
      </c>
      <c r="H194" s="17">
        <f>IF(SUMIFS(İndirimler!$C$2:$C$210,İndirimler!$A$2:$A$210,B194,İndirimler!$B$2:$B$210,C194)&gt;0,ROUND(G194*(1-SUMIFS(İndirimler!$C$2:$C$210,İndirimler!$A$2:$A$210,B194,İndirimler!$B$2:$B$210,C194)),2),"")</f>
        <v>464.1</v>
      </c>
      <c r="I194" s="20">
        <f>IF(SUMIFS(İndirimler!$D$2:$D$210,İndirimler!$A$2:$A$210,B194,İndirimler!$B$2:$B$210,C194)&gt;0,ROUND(G194*(1-SUMIFS(İndirimler!$D$2:$D$210,İndirimler!$A$2:$A$210,B194,İndirimler!$B$2:$B$210,C194)),2),"")</f>
        <v>382.2</v>
      </c>
      <c r="J194" s="11"/>
      <c r="K194" s="27"/>
    </row>
    <row r="195" spans="1:11">
      <c r="A195" s="55" t="s">
        <v>340</v>
      </c>
      <c r="B195" s="11" t="s">
        <v>38</v>
      </c>
      <c r="C195" s="11" t="s">
        <v>33</v>
      </c>
      <c r="D195" s="11" t="s">
        <v>304</v>
      </c>
      <c r="E195" s="11" t="s">
        <v>69</v>
      </c>
      <c r="F195" s="11" t="s">
        <v>16</v>
      </c>
      <c r="G195" s="14">
        <v>409</v>
      </c>
      <c r="H195" s="17">
        <f>IF(SUMIFS(İndirimler!$C$2:$C$210,İndirimler!$A$2:$A$210,B195,İndirimler!$B$2:$B$210,C195)&gt;0,ROUND(G195*(1-SUMIFS(İndirimler!$C$2:$C$210,İndirimler!$A$2:$A$210,B195,İndirimler!$B$2:$B$210,C195)),2),"")</f>
        <v>347.65</v>
      </c>
      <c r="I195" s="20">
        <f>IF(SUMIFS(İndirimler!$D$2:$D$210,İndirimler!$A$2:$A$210,B195,İndirimler!$B$2:$B$210,C195)&gt;0,ROUND(G195*(1-SUMIFS(İndirimler!$D$2:$D$210,İndirimler!$A$2:$A$210,B195,İndirimler!$B$2:$B$210,C195)),2),"")</f>
        <v>286.3</v>
      </c>
      <c r="J195" s="11" t="s">
        <v>341</v>
      </c>
      <c r="K195" s="27"/>
    </row>
    <row r="196" spans="1:11">
      <c r="A196" s="55" t="s">
        <v>342</v>
      </c>
      <c r="B196" s="11" t="s">
        <v>72</v>
      </c>
      <c r="C196" s="11" t="s">
        <v>33</v>
      </c>
      <c r="D196" s="11" t="s">
        <v>304</v>
      </c>
      <c r="E196" s="11"/>
      <c r="F196" s="11" t="s">
        <v>73</v>
      </c>
      <c r="G196" s="14">
        <v>455</v>
      </c>
      <c r="H196" s="17">
        <f>IF(SUMIFS(İndirimler!$C$2:$C$210,İndirimler!$A$2:$A$210,B196,İndirimler!$B$2:$B$210,C196)&gt;0,ROUND(G196*(1-SUMIFS(İndirimler!$C$2:$C$210,İndirimler!$A$2:$A$210,B196,İndirimler!$B$2:$B$210,C196)),2),"")</f>
        <v>386.75</v>
      </c>
      <c r="I196" s="20">
        <f>IF(SUMIFS(İndirimler!$D$2:$D$210,İndirimler!$A$2:$A$210,B196,İndirimler!$B$2:$B$210,C196)&gt;0,ROUND(G196*(1-SUMIFS(İndirimler!$D$2:$D$210,İndirimler!$A$2:$A$210,B196,İndirimler!$B$2:$B$210,C196)),2),"")</f>
        <v>318.5</v>
      </c>
      <c r="J196" s="11"/>
      <c r="K196" s="27"/>
    </row>
    <row r="197" spans="1:11">
      <c r="A197" s="55" t="s">
        <v>343</v>
      </c>
      <c r="B197" s="11" t="s">
        <v>303</v>
      </c>
      <c r="C197" s="11" t="s">
        <v>76</v>
      </c>
      <c r="D197" s="11" t="s">
        <v>304</v>
      </c>
      <c r="E197" s="11" t="s">
        <v>305</v>
      </c>
      <c r="F197" s="11" t="s">
        <v>35</v>
      </c>
      <c r="G197" s="14">
        <v>615</v>
      </c>
      <c r="H197" s="17">
        <f>IF(SUMIFS(İndirimler!$C$2:$C$210,İndirimler!$A$2:$A$210,B197,İndirimler!$B$2:$B$210,C197)&gt;0,ROUND(G197*(1-SUMIFS(İndirimler!$C$2:$C$210,İndirimler!$A$2:$A$210,B197,İndirimler!$B$2:$B$210,C197)),2),"")</f>
        <v>522.75</v>
      </c>
      <c r="I197" s="20">
        <f>IF(SUMIFS(İndirimler!$D$2:$D$210,İndirimler!$A$2:$A$210,B197,İndirimler!$B$2:$B$210,C197)&gt;0,ROUND(G197*(1-SUMIFS(İndirimler!$D$2:$D$210,İndirimler!$A$2:$A$210,B197,İndirimler!$B$2:$B$210,C197)),2),"")</f>
        <v>430.5</v>
      </c>
      <c r="J197" s="11"/>
      <c r="K197" s="27" t="s">
        <v>344</v>
      </c>
    </row>
    <row r="198" spans="1:11">
      <c r="A198" s="55" t="s">
        <v>345</v>
      </c>
      <c r="B198" s="11" t="s">
        <v>25</v>
      </c>
      <c r="C198" s="11" t="s">
        <v>76</v>
      </c>
      <c r="D198" s="11" t="s">
        <v>304</v>
      </c>
      <c r="E198" s="11" t="s">
        <v>126</v>
      </c>
      <c r="F198" s="11" t="s">
        <v>35</v>
      </c>
      <c r="G198" s="14">
        <v>615</v>
      </c>
      <c r="H198" s="17">
        <f>IF(SUMIFS(İndirimler!$C$2:$C$210,İndirimler!$A$2:$A$210,B198,İndirimler!$B$2:$B$210,C198)&gt;0,ROUND(G198*(1-SUMIFS(İndirimler!$C$2:$C$210,İndirimler!$A$2:$A$210,B198,İndirimler!$B$2:$B$210,C198)),2),"")</f>
        <v>522.75</v>
      </c>
      <c r="I198" s="20">
        <f>IF(SUMIFS(İndirimler!$D$2:$D$210,İndirimler!$A$2:$A$210,B198,İndirimler!$B$2:$B$210,C198)&gt;0,ROUND(G198*(1-SUMIFS(İndirimler!$D$2:$D$210,İndirimler!$A$2:$A$210,B198,İndirimler!$B$2:$B$210,C198)),2),"")</f>
        <v>430.5</v>
      </c>
      <c r="J198" s="11"/>
      <c r="K198" s="27"/>
    </row>
    <row r="199" spans="1:11">
      <c r="A199" s="55" t="s">
        <v>346</v>
      </c>
      <c r="B199" s="11" t="s">
        <v>32</v>
      </c>
      <c r="C199" s="11" t="s">
        <v>76</v>
      </c>
      <c r="D199" s="11" t="s">
        <v>304</v>
      </c>
      <c r="E199" s="11"/>
      <c r="F199" s="11" t="s">
        <v>35</v>
      </c>
      <c r="G199" s="14">
        <v>499</v>
      </c>
      <c r="H199" s="17">
        <f>IF(SUMIFS(İndirimler!$C$2:$C$210,İndirimler!$A$2:$A$210,B199,İndirimler!$B$2:$B$210,C199)&gt;0,ROUND(G199*(1-SUMIFS(İndirimler!$C$2:$C$210,İndirimler!$A$2:$A$210,B199,İndirimler!$B$2:$B$210,C199)),2),"")</f>
        <v>424.15</v>
      </c>
      <c r="I199" s="20">
        <f>IF(SUMIFS(İndirimler!$D$2:$D$210,İndirimler!$A$2:$A$210,B199,İndirimler!$B$2:$B$210,C199)&gt;0,ROUND(G199*(1-SUMIFS(İndirimler!$D$2:$D$210,İndirimler!$A$2:$A$210,B199,İndirimler!$B$2:$B$210,C199)),2),"")</f>
        <v>349.3</v>
      </c>
      <c r="J199" s="26" t="s">
        <v>347</v>
      </c>
      <c r="K199" s="27"/>
    </row>
    <row r="200" spans="1:11">
      <c r="A200" s="55" t="s">
        <v>348</v>
      </c>
      <c r="B200" s="11" t="s">
        <v>38</v>
      </c>
      <c r="C200" s="11" t="s">
        <v>76</v>
      </c>
      <c r="D200" s="11" t="s">
        <v>304</v>
      </c>
      <c r="E200" s="11"/>
      <c r="F200" s="11" t="s">
        <v>35</v>
      </c>
      <c r="G200" s="14">
        <v>825</v>
      </c>
      <c r="H200" s="17">
        <f>IF(SUMIFS(İndirimler!$C$2:$C$210,İndirimler!$A$2:$A$210,B200,İndirimler!$B$2:$B$210,C200)&gt;0,ROUND(G200*(1-SUMIFS(İndirimler!$C$2:$C$210,İndirimler!$A$2:$A$210,B200,İndirimler!$B$2:$B$210,C200)),2),"")</f>
        <v>701.25</v>
      </c>
      <c r="I200" s="20">
        <f>IF(SUMIFS(İndirimler!$D$2:$D$210,İndirimler!$A$2:$A$210,B200,İndirimler!$B$2:$B$210,C200)&gt;0,ROUND(G200*(1-SUMIFS(İndirimler!$D$2:$D$210,İndirimler!$A$2:$A$210,B200,İndirimler!$B$2:$B$210,C200)),2),"")</f>
        <v>577.5</v>
      </c>
      <c r="J200" s="11" t="s">
        <v>349</v>
      </c>
      <c r="K200" s="27"/>
    </row>
    <row r="201" spans="1:11">
      <c r="A201" s="55" t="s">
        <v>350</v>
      </c>
      <c r="B201" s="11" t="s">
        <v>137</v>
      </c>
      <c r="C201" s="11" t="s">
        <v>76</v>
      </c>
      <c r="D201" s="11" t="s">
        <v>304</v>
      </c>
      <c r="E201" s="11" t="s">
        <v>313</v>
      </c>
      <c r="F201" s="11" t="s">
        <v>42</v>
      </c>
      <c r="G201" s="14">
        <v>570</v>
      </c>
      <c r="H201" s="17">
        <f>IF(SUMIFS(İndirimler!$C$2:$C$210,İndirimler!$A$2:$A$210,B201,İndirimler!$B$2:$B$210,C201)&gt;0,ROUND(G201*(1-SUMIFS(İndirimler!$C$2:$C$210,İndirimler!$A$2:$A$210,B201,İndirimler!$B$2:$B$210,C201)),2),"")</f>
        <v>484.5</v>
      </c>
      <c r="I201" s="20">
        <f>IF(SUMIFS(İndirimler!$D$2:$D$210,İndirimler!$A$2:$A$210,B201,İndirimler!$B$2:$B$210,C201)&gt;0,ROUND(G201*(1-SUMIFS(İndirimler!$D$2:$D$210,İndirimler!$A$2:$A$210,B201,İndirimler!$B$2:$B$210,C201)),2),"")</f>
        <v>399</v>
      </c>
      <c r="J201" s="11" t="s">
        <v>351</v>
      </c>
      <c r="K201" s="27"/>
    </row>
    <row r="202" spans="1:11">
      <c r="A202" s="55" t="s">
        <v>352</v>
      </c>
      <c r="B202" s="11" t="s">
        <v>18</v>
      </c>
      <c r="C202" s="11" t="s">
        <v>76</v>
      </c>
      <c r="D202" s="11" t="s">
        <v>304</v>
      </c>
      <c r="E202" s="11" t="s">
        <v>41</v>
      </c>
      <c r="F202" s="11" t="s">
        <v>42</v>
      </c>
      <c r="G202" s="14"/>
      <c r="H202" s="17">
        <f>IF(SUMIFS(İndirimler!$C$2:$C$210,İndirimler!$A$2:$A$210,B202,İndirimler!$B$2:$B$210,C202)&gt;0,ROUND(G202*(1-SUMIFS(İndirimler!$C$2:$C$210,İndirimler!$A$2:$A$210,B202,İndirimler!$B$2:$B$210,C202)),2),"")</f>
        <v>0</v>
      </c>
      <c r="I202" s="20">
        <f>IF(SUMIFS(İndirimler!$D$2:$D$210,İndirimler!$A$2:$A$210,B202,İndirimler!$B$2:$B$210,C202)&gt;0,ROUND(G202*(1-SUMIFS(İndirimler!$D$2:$D$210,İndirimler!$A$2:$A$210,B202,İndirimler!$B$2:$B$210,C202)),2),"")</f>
        <v>0</v>
      </c>
      <c r="J202" s="11"/>
      <c r="K202" s="27"/>
    </row>
    <row r="203" spans="1:11">
      <c r="A203" s="55" t="s">
        <v>353</v>
      </c>
      <c r="B203" s="11" t="s">
        <v>44</v>
      </c>
      <c r="C203" s="11" t="s">
        <v>76</v>
      </c>
      <c r="D203" s="11" t="s">
        <v>304</v>
      </c>
      <c r="E203" s="11" t="s">
        <v>45</v>
      </c>
      <c r="F203" s="11" t="s">
        <v>42</v>
      </c>
      <c r="G203" s="14">
        <v>322</v>
      </c>
      <c r="H203" s="17">
        <f>IF(SUMIFS(İndirimler!$C$2:$C$210,İndirimler!$A$2:$A$210,B203,İndirimler!$B$2:$B$210,C203)&gt;0,ROUND(G203*(1-SUMIFS(İndirimler!$C$2:$C$210,İndirimler!$A$2:$A$210,B203,İndirimler!$B$2:$B$210,C203)),2),"")</f>
        <v>273.7</v>
      </c>
      <c r="I203" s="20">
        <f>IF(SUMIFS(İndirimler!$D$2:$D$210,İndirimler!$A$2:$A$210,B203,İndirimler!$B$2:$B$210,C203)&gt;0,ROUND(G203*(1-SUMIFS(İndirimler!$D$2:$D$210,İndirimler!$A$2:$A$210,B203,İndirimler!$B$2:$B$210,C203)),2),"")</f>
        <v>225.4</v>
      </c>
      <c r="J203" s="11" t="s">
        <v>354</v>
      </c>
      <c r="K203" s="27"/>
    </row>
    <row r="204" spans="1:11">
      <c r="A204" s="55" t="s">
        <v>355</v>
      </c>
      <c r="B204" s="11" t="s">
        <v>23</v>
      </c>
      <c r="C204" s="11" t="s">
        <v>76</v>
      </c>
      <c r="D204" s="11" t="s">
        <v>304</v>
      </c>
      <c r="E204" s="11"/>
      <c r="F204" s="11" t="s">
        <v>42</v>
      </c>
      <c r="G204" s="14">
        <v>608</v>
      </c>
      <c r="H204" s="17">
        <f>IF(SUMIFS(İndirimler!$C$2:$C$210,İndirimler!$A$2:$A$210,B204,İndirimler!$B$2:$B$210,C204)&gt;0,ROUND(G204*(1-SUMIFS(İndirimler!$C$2:$C$210,İndirimler!$A$2:$A$210,B204,İndirimler!$B$2:$B$210,C204)),2),"")</f>
        <v>516.79999999999995</v>
      </c>
      <c r="I204" s="20">
        <f>IF(SUMIFS(İndirimler!$D$2:$D$210,İndirimler!$A$2:$A$210,B204,İndirimler!$B$2:$B$210,C204)&gt;0,ROUND(G204*(1-SUMIFS(İndirimler!$D$2:$D$210,İndirimler!$A$2:$A$210,B204,İndirimler!$B$2:$B$210,C204)),2),"")</f>
        <v>425.6</v>
      </c>
      <c r="J204" s="11" t="s">
        <v>356</v>
      </c>
      <c r="K204" s="27"/>
    </row>
    <row r="205" spans="1:11">
      <c r="A205" s="55" t="s">
        <v>357</v>
      </c>
      <c r="B205" s="11" t="s">
        <v>50</v>
      </c>
      <c r="C205" s="11" t="s">
        <v>76</v>
      </c>
      <c r="D205" s="11" t="s">
        <v>304</v>
      </c>
      <c r="E205" s="11" t="s">
        <v>51</v>
      </c>
      <c r="F205" s="11" t="s">
        <v>42</v>
      </c>
      <c r="G205" s="14">
        <v>540</v>
      </c>
      <c r="H205" s="17">
        <f>IF(SUMIFS(İndirimler!$C$2:$C$210,İndirimler!$A$2:$A$210,B205,İndirimler!$B$2:$B$210,C205)&gt;0,ROUND(G205*(1-SUMIFS(İndirimler!$C$2:$C$210,İndirimler!$A$2:$A$210,B205,İndirimler!$B$2:$B$210,C205)),2),"")</f>
        <v>459</v>
      </c>
      <c r="I205" s="20">
        <f>IF(SUMIFS(İndirimler!$D$2:$D$210,İndirimler!$A$2:$A$210,B205,İndirimler!$B$2:$B$210,C205)&gt;0,ROUND(G205*(1-SUMIFS(İndirimler!$D$2:$D$210,İndirimler!$A$2:$A$210,B205,İndirimler!$B$2:$B$210,C205)),2),"")</f>
        <v>378</v>
      </c>
      <c r="J205" s="11"/>
      <c r="K205" s="27"/>
    </row>
    <row r="206" spans="1:11">
      <c r="A206" s="55" t="s">
        <v>358</v>
      </c>
      <c r="B206" s="11" t="s">
        <v>322</v>
      </c>
      <c r="C206" s="11" t="s">
        <v>76</v>
      </c>
      <c r="D206" s="11" t="s">
        <v>304</v>
      </c>
      <c r="E206" s="11"/>
      <c r="F206" s="11" t="s">
        <v>42</v>
      </c>
      <c r="G206" s="14">
        <v>555</v>
      </c>
      <c r="H206" s="17">
        <f>IF(SUMIFS(İndirimler!$C$2:$C$210,İndirimler!$A$2:$A$210,B206,İndirimler!$B$2:$B$210,C206)&gt;0,ROUND(G206*(1-SUMIFS(İndirimler!$C$2:$C$210,İndirimler!$A$2:$A$210,B206,İndirimler!$B$2:$B$210,C206)),2),"")</f>
        <v>471.75</v>
      </c>
      <c r="I206" s="20">
        <f>IF(SUMIFS(İndirimler!$D$2:$D$210,İndirimler!$A$2:$A$210,B206,İndirimler!$B$2:$B$210,C206)&gt;0,ROUND(G206*(1-SUMIFS(İndirimler!$D$2:$D$210,İndirimler!$A$2:$A$210,B206,İndirimler!$B$2:$B$210,C206)),2),"")</f>
        <v>388.5</v>
      </c>
      <c r="J206" s="11"/>
      <c r="K206" s="27"/>
    </row>
    <row r="207" spans="1:11">
      <c r="A207" s="55" t="s">
        <v>359</v>
      </c>
      <c r="B207" s="11" t="s">
        <v>55</v>
      </c>
      <c r="C207" s="11" t="s">
        <v>76</v>
      </c>
      <c r="D207" s="11" t="s">
        <v>304</v>
      </c>
      <c r="E207" s="11"/>
      <c r="F207" s="11" t="s">
        <v>16</v>
      </c>
      <c r="G207" s="14">
        <v>434</v>
      </c>
      <c r="H207" s="17">
        <f>IF(SUMIFS(İndirimler!$C$2:$C$210,İndirimler!$A$2:$A$210,B207,İndirimler!$B$2:$B$210,C207)&gt;0,ROUND(G207*(1-SUMIFS(İndirimler!$C$2:$C$210,İndirimler!$A$2:$A$210,B207,İndirimler!$B$2:$B$210,C207)),2),"")</f>
        <v>368.9</v>
      </c>
      <c r="I207" s="20">
        <f>IF(SUMIFS(İndirimler!$D$2:$D$210,İndirimler!$A$2:$A$210,B207,İndirimler!$B$2:$B$210,C207)&gt;0,ROUND(G207*(1-SUMIFS(İndirimler!$D$2:$D$210,İndirimler!$A$2:$A$210,B207,İndirimler!$B$2:$B$210,C207)),2),"")</f>
        <v>303.8</v>
      </c>
      <c r="J207" s="11" t="s">
        <v>360</v>
      </c>
      <c r="K207" s="27"/>
    </row>
    <row r="208" spans="1:11">
      <c r="A208" s="55" t="s">
        <v>361</v>
      </c>
      <c r="B208" s="11" t="s">
        <v>137</v>
      </c>
      <c r="C208" s="11" t="s">
        <v>76</v>
      </c>
      <c r="D208" s="11" t="s">
        <v>304</v>
      </c>
      <c r="E208" s="11"/>
      <c r="F208" s="11" t="s">
        <v>16</v>
      </c>
      <c r="G208" s="14">
        <v>528</v>
      </c>
      <c r="H208" s="17">
        <f>IF(SUMIFS(İndirimler!$C$2:$C$210,İndirimler!$A$2:$A$210,B208,İndirimler!$B$2:$B$210,C208)&gt;0,ROUND(G208*(1-SUMIFS(İndirimler!$C$2:$C$210,İndirimler!$A$2:$A$210,B208,İndirimler!$B$2:$B$210,C208)),2),"")</f>
        <v>448.8</v>
      </c>
      <c r="I208" s="20">
        <f>IF(SUMIFS(İndirimler!$D$2:$D$210,İndirimler!$A$2:$A$210,B208,İndirimler!$B$2:$B$210,C208)&gt;0,ROUND(G208*(1-SUMIFS(İndirimler!$D$2:$D$210,İndirimler!$A$2:$A$210,B208,İndirimler!$B$2:$B$210,C208)),2),"")</f>
        <v>369.6</v>
      </c>
      <c r="J208" s="11" t="s">
        <v>362</v>
      </c>
      <c r="K208" s="27"/>
    </row>
    <row r="209" spans="1:11">
      <c r="A209" s="55" t="s">
        <v>363</v>
      </c>
      <c r="B209" s="11" t="s">
        <v>18</v>
      </c>
      <c r="C209" s="11" t="s">
        <v>76</v>
      </c>
      <c r="D209" s="11" t="s">
        <v>304</v>
      </c>
      <c r="E209" s="11"/>
      <c r="F209" s="11" t="s">
        <v>16</v>
      </c>
      <c r="G209" s="14">
        <v>519</v>
      </c>
      <c r="H209" s="17">
        <f>IF(SUMIFS(İndirimler!$C$2:$C$210,İndirimler!$A$2:$A$210,B209,İndirimler!$B$2:$B$210,C209)&gt;0,ROUND(G209*(1-SUMIFS(İndirimler!$C$2:$C$210,İndirimler!$A$2:$A$210,B209,İndirimler!$B$2:$B$210,C209)),2),"")</f>
        <v>441.15</v>
      </c>
      <c r="I209" s="20">
        <f>IF(SUMIFS(İndirimler!$D$2:$D$210,İndirimler!$A$2:$A$210,B209,İndirimler!$B$2:$B$210,C209)&gt;0,ROUND(G209*(1-SUMIFS(İndirimler!$D$2:$D$210,İndirimler!$A$2:$A$210,B209,İndirimler!$B$2:$B$210,C209)),2),"")</f>
        <v>363.3</v>
      </c>
      <c r="J209" s="26" t="s">
        <v>364</v>
      </c>
      <c r="K209" s="27"/>
    </row>
    <row r="210" spans="1:11">
      <c r="A210" s="55" t="s">
        <v>365</v>
      </c>
      <c r="B210" s="11" t="s">
        <v>330</v>
      </c>
      <c r="C210" s="11" t="s">
        <v>76</v>
      </c>
      <c r="D210" s="11" t="s">
        <v>304</v>
      </c>
      <c r="E210" s="11"/>
      <c r="F210" s="11" t="s">
        <v>16</v>
      </c>
      <c r="G210" s="14">
        <v>479</v>
      </c>
      <c r="H210" s="17">
        <f>IF(SUMIFS(İndirimler!$C$2:$C$210,İndirimler!$A$2:$A$210,B210,İndirimler!$B$2:$B$210,C210)&gt;0,ROUND(G210*(1-SUMIFS(İndirimler!$C$2:$C$210,İndirimler!$A$2:$A$210,B210,İndirimler!$B$2:$B$210,C210)),2),"")</f>
        <v>407.15</v>
      </c>
      <c r="I210" s="20">
        <f>IF(SUMIFS(İndirimler!$D$2:$D$210,İndirimler!$A$2:$A$210,B210,İndirimler!$B$2:$B$210,C210)&gt;0,ROUND(G210*(1-SUMIFS(İndirimler!$D$2:$D$210,İndirimler!$A$2:$A$210,B210,İndirimler!$B$2:$B$210,C210)),2),"")</f>
        <v>335.3</v>
      </c>
      <c r="J210" s="11"/>
      <c r="K210" s="27"/>
    </row>
    <row r="211" spans="1:11">
      <c r="A211" s="55" t="s">
        <v>366</v>
      </c>
      <c r="B211" s="11" t="s">
        <v>330</v>
      </c>
      <c r="C211" s="11" t="s">
        <v>76</v>
      </c>
      <c r="D211" s="11" t="s">
        <v>304</v>
      </c>
      <c r="E211" s="11"/>
      <c r="F211" s="11" t="s">
        <v>16</v>
      </c>
      <c r="G211" s="14">
        <v>479</v>
      </c>
      <c r="H211" s="17">
        <f>IF(SUMIFS(İndirimler!$C$2:$C$210,İndirimler!$A$2:$A$210,B211,İndirimler!$B$2:$B$210,C211)&gt;0,ROUND(G211*(1-SUMIFS(İndirimler!$C$2:$C$210,İndirimler!$A$2:$A$210,B211,İndirimler!$B$2:$B$210,C211)),2),"")</f>
        <v>407.15</v>
      </c>
      <c r="I211" s="20">
        <f>IF(SUMIFS(İndirimler!$D$2:$D$210,İndirimler!$A$2:$A$210,B211,İndirimler!$B$2:$B$210,C211)&gt;0,ROUND(G211*(1-SUMIFS(İndirimler!$D$2:$D$210,İndirimler!$A$2:$A$210,B211,İndirimler!$B$2:$B$210,C211)),2),"")</f>
        <v>335.3</v>
      </c>
      <c r="J211" s="11"/>
      <c r="K211" s="27"/>
    </row>
    <row r="212" spans="1:11">
      <c r="A212" s="55" t="s">
        <v>367</v>
      </c>
      <c r="B212" s="11" t="s">
        <v>44</v>
      </c>
      <c r="C212" s="11" t="s">
        <v>76</v>
      </c>
      <c r="D212" s="11" t="s">
        <v>304</v>
      </c>
      <c r="E212" s="11" t="s">
        <v>60</v>
      </c>
      <c r="F212" s="11" t="s">
        <v>16</v>
      </c>
      <c r="G212" s="14">
        <v>274</v>
      </c>
      <c r="H212" s="17">
        <f>IF(SUMIFS(İndirimler!$C$2:$C$210,İndirimler!$A$2:$A$210,B212,İndirimler!$B$2:$B$210,C212)&gt;0,ROUND(G212*(1-SUMIFS(İndirimler!$C$2:$C$210,İndirimler!$A$2:$A$210,B212,İndirimler!$B$2:$B$210,C212)),2),"")</f>
        <v>232.9</v>
      </c>
      <c r="I212" s="20">
        <f>IF(SUMIFS(İndirimler!$D$2:$D$210,İndirimler!$A$2:$A$210,B212,İndirimler!$B$2:$B$210,C212)&gt;0,ROUND(G212*(1-SUMIFS(İndirimler!$D$2:$D$210,İndirimler!$A$2:$A$210,B212,İndirimler!$B$2:$B$210,C212)),2),"")</f>
        <v>191.8</v>
      </c>
      <c r="J212" s="11" t="s">
        <v>368</v>
      </c>
      <c r="K212" s="27"/>
    </row>
    <row r="213" spans="1:11">
      <c r="A213" s="55" t="s">
        <v>369</v>
      </c>
      <c r="B213" s="11" t="s">
        <v>303</v>
      </c>
      <c r="C213" s="11" t="s">
        <v>76</v>
      </c>
      <c r="D213" s="11" t="s">
        <v>304</v>
      </c>
      <c r="E213" s="11"/>
      <c r="F213" s="11" t="s">
        <v>16</v>
      </c>
      <c r="G213" s="14"/>
      <c r="H213" s="17">
        <f>IF(SUMIFS(İndirimler!$C$2:$C$210,İndirimler!$A$2:$A$210,B213,İndirimler!$B$2:$B$210,C213)&gt;0,ROUND(G213*(1-SUMIFS(İndirimler!$C$2:$C$210,İndirimler!$A$2:$A$210,B213,İndirimler!$B$2:$B$210,C213)),2),"")</f>
        <v>0</v>
      </c>
      <c r="I213" s="20">
        <f>IF(SUMIFS(İndirimler!$D$2:$D$210,İndirimler!$A$2:$A$210,B213,İndirimler!$B$2:$B$210,C213)&gt;0,ROUND(G213*(1-SUMIFS(İndirimler!$D$2:$D$210,İndirimler!$A$2:$A$210,B213,İndirimler!$B$2:$B$210,C213)),2),"")</f>
        <v>0</v>
      </c>
      <c r="J213" s="11"/>
      <c r="K213" s="27" t="s">
        <v>370</v>
      </c>
    </row>
    <row r="214" spans="1:11">
      <c r="A214" s="55" t="s">
        <v>371</v>
      </c>
      <c r="B214" s="11" t="s">
        <v>63</v>
      </c>
      <c r="C214" s="11" t="s">
        <v>76</v>
      </c>
      <c r="D214" s="11" t="s">
        <v>304</v>
      </c>
      <c r="E214" s="11" t="s">
        <v>64</v>
      </c>
      <c r="F214" s="11" t="s">
        <v>16</v>
      </c>
      <c r="G214" s="14">
        <v>525</v>
      </c>
      <c r="H214" s="17">
        <f>IF(SUMIFS(İndirimler!$C$2:$C$210,İndirimler!$A$2:$A$210,B214,İndirimler!$B$2:$B$210,C214)&gt;0,ROUND(G214*(1-SUMIFS(İndirimler!$C$2:$C$210,İndirimler!$A$2:$A$210,B214,İndirimler!$B$2:$B$210,C214)),2),"")</f>
        <v>446.25</v>
      </c>
      <c r="I214" s="20">
        <f>IF(SUMIFS(İndirimler!$D$2:$D$210,İndirimler!$A$2:$A$210,B214,İndirimler!$B$2:$B$210,C214)&gt;0,ROUND(G214*(1-SUMIFS(İndirimler!$D$2:$D$210,İndirimler!$A$2:$A$210,B214,İndirimler!$B$2:$B$210,C214)),2),"")</f>
        <v>367.5</v>
      </c>
      <c r="J214" s="11" t="s">
        <v>372</v>
      </c>
      <c r="K214" s="27"/>
    </row>
    <row r="215" spans="1:11">
      <c r="A215" s="55" t="s">
        <v>373</v>
      </c>
      <c r="B215" s="11" t="s">
        <v>23</v>
      </c>
      <c r="C215" s="11" t="s">
        <v>76</v>
      </c>
      <c r="D215" s="11" t="s">
        <v>304</v>
      </c>
      <c r="E215" s="11"/>
      <c r="F215" s="11" t="s">
        <v>16</v>
      </c>
      <c r="G215" s="14">
        <v>590</v>
      </c>
      <c r="H215" s="17">
        <f>IF(SUMIFS(İndirimler!$C$2:$C$210,İndirimler!$A$2:$A$210,B215,İndirimler!$B$2:$B$210,C215)&gt;0,ROUND(G215*(1-SUMIFS(İndirimler!$C$2:$C$210,İndirimler!$A$2:$A$210,B215,İndirimler!$B$2:$B$210,C215)),2),"")</f>
        <v>501.5</v>
      </c>
      <c r="I215" s="20">
        <f>IF(SUMIFS(İndirimler!$D$2:$D$210,İndirimler!$A$2:$A$210,B215,İndirimler!$B$2:$B$210,C215)&gt;0,ROUND(G215*(1-SUMIFS(İndirimler!$D$2:$D$210,İndirimler!$A$2:$A$210,B215,İndirimler!$B$2:$B$210,C215)),2),"")</f>
        <v>413</v>
      </c>
      <c r="J215" s="11" t="s">
        <v>374</v>
      </c>
      <c r="K215" s="27"/>
    </row>
    <row r="216" spans="1:11">
      <c r="A216" s="55" t="s">
        <v>375</v>
      </c>
      <c r="B216" s="11" t="s">
        <v>50</v>
      </c>
      <c r="C216" s="11" t="s">
        <v>76</v>
      </c>
      <c r="D216" s="11" t="s">
        <v>304</v>
      </c>
      <c r="E216" s="11" t="s">
        <v>69</v>
      </c>
      <c r="F216" s="11" t="s">
        <v>16</v>
      </c>
      <c r="G216" s="14">
        <v>458</v>
      </c>
      <c r="H216" s="17">
        <f>IF(SUMIFS(İndirimler!$C$2:$C$210,İndirimler!$A$2:$A$210,B216,İndirimler!$B$2:$B$210,C216)&gt;0,ROUND(G216*(1-SUMIFS(İndirimler!$C$2:$C$210,İndirimler!$A$2:$A$210,B216,İndirimler!$B$2:$B$210,C216)),2),"")</f>
        <v>389.3</v>
      </c>
      <c r="I216" s="20">
        <f>IF(SUMIFS(İndirimler!$D$2:$D$210,İndirimler!$A$2:$A$210,B216,İndirimler!$B$2:$B$210,C216)&gt;0,ROUND(G216*(1-SUMIFS(İndirimler!$D$2:$D$210,İndirimler!$A$2:$A$210,B216,İndirimler!$B$2:$B$210,C216)),2),"")</f>
        <v>320.60000000000002</v>
      </c>
      <c r="J216" s="11"/>
      <c r="K216" s="27"/>
    </row>
    <row r="217" spans="1:11">
      <c r="A217" s="55" t="s">
        <v>376</v>
      </c>
      <c r="B217" s="11" t="s">
        <v>38</v>
      </c>
      <c r="C217" s="11" t="s">
        <v>76</v>
      </c>
      <c r="D217" s="11" t="s">
        <v>304</v>
      </c>
      <c r="E217" s="11" t="s">
        <v>69</v>
      </c>
      <c r="F217" s="11" t="s">
        <v>16</v>
      </c>
      <c r="G217" s="14">
        <v>505</v>
      </c>
      <c r="H217" s="17">
        <f>IF(SUMIFS(İndirimler!$C$2:$C$210,İndirimler!$A$2:$A$210,B217,İndirimler!$B$2:$B$210,C217)&gt;0,ROUND(G217*(1-SUMIFS(İndirimler!$C$2:$C$210,İndirimler!$A$2:$A$210,B217,İndirimler!$B$2:$B$210,C217)),2),"")</f>
        <v>429.25</v>
      </c>
      <c r="I217" s="20">
        <f>IF(SUMIFS(İndirimler!$D$2:$D$210,İndirimler!$A$2:$A$210,B217,İndirimler!$B$2:$B$210,C217)&gt;0,ROUND(G217*(1-SUMIFS(İndirimler!$D$2:$D$210,İndirimler!$A$2:$A$210,B217,İndirimler!$B$2:$B$210,C217)),2),"")</f>
        <v>353.5</v>
      </c>
      <c r="J217" s="11" t="s">
        <v>377</v>
      </c>
      <c r="K217" s="27"/>
    </row>
    <row r="218" spans="1:11">
      <c r="A218" s="55" t="s">
        <v>378</v>
      </c>
      <c r="B218" s="11" t="s">
        <v>72</v>
      </c>
      <c r="C218" s="11" t="s">
        <v>76</v>
      </c>
      <c r="D218" s="11" t="s">
        <v>304</v>
      </c>
      <c r="E218" s="11"/>
      <c r="F218" s="11" t="s">
        <v>73</v>
      </c>
      <c r="G218" s="14">
        <v>455</v>
      </c>
      <c r="H218" s="17">
        <f>IF(SUMIFS(İndirimler!$C$2:$C$210,İndirimler!$A$2:$A$210,B218,İndirimler!$B$2:$B$210,C218)&gt;0,ROUND(G218*(1-SUMIFS(İndirimler!$C$2:$C$210,İndirimler!$A$2:$A$210,B218,İndirimler!$B$2:$B$210,C218)),2),"")</f>
        <v>386.75</v>
      </c>
      <c r="I218" s="20">
        <f>IF(SUMIFS(İndirimler!$D$2:$D$210,İndirimler!$A$2:$A$210,B218,İndirimler!$B$2:$B$210,C218)&gt;0,ROUND(G218*(1-SUMIFS(İndirimler!$D$2:$D$210,İndirimler!$A$2:$A$210,B218,İndirimler!$B$2:$B$210,C218)),2),"")</f>
        <v>318.5</v>
      </c>
      <c r="J218" s="11"/>
      <c r="K218" s="27"/>
    </row>
    <row r="219" spans="1:11">
      <c r="A219" s="55" t="s">
        <v>379</v>
      </c>
      <c r="B219" s="11" t="s">
        <v>25</v>
      </c>
      <c r="C219" s="11" t="s">
        <v>101</v>
      </c>
      <c r="D219" s="11" t="s">
        <v>304</v>
      </c>
      <c r="E219" s="11" t="s">
        <v>126</v>
      </c>
      <c r="F219" s="11" t="s">
        <v>35</v>
      </c>
      <c r="G219" s="14"/>
      <c r="H219" s="17">
        <f>IF(SUMIFS(İndirimler!$C$2:$C$210,İndirimler!$A$2:$A$210,B219,İndirimler!$B$2:$B$210,C219)&gt;0,ROUND(G219*(1-SUMIFS(İndirimler!$C$2:$C$210,İndirimler!$A$2:$A$210,B219,İndirimler!$B$2:$B$210,C219)),2),"")</f>
        <v>0</v>
      </c>
      <c r="I219" s="20">
        <f>IF(SUMIFS(İndirimler!$D$2:$D$210,İndirimler!$A$2:$A$210,B219,İndirimler!$B$2:$B$210,C219)&gt;0,ROUND(G219*(1-SUMIFS(İndirimler!$D$2:$D$210,İndirimler!$A$2:$A$210,B219,İndirimler!$B$2:$B$210,C219)),2),"")</f>
        <v>0</v>
      </c>
      <c r="J219" s="11"/>
      <c r="K219" s="27"/>
    </row>
    <row r="220" spans="1:11">
      <c r="A220" s="55" t="s">
        <v>380</v>
      </c>
      <c r="B220" s="11" t="s">
        <v>38</v>
      </c>
      <c r="C220" s="11" t="s">
        <v>101</v>
      </c>
      <c r="D220" s="11" t="s">
        <v>304</v>
      </c>
      <c r="E220" s="11"/>
      <c r="F220" s="11" t="s">
        <v>35</v>
      </c>
      <c r="G220" s="14"/>
      <c r="H220" s="17">
        <f>IF(SUMIFS(İndirimler!$C$2:$C$210,İndirimler!$A$2:$A$210,B220,İndirimler!$B$2:$B$210,C220)&gt;0,ROUND(G220*(1-SUMIFS(İndirimler!$C$2:$C$210,İndirimler!$A$2:$A$210,B220,İndirimler!$B$2:$B$210,C220)),2),"")</f>
        <v>0</v>
      </c>
      <c r="I220" s="20">
        <f>IF(SUMIFS(İndirimler!$D$2:$D$210,İndirimler!$A$2:$A$210,B220,İndirimler!$B$2:$B$210,C220)&gt;0,ROUND(G220*(1-SUMIFS(İndirimler!$D$2:$D$210,İndirimler!$A$2:$A$210,B220,İndirimler!$B$2:$B$210,C220)),2),"")</f>
        <v>0</v>
      </c>
      <c r="J220" s="11"/>
      <c r="K220" s="27"/>
    </row>
    <row r="221" spans="1:11">
      <c r="A221" s="55" t="s">
        <v>381</v>
      </c>
      <c r="B221" s="11" t="s">
        <v>137</v>
      </c>
      <c r="C221" s="11" t="s">
        <v>101</v>
      </c>
      <c r="D221" s="11" t="s">
        <v>304</v>
      </c>
      <c r="E221" s="11" t="s">
        <v>313</v>
      </c>
      <c r="F221" s="11" t="s">
        <v>42</v>
      </c>
      <c r="G221" s="14">
        <v>773</v>
      </c>
      <c r="H221" s="17">
        <f>IF(SUMIFS(İndirimler!$C$2:$C$210,İndirimler!$A$2:$A$210,B221,İndirimler!$B$2:$B$210,C221)&gt;0,ROUND(G221*(1-SUMIFS(İndirimler!$C$2:$C$210,İndirimler!$A$2:$A$210,B221,İndirimler!$B$2:$B$210,C221)),2),"")</f>
        <v>657.05</v>
      </c>
      <c r="I221" s="20">
        <f>IF(SUMIFS(İndirimler!$D$2:$D$210,İndirimler!$A$2:$A$210,B221,İndirimler!$B$2:$B$210,C221)&gt;0,ROUND(G221*(1-SUMIFS(İndirimler!$D$2:$D$210,İndirimler!$A$2:$A$210,B221,İndirimler!$B$2:$B$210,C221)),2),"")</f>
        <v>541.1</v>
      </c>
      <c r="J221" s="11"/>
      <c r="K221" s="27"/>
    </row>
    <row r="222" spans="1:11">
      <c r="A222" s="55" t="s">
        <v>382</v>
      </c>
      <c r="B222" s="11" t="s">
        <v>18</v>
      </c>
      <c r="C222" s="11" t="s">
        <v>101</v>
      </c>
      <c r="D222" s="11" t="s">
        <v>304</v>
      </c>
      <c r="E222" s="11" t="s">
        <v>41</v>
      </c>
      <c r="F222" s="11" t="s">
        <v>42</v>
      </c>
      <c r="G222" s="14"/>
      <c r="H222" s="17">
        <f>IF(SUMIFS(İndirimler!$C$2:$C$210,İndirimler!$A$2:$A$210,B222,İndirimler!$B$2:$B$210,C222)&gt;0,ROUND(G222*(1-SUMIFS(İndirimler!$C$2:$C$210,İndirimler!$A$2:$A$210,B222,İndirimler!$B$2:$B$210,C222)),2),"")</f>
        <v>0</v>
      </c>
      <c r="I222" s="20">
        <f>IF(SUMIFS(İndirimler!$D$2:$D$210,İndirimler!$A$2:$A$210,B222,İndirimler!$B$2:$B$210,C222)&gt;0,ROUND(G222*(1-SUMIFS(İndirimler!$D$2:$D$210,İndirimler!$A$2:$A$210,B222,İndirimler!$B$2:$B$210,C222)),2),"")</f>
        <v>0</v>
      </c>
      <c r="J222" s="11"/>
      <c r="K222" s="27"/>
    </row>
    <row r="223" spans="1:11">
      <c r="A223" s="55" t="s">
        <v>383</v>
      </c>
      <c r="B223" s="11" t="s">
        <v>72</v>
      </c>
      <c r="C223" s="11" t="s">
        <v>101</v>
      </c>
      <c r="D223" s="11" t="s">
        <v>304</v>
      </c>
      <c r="E223" s="11" t="s">
        <v>104</v>
      </c>
      <c r="F223" s="11" t="s">
        <v>42</v>
      </c>
      <c r="G223" s="14"/>
      <c r="H223" s="17">
        <f>IF(SUMIFS(İndirimler!$C$2:$C$210,İndirimler!$A$2:$A$210,B223,İndirimler!$B$2:$B$210,C223)&gt;0,ROUND(G223*(1-SUMIFS(İndirimler!$C$2:$C$210,İndirimler!$A$2:$A$210,B223,İndirimler!$B$2:$B$210,C223)),2),"")</f>
        <v>0</v>
      </c>
      <c r="I223" s="20">
        <f>IF(SUMIFS(İndirimler!$D$2:$D$210,İndirimler!$A$2:$A$210,B223,İndirimler!$B$2:$B$210,C223)&gt;0,ROUND(G223*(1-SUMIFS(İndirimler!$D$2:$D$210,İndirimler!$A$2:$A$210,B223,İndirimler!$B$2:$B$210,C223)),2),"")</f>
        <v>0</v>
      </c>
      <c r="J223" s="11"/>
      <c r="K223" s="27"/>
    </row>
    <row r="224" spans="1:11">
      <c r="A224" s="55" t="s">
        <v>384</v>
      </c>
      <c r="B224" s="11" t="s">
        <v>23</v>
      </c>
      <c r="C224" s="11" t="s">
        <v>101</v>
      </c>
      <c r="D224" s="11" t="s">
        <v>304</v>
      </c>
      <c r="E224" s="11"/>
      <c r="F224" s="11" t="s">
        <v>42</v>
      </c>
      <c r="G224" s="14">
        <v>614</v>
      </c>
      <c r="H224" s="17">
        <f>IF(SUMIFS(İndirimler!$C$2:$C$210,İndirimler!$A$2:$A$210,B224,İndirimler!$B$2:$B$210,C224)&gt;0,ROUND(G224*(1-SUMIFS(İndirimler!$C$2:$C$210,İndirimler!$A$2:$A$210,B224,İndirimler!$B$2:$B$210,C224)),2),"")</f>
        <v>521.9</v>
      </c>
      <c r="I224" s="20">
        <f>IF(SUMIFS(İndirimler!$D$2:$D$210,İndirimler!$A$2:$A$210,B224,İndirimler!$B$2:$B$210,C224)&gt;0,ROUND(G224*(1-SUMIFS(İndirimler!$D$2:$D$210,İndirimler!$A$2:$A$210,B224,İndirimler!$B$2:$B$210,C224)),2),"")</f>
        <v>429.8</v>
      </c>
      <c r="J224" s="11"/>
      <c r="K224" s="27"/>
    </row>
    <row r="225" spans="1:11">
      <c r="A225" s="55" t="s">
        <v>385</v>
      </c>
      <c r="B225" s="11" t="s">
        <v>50</v>
      </c>
      <c r="C225" s="11" t="s">
        <v>101</v>
      </c>
      <c r="D225" s="11" t="s">
        <v>304</v>
      </c>
      <c r="E225" s="11" t="s">
        <v>51</v>
      </c>
      <c r="F225" s="11" t="s">
        <v>42</v>
      </c>
      <c r="G225" s="14">
        <v>480</v>
      </c>
      <c r="H225" s="17">
        <f>IF(SUMIFS(İndirimler!$C$2:$C$210,İndirimler!$A$2:$A$210,B225,İndirimler!$B$2:$B$210,C225)&gt;0,ROUND(G225*(1-SUMIFS(İndirimler!$C$2:$C$210,İndirimler!$A$2:$A$210,B225,İndirimler!$B$2:$B$210,C225)),2),"")</f>
        <v>408</v>
      </c>
      <c r="I225" s="20">
        <f>IF(SUMIFS(İndirimler!$D$2:$D$210,İndirimler!$A$2:$A$210,B225,İndirimler!$B$2:$B$210,C225)&gt;0,ROUND(G225*(1-SUMIFS(İndirimler!$D$2:$D$210,İndirimler!$A$2:$A$210,B225,İndirimler!$B$2:$B$210,C225)),2),"")</f>
        <v>336</v>
      </c>
      <c r="J225" s="11"/>
      <c r="K225" s="27"/>
    </row>
    <row r="226" spans="1:11">
      <c r="A226" s="55" t="s">
        <v>386</v>
      </c>
      <c r="B226" s="11" t="s">
        <v>55</v>
      </c>
      <c r="C226" s="11" t="s">
        <v>101</v>
      </c>
      <c r="D226" s="11" t="s">
        <v>304</v>
      </c>
      <c r="E226" s="11"/>
      <c r="F226" s="11" t="s">
        <v>16</v>
      </c>
      <c r="G226" s="14">
        <v>498</v>
      </c>
      <c r="H226" s="17">
        <f>IF(SUMIFS(İndirimler!$C$2:$C$210,İndirimler!$A$2:$A$210,B226,İndirimler!$B$2:$B$210,C226)&gt;0,ROUND(G226*(1-SUMIFS(İndirimler!$C$2:$C$210,İndirimler!$A$2:$A$210,B226,İndirimler!$B$2:$B$210,C226)),2),"")</f>
        <v>423.3</v>
      </c>
      <c r="I226" s="20">
        <f>IF(SUMIFS(İndirimler!$D$2:$D$210,İndirimler!$A$2:$A$210,B226,İndirimler!$B$2:$B$210,C226)&gt;0,ROUND(G226*(1-SUMIFS(İndirimler!$D$2:$D$210,İndirimler!$A$2:$A$210,B226,İndirimler!$B$2:$B$210,C226)),2),"")</f>
        <v>348.6</v>
      </c>
      <c r="J226" s="11"/>
      <c r="K226" s="27"/>
    </row>
    <row r="227" spans="1:11">
      <c r="A227" s="55" t="s">
        <v>387</v>
      </c>
      <c r="B227" s="11" t="s">
        <v>137</v>
      </c>
      <c r="C227" s="11" t="s">
        <v>101</v>
      </c>
      <c r="D227" s="11" t="s">
        <v>304</v>
      </c>
      <c r="E227" s="11"/>
      <c r="F227" s="11" t="s">
        <v>16</v>
      </c>
      <c r="G227" s="14">
        <v>672</v>
      </c>
      <c r="H227" s="17">
        <f>IF(SUMIFS(İndirimler!$C$2:$C$210,İndirimler!$A$2:$A$210,B227,İndirimler!$B$2:$B$210,C227)&gt;0,ROUND(G227*(1-SUMIFS(İndirimler!$C$2:$C$210,İndirimler!$A$2:$A$210,B227,İndirimler!$B$2:$B$210,C227)),2),"")</f>
        <v>571.20000000000005</v>
      </c>
      <c r="I227" s="20">
        <f>IF(SUMIFS(İndirimler!$D$2:$D$210,İndirimler!$A$2:$A$210,B227,İndirimler!$B$2:$B$210,C227)&gt;0,ROUND(G227*(1-SUMIFS(İndirimler!$D$2:$D$210,İndirimler!$A$2:$A$210,B227,İndirimler!$B$2:$B$210,C227)),2),"")</f>
        <v>470.4</v>
      </c>
      <c r="J227" s="11"/>
      <c r="K227" s="27"/>
    </row>
    <row r="228" spans="1:11">
      <c r="A228" s="55" t="s">
        <v>388</v>
      </c>
      <c r="B228" s="11" t="s">
        <v>18</v>
      </c>
      <c r="C228" s="11" t="s">
        <v>101</v>
      </c>
      <c r="D228" s="11" t="s">
        <v>304</v>
      </c>
      <c r="E228" s="11" t="s">
        <v>109</v>
      </c>
      <c r="F228" s="11" t="s">
        <v>16</v>
      </c>
      <c r="G228" s="14"/>
      <c r="H228" s="17">
        <f>IF(SUMIFS(İndirimler!$C$2:$C$210,İndirimler!$A$2:$A$210,B228,İndirimler!$B$2:$B$210,C228)&gt;0,ROUND(G228*(1-SUMIFS(İndirimler!$C$2:$C$210,İndirimler!$A$2:$A$210,B228,İndirimler!$B$2:$B$210,C228)),2),"")</f>
        <v>0</v>
      </c>
      <c r="I228" s="20">
        <f>IF(SUMIFS(İndirimler!$D$2:$D$210,İndirimler!$A$2:$A$210,B228,İndirimler!$B$2:$B$210,C228)&gt;0,ROUND(G228*(1-SUMIFS(İndirimler!$D$2:$D$210,İndirimler!$A$2:$A$210,B228,İndirimler!$B$2:$B$210,C228)),2),"")</f>
        <v>0</v>
      </c>
      <c r="J228" s="11"/>
      <c r="K228" s="27"/>
    </row>
    <row r="229" spans="1:11">
      <c r="A229" s="55" t="s">
        <v>389</v>
      </c>
      <c r="B229" s="11" t="s">
        <v>330</v>
      </c>
      <c r="C229" s="11" t="s">
        <v>101</v>
      </c>
      <c r="D229" s="11" t="s">
        <v>304</v>
      </c>
      <c r="E229" s="11"/>
      <c r="F229" s="11" t="s">
        <v>16</v>
      </c>
      <c r="G229" s="14"/>
      <c r="H229" s="17">
        <f>IF(SUMIFS(İndirimler!$C$2:$C$210,İndirimler!$A$2:$A$210,B229,İndirimler!$B$2:$B$210,C229)&gt;0,ROUND(G229*(1-SUMIFS(İndirimler!$C$2:$C$210,İndirimler!$A$2:$A$210,B229,İndirimler!$B$2:$B$210,C229)),2),"")</f>
        <v>0</v>
      </c>
      <c r="I229" s="20">
        <f>IF(SUMIFS(İndirimler!$D$2:$D$210,İndirimler!$A$2:$A$210,B229,İndirimler!$B$2:$B$210,C229)&gt;0,ROUND(G229*(1-SUMIFS(İndirimler!$D$2:$D$210,İndirimler!$A$2:$A$210,B229,İndirimler!$B$2:$B$210,C229)),2),"")</f>
        <v>0</v>
      </c>
      <c r="J229" s="11"/>
      <c r="K229" s="27"/>
    </row>
    <row r="230" spans="1:11">
      <c r="A230" s="55" t="s">
        <v>390</v>
      </c>
      <c r="B230" s="11" t="s">
        <v>303</v>
      </c>
      <c r="C230" s="11" t="s">
        <v>101</v>
      </c>
      <c r="D230" s="11" t="s">
        <v>304</v>
      </c>
      <c r="E230" s="11" t="s">
        <v>885</v>
      </c>
      <c r="F230" s="11" t="s">
        <v>16</v>
      </c>
      <c r="G230" s="14"/>
      <c r="H230" s="17">
        <f>IF(SUMIFS(İndirimler!$C$2:$C$210,İndirimler!$A$2:$A$210,B230,İndirimler!$B$2:$B$210,C230)&gt;0,ROUND(G230*(1-SUMIFS(İndirimler!$C$2:$C$210,İndirimler!$A$2:$A$210,B230,İndirimler!$B$2:$B$210,C230)),2),"")</f>
        <v>0</v>
      </c>
      <c r="I230" s="20">
        <f>IF(SUMIFS(İndirimler!$D$2:$D$210,İndirimler!$A$2:$A$210,B230,İndirimler!$B$2:$B$210,C230)&gt;0,ROUND(G230*(1-SUMIFS(İndirimler!$D$2:$D$210,İndirimler!$A$2:$A$210,B230,İndirimler!$B$2:$B$210,C230)),2),"")</f>
        <v>0</v>
      </c>
      <c r="J230" s="11"/>
      <c r="K230" s="27"/>
    </row>
    <row r="231" spans="1:11">
      <c r="A231" s="55" t="s">
        <v>391</v>
      </c>
      <c r="B231" s="11" t="s">
        <v>303</v>
      </c>
      <c r="C231" s="11" t="s">
        <v>101</v>
      </c>
      <c r="D231" s="11" t="s">
        <v>304</v>
      </c>
      <c r="E231" s="11"/>
      <c r="F231" s="11" t="s">
        <v>16</v>
      </c>
      <c r="G231" s="14"/>
      <c r="H231" s="17">
        <f>IF(SUMIFS(İndirimler!$C$2:$C$210,İndirimler!$A$2:$A$210,B231,İndirimler!$B$2:$B$210,C231)&gt;0,ROUND(G231*(1-SUMIFS(İndirimler!$C$2:$C$210,İndirimler!$A$2:$A$210,B231,İndirimler!$B$2:$B$210,C231)),2),"")</f>
        <v>0</v>
      </c>
      <c r="I231" s="20">
        <f>IF(SUMIFS(İndirimler!$D$2:$D$210,İndirimler!$A$2:$A$210,B231,İndirimler!$B$2:$B$210,C231)&gt;0,ROUND(G231*(1-SUMIFS(İndirimler!$D$2:$D$210,İndirimler!$A$2:$A$210,B231,İndirimler!$B$2:$B$210,C231)),2),"")</f>
        <v>0</v>
      </c>
      <c r="J231" s="11"/>
      <c r="K231" s="27"/>
    </row>
    <row r="232" spans="1:11">
      <c r="A232" s="55" t="s">
        <v>392</v>
      </c>
      <c r="B232" s="11" t="s">
        <v>63</v>
      </c>
      <c r="C232" s="11" t="s">
        <v>101</v>
      </c>
      <c r="D232" s="11" t="s">
        <v>304</v>
      </c>
      <c r="E232" s="11" t="s">
        <v>64</v>
      </c>
      <c r="F232" s="11" t="s">
        <v>16</v>
      </c>
      <c r="G232" s="14"/>
      <c r="H232" s="17">
        <f>IF(SUMIFS(İndirimler!$C$2:$C$210,İndirimler!$A$2:$A$210,B232,İndirimler!$B$2:$B$210,C232)&gt;0,ROUND(G232*(1-SUMIFS(İndirimler!$C$2:$C$210,İndirimler!$A$2:$A$210,B232,İndirimler!$B$2:$B$210,C232)),2),"")</f>
        <v>0</v>
      </c>
      <c r="I232" s="20">
        <f>IF(SUMIFS(İndirimler!$D$2:$D$210,İndirimler!$A$2:$A$210,B232,İndirimler!$B$2:$B$210,C232)&gt;0,ROUND(G232*(1-SUMIFS(İndirimler!$D$2:$D$210,İndirimler!$A$2:$A$210,B232,İndirimler!$B$2:$B$210,C232)),2),"")</f>
        <v>0</v>
      </c>
      <c r="J232" s="11" t="s">
        <v>393</v>
      </c>
      <c r="K232" s="27"/>
    </row>
    <row r="233" spans="1:11">
      <c r="A233" s="55" t="s">
        <v>394</v>
      </c>
      <c r="B233" s="11" t="s">
        <v>23</v>
      </c>
      <c r="C233" s="11" t="s">
        <v>101</v>
      </c>
      <c r="D233" s="11" t="s">
        <v>304</v>
      </c>
      <c r="E233" s="11"/>
      <c r="F233" s="11" t="s">
        <v>16</v>
      </c>
      <c r="G233" s="14">
        <v>624</v>
      </c>
      <c r="H233" s="17">
        <f>IF(SUMIFS(İndirimler!$C$2:$C$210,İndirimler!$A$2:$A$210,B233,İndirimler!$B$2:$B$210,C233)&gt;0,ROUND(G233*(1-SUMIFS(İndirimler!$C$2:$C$210,İndirimler!$A$2:$A$210,B233,İndirimler!$B$2:$B$210,C233)),2),"")</f>
        <v>530.4</v>
      </c>
      <c r="I233" s="20">
        <f>IF(SUMIFS(İndirimler!$D$2:$D$210,İndirimler!$A$2:$A$210,B233,İndirimler!$B$2:$B$210,C233)&gt;0,ROUND(G233*(1-SUMIFS(İndirimler!$D$2:$D$210,İndirimler!$A$2:$A$210,B233,İndirimler!$B$2:$B$210,C233)),2),"")</f>
        <v>436.8</v>
      </c>
      <c r="J233" s="26"/>
      <c r="K233" s="27"/>
    </row>
    <row r="234" spans="1:11">
      <c r="A234" s="55" t="s">
        <v>395</v>
      </c>
      <c r="B234" s="11" t="s">
        <v>50</v>
      </c>
      <c r="C234" s="11" t="s">
        <v>101</v>
      </c>
      <c r="D234" s="11" t="s">
        <v>304</v>
      </c>
      <c r="E234" s="11" t="s">
        <v>69</v>
      </c>
      <c r="F234" s="11" t="s">
        <v>16</v>
      </c>
      <c r="G234" s="14">
        <v>387</v>
      </c>
      <c r="H234" s="17">
        <f>IF(SUMIFS(İndirimler!$C$2:$C$210,İndirimler!$A$2:$A$210,B234,İndirimler!$B$2:$B$210,C234)&gt;0,ROUND(G234*(1-SUMIFS(İndirimler!$C$2:$C$210,İndirimler!$A$2:$A$210,B234,İndirimler!$B$2:$B$210,C234)),2),"")</f>
        <v>328.95</v>
      </c>
      <c r="I234" s="20">
        <f>IF(SUMIFS(İndirimler!$D$2:$D$210,İndirimler!$A$2:$A$210,B234,İndirimler!$B$2:$B$210,C234)&gt;0,ROUND(G234*(1-SUMIFS(İndirimler!$D$2:$D$210,İndirimler!$A$2:$A$210,B234,İndirimler!$B$2:$B$210,C234)),2),"")</f>
        <v>270.89999999999998</v>
      </c>
      <c r="J234" s="11"/>
      <c r="K234" s="27"/>
    </row>
    <row r="235" spans="1:11">
      <c r="A235" s="55" t="s">
        <v>396</v>
      </c>
      <c r="B235" s="11" t="s">
        <v>38</v>
      </c>
      <c r="C235" s="11" t="s">
        <v>101</v>
      </c>
      <c r="D235" s="11" t="s">
        <v>304</v>
      </c>
      <c r="E235" s="11"/>
      <c r="F235" s="11" t="s">
        <v>16</v>
      </c>
      <c r="G235" s="14"/>
      <c r="H235" s="17">
        <f>IF(SUMIFS(İndirimler!$C$2:$C$210,İndirimler!$A$2:$A$210,B235,İndirimler!$B$2:$B$210,C235)&gt;0,ROUND(G235*(1-SUMIFS(İndirimler!$C$2:$C$210,İndirimler!$A$2:$A$210,B235,İndirimler!$B$2:$B$210,C235)),2),"")</f>
        <v>0</v>
      </c>
      <c r="I235" s="20">
        <f>IF(SUMIFS(İndirimler!$D$2:$D$210,İndirimler!$A$2:$A$210,B235,İndirimler!$B$2:$B$210,C235)&gt;0,ROUND(G235*(1-SUMIFS(İndirimler!$D$2:$D$210,İndirimler!$A$2:$A$210,B235,İndirimler!$B$2:$B$210,C235)),2),"")</f>
        <v>0</v>
      </c>
      <c r="J235" s="11"/>
      <c r="K235" s="27"/>
    </row>
    <row r="236" spans="1:11">
      <c r="A236" s="55" t="s">
        <v>397</v>
      </c>
      <c r="B236" s="11" t="s">
        <v>72</v>
      </c>
      <c r="C236" s="11" t="s">
        <v>101</v>
      </c>
      <c r="D236" s="11" t="s">
        <v>304</v>
      </c>
      <c r="E236" s="11"/>
      <c r="F236" s="11" t="s">
        <v>73</v>
      </c>
      <c r="G236" s="14"/>
      <c r="H236" s="17">
        <f>IF(SUMIFS(İndirimler!$C$2:$C$210,İndirimler!$A$2:$A$210,B236,İndirimler!$B$2:$B$210,C236)&gt;0,ROUND(G236*(1-SUMIFS(İndirimler!$C$2:$C$210,İndirimler!$A$2:$A$210,B236,İndirimler!$B$2:$B$210,C236)),2),"")</f>
        <v>0</v>
      </c>
      <c r="I236" s="20">
        <f>IF(SUMIFS(İndirimler!$D$2:$D$210,İndirimler!$A$2:$A$210,B236,İndirimler!$B$2:$B$210,C236)&gt;0,ROUND(G236*(1-SUMIFS(İndirimler!$D$2:$D$210,İndirimler!$A$2:$A$210,B236,İndirimler!$B$2:$B$210,C236)),2),"")</f>
        <v>0</v>
      </c>
      <c r="J236" s="11"/>
      <c r="K236" s="27"/>
    </row>
    <row r="237" spans="1:11">
      <c r="A237" s="55" t="s">
        <v>398</v>
      </c>
      <c r="B237" s="11" t="s">
        <v>25</v>
      </c>
      <c r="C237" s="11" t="s">
        <v>245</v>
      </c>
      <c r="D237" s="11" t="s">
        <v>304</v>
      </c>
      <c r="E237" s="11" t="s">
        <v>126</v>
      </c>
      <c r="F237" s="11" t="s">
        <v>35</v>
      </c>
      <c r="G237" s="14">
        <v>399</v>
      </c>
      <c r="H237" s="17">
        <f>IF(SUMIFS(İndirimler!$C$2:$C$210,İndirimler!$A$2:$A$210,B237,İndirimler!$B$2:$B$210,C237)&gt;0,ROUND(G237*(1-SUMIFS(İndirimler!$C$2:$C$210,İndirimler!$A$2:$A$210,B237,İndirimler!$B$2:$B$210,C237)),2),"")</f>
        <v>339.15</v>
      </c>
      <c r="I237" s="20">
        <f>IF(SUMIFS(İndirimler!$D$2:$D$210,İndirimler!$A$2:$A$210,B237,İndirimler!$B$2:$B$210,C237)&gt;0,ROUND(G237*(1-SUMIFS(İndirimler!$D$2:$D$210,İndirimler!$A$2:$A$210,B237,İndirimler!$B$2:$B$210,C237)),2),"")</f>
        <v>279.3</v>
      </c>
      <c r="J237" s="11"/>
      <c r="K237" s="27"/>
    </row>
    <row r="238" spans="1:11">
      <c r="A238" s="55" t="s">
        <v>399</v>
      </c>
      <c r="B238" s="11" t="s">
        <v>25</v>
      </c>
      <c r="C238" s="11" t="s">
        <v>245</v>
      </c>
      <c r="D238" s="11" t="s">
        <v>304</v>
      </c>
      <c r="E238" s="11" t="s">
        <v>400</v>
      </c>
      <c r="F238" s="11" t="s">
        <v>16</v>
      </c>
      <c r="G238" s="14">
        <v>199</v>
      </c>
      <c r="H238" s="17">
        <f>IF(SUMIFS(İndirimler!$C$2:$C$210,İndirimler!$A$2:$A$210,B238,İndirimler!$B$2:$B$210,C238)&gt;0,ROUND(G238*(1-SUMIFS(İndirimler!$C$2:$C$210,İndirimler!$A$2:$A$210,B238,İndirimler!$B$2:$B$210,C238)),2),"")</f>
        <v>169.15</v>
      </c>
      <c r="I238" s="20">
        <f>IF(SUMIFS(İndirimler!$D$2:$D$210,İndirimler!$A$2:$A$210,B238,İndirimler!$B$2:$B$210,C238)&gt;0,ROUND(G238*(1-SUMIFS(İndirimler!$D$2:$D$210,İndirimler!$A$2:$A$210,B238,İndirimler!$B$2:$B$210,C238)),2),"")</f>
        <v>139.30000000000001</v>
      </c>
      <c r="J238" s="11"/>
      <c r="K238" s="27"/>
    </row>
    <row r="239" spans="1:11">
      <c r="A239" s="55" t="s">
        <v>401</v>
      </c>
      <c r="B239" s="11" t="s">
        <v>38</v>
      </c>
      <c r="C239" s="11" t="s">
        <v>245</v>
      </c>
      <c r="D239" s="11" t="s">
        <v>304</v>
      </c>
      <c r="E239" s="11" t="s">
        <v>250</v>
      </c>
      <c r="F239" s="11" t="s">
        <v>35</v>
      </c>
      <c r="G239" s="14">
        <v>685</v>
      </c>
      <c r="H239" s="17">
        <f>IF(SUMIFS(İndirimler!$C$2:$C$210,İndirimler!$A$2:$A$210,B239,İndirimler!$B$2:$B$210,C239)&gt;0,ROUND(G239*(1-SUMIFS(İndirimler!$C$2:$C$210,İndirimler!$A$2:$A$210,B239,İndirimler!$B$2:$B$210,C239)),2),"")</f>
        <v>582.25</v>
      </c>
      <c r="I239" s="20">
        <f>IF(SUMIFS(İndirimler!$D$2:$D$210,İndirimler!$A$2:$A$210,B239,İndirimler!$B$2:$B$210,C239)&gt;0,ROUND(G239*(1-SUMIFS(İndirimler!$D$2:$D$210,İndirimler!$A$2:$A$210,B239,İndirimler!$B$2:$B$210,C239)),2),"")</f>
        <v>479.5</v>
      </c>
      <c r="J239" s="11" t="s">
        <v>402</v>
      </c>
      <c r="K239" s="27"/>
    </row>
    <row r="240" spans="1:11">
      <c r="A240" s="55" t="s">
        <v>403</v>
      </c>
      <c r="B240" s="11" t="s">
        <v>38</v>
      </c>
      <c r="C240" s="11" t="s">
        <v>245</v>
      </c>
      <c r="D240" s="11" t="s">
        <v>304</v>
      </c>
      <c r="E240" s="11" t="s">
        <v>253</v>
      </c>
      <c r="F240" s="11" t="s">
        <v>35</v>
      </c>
      <c r="G240" s="14">
        <v>685</v>
      </c>
      <c r="H240" s="17">
        <f>IF(SUMIFS(İndirimler!$C$2:$C$210,İndirimler!$A$2:$A$210,B240,İndirimler!$B$2:$B$210,C240)&gt;0,ROUND(G240*(1-SUMIFS(İndirimler!$C$2:$C$210,İndirimler!$A$2:$A$210,B240,İndirimler!$B$2:$B$210,C240)),2),"")</f>
        <v>582.25</v>
      </c>
      <c r="I240" s="20">
        <f>IF(SUMIFS(İndirimler!$D$2:$D$210,İndirimler!$A$2:$A$210,B240,İndirimler!$B$2:$B$210,C240)&gt;0,ROUND(G240*(1-SUMIFS(İndirimler!$D$2:$D$210,İndirimler!$A$2:$A$210,B240,İndirimler!$B$2:$B$210,C240)),2),"")</f>
        <v>479.5</v>
      </c>
      <c r="J240" s="11" t="s">
        <v>404</v>
      </c>
      <c r="K240" s="27"/>
    </row>
    <row r="241" spans="1:11">
      <c r="A241" s="55" t="s">
        <v>405</v>
      </c>
      <c r="B241" s="11" t="s">
        <v>137</v>
      </c>
      <c r="C241" s="11" t="s">
        <v>245</v>
      </c>
      <c r="D241" s="11" t="s">
        <v>304</v>
      </c>
      <c r="E241" s="11" t="s">
        <v>313</v>
      </c>
      <c r="F241" s="11" t="s">
        <v>42</v>
      </c>
      <c r="G241" s="14">
        <v>348</v>
      </c>
      <c r="H241" s="17">
        <f>IF(SUMIFS(İndirimler!$C$2:$C$210,İndirimler!$A$2:$A$210,B241,İndirimler!$B$2:$B$210,C241)&gt;0,ROUND(G241*(1-SUMIFS(İndirimler!$C$2:$C$210,İndirimler!$A$2:$A$210,B241,İndirimler!$B$2:$B$210,C241)),2),"")</f>
        <v>295.8</v>
      </c>
      <c r="I241" s="20">
        <f>IF(SUMIFS(İndirimler!$D$2:$D$210,İndirimler!$A$2:$A$210,B241,İndirimler!$B$2:$B$210,C241)&gt;0,ROUND(G241*(1-SUMIFS(İndirimler!$D$2:$D$210,İndirimler!$A$2:$A$210,B241,İndirimler!$B$2:$B$210,C241)),2),"")</f>
        <v>243.6</v>
      </c>
      <c r="J241" s="11" t="s">
        <v>406</v>
      </c>
      <c r="K241" s="27"/>
    </row>
    <row r="242" spans="1:11">
      <c r="A242" s="55" t="s">
        <v>407</v>
      </c>
      <c r="B242" s="11" t="s">
        <v>50</v>
      </c>
      <c r="C242" s="11" t="s">
        <v>245</v>
      </c>
      <c r="D242" s="11" t="s">
        <v>304</v>
      </c>
      <c r="E242" s="11" t="s">
        <v>51</v>
      </c>
      <c r="F242" s="11" t="s">
        <v>42</v>
      </c>
      <c r="G242" s="14">
        <v>428</v>
      </c>
      <c r="H242" s="17">
        <f>IF(SUMIFS(İndirimler!$C$2:$C$210,İndirimler!$A$2:$A$210,B242,İndirimler!$B$2:$B$210,C242)&gt;0,ROUND(G242*(1-SUMIFS(İndirimler!$C$2:$C$210,İndirimler!$A$2:$A$210,B242,İndirimler!$B$2:$B$210,C242)),2),"")</f>
        <v>363.8</v>
      </c>
      <c r="I242" s="20">
        <f>IF(SUMIFS(İndirimler!$D$2:$D$210,İndirimler!$A$2:$A$210,B242,İndirimler!$B$2:$B$210,C242)&gt;0,ROUND(G242*(1-SUMIFS(İndirimler!$D$2:$D$210,İndirimler!$A$2:$A$210,B242,İndirimler!$B$2:$B$210,C242)),2),"")</f>
        <v>299.60000000000002</v>
      </c>
      <c r="J242" s="11"/>
      <c r="K242" s="27"/>
    </row>
    <row r="243" spans="1:11">
      <c r="A243" s="55" t="s">
        <v>408</v>
      </c>
      <c r="B243" s="11" t="s">
        <v>322</v>
      </c>
      <c r="C243" s="11" t="s">
        <v>245</v>
      </c>
      <c r="D243" s="11" t="s">
        <v>304</v>
      </c>
      <c r="E243" s="11"/>
      <c r="F243" s="11" t="s">
        <v>42</v>
      </c>
      <c r="G243" s="14">
        <v>362</v>
      </c>
      <c r="H243" s="17">
        <f>IF(SUMIFS(İndirimler!$C$2:$C$210,İndirimler!$A$2:$A$210,B243,İndirimler!$B$2:$B$210,C243)&gt;0,ROUND(G243*(1-SUMIFS(İndirimler!$C$2:$C$210,İndirimler!$A$2:$A$210,B243,İndirimler!$B$2:$B$210,C243)),2),"")</f>
        <v>307.7</v>
      </c>
      <c r="I243" s="20">
        <f>IF(SUMIFS(İndirimler!$D$2:$D$210,İndirimler!$A$2:$A$210,B243,İndirimler!$B$2:$B$210,C243)&gt;0,ROUND(G243*(1-SUMIFS(İndirimler!$D$2:$D$210,İndirimler!$A$2:$A$210,B243,İndirimler!$B$2:$B$210,C243)),2),"")</f>
        <v>253.4</v>
      </c>
      <c r="J243" s="11"/>
      <c r="K243" s="27"/>
    </row>
    <row r="244" spans="1:11">
      <c r="A244" s="55" t="s">
        <v>409</v>
      </c>
      <c r="B244" s="11" t="s">
        <v>322</v>
      </c>
      <c r="C244" s="11" t="s">
        <v>245</v>
      </c>
      <c r="D244" s="11" t="s">
        <v>304</v>
      </c>
      <c r="E244" s="11"/>
      <c r="F244" s="11" t="s">
        <v>42</v>
      </c>
      <c r="G244" s="14">
        <v>338</v>
      </c>
      <c r="H244" s="17">
        <f>IF(SUMIFS(İndirimler!$C$2:$C$210,İndirimler!$A$2:$A$210,B244,İndirimler!$B$2:$B$210,C244)&gt;0,ROUND(G244*(1-SUMIFS(İndirimler!$C$2:$C$210,İndirimler!$A$2:$A$210,B244,İndirimler!$B$2:$B$210,C244)),2),"")</f>
        <v>287.3</v>
      </c>
      <c r="I244" s="20">
        <f>IF(SUMIFS(İndirimler!$D$2:$D$210,İndirimler!$A$2:$A$210,B244,İndirimler!$B$2:$B$210,C244)&gt;0,ROUND(G244*(1-SUMIFS(İndirimler!$D$2:$D$210,İndirimler!$A$2:$A$210,B244,İndirimler!$B$2:$B$210,C244)),2),"")</f>
        <v>236.6</v>
      </c>
      <c r="J244" s="11"/>
      <c r="K244" s="27"/>
    </row>
    <row r="245" spans="1:11">
      <c r="A245" s="55" t="s">
        <v>410</v>
      </c>
      <c r="B245" s="11" t="s">
        <v>137</v>
      </c>
      <c r="C245" s="11" t="s">
        <v>13</v>
      </c>
      <c r="D245" s="11" t="s">
        <v>304</v>
      </c>
      <c r="E245" s="11"/>
      <c r="F245" s="11" t="s">
        <v>16</v>
      </c>
      <c r="G245" s="14">
        <v>605</v>
      </c>
      <c r="H245" s="17">
        <f>IF(SUMIFS(İndirimler!$C$2:$C$210,İndirimler!$A$2:$A$210,B245,İndirimler!$B$2:$B$210,C245)&gt;0,ROUND(G245*(1-SUMIFS(İndirimler!$C$2:$C$210,İndirimler!$A$2:$A$210,B245,İndirimler!$B$2:$B$210,C245)),2),"")</f>
        <v>514.25</v>
      </c>
      <c r="I245" s="20">
        <f>IF(SUMIFS(İndirimler!$D$2:$D$210,İndirimler!$A$2:$A$210,B245,İndirimler!$B$2:$B$210,C245)&gt;0,ROUND(G245*(1-SUMIFS(İndirimler!$D$2:$D$210,İndirimler!$A$2:$A$210,B245,İndirimler!$B$2:$B$210,C245)),2),"")</f>
        <v>423.5</v>
      </c>
      <c r="J245" s="11"/>
      <c r="K245" s="27"/>
    </row>
    <row r="246" spans="1:11">
      <c r="A246" s="55" t="s">
        <v>411</v>
      </c>
      <c r="B246" s="11" t="s">
        <v>18</v>
      </c>
      <c r="C246" s="11" t="s">
        <v>13</v>
      </c>
      <c r="D246" s="11" t="s">
        <v>304</v>
      </c>
      <c r="E246" s="11"/>
      <c r="F246" s="11" t="s">
        <v>16</v>
      </c>
      <c r="G246" s="14">
        <v>499</v>
      </c>
      <c r="H246" s="17">
        <f>IF(SUMIFS(İndirimler!$C$2:$C$210,İndirimler!$A$2:$A$210,B246,İndirimler!$B$2:$B$210,C246)&gt;0,ROUND(G246*(1-SUMIFS(İndirimler!$C$2:$C$210,İndirimler!$A$2:$A$210,B246,İndirimler!$B$2:$B$210,C246)),2),"")</f>
        <v>424.15</v>
      </c>
      <c r="I246" s="20">
        <f>IF(SUMIFS(İndirimler!$D$2:$D$210,İndirimler!$A$2:$A$210,B246,İndirimler!$B$2:$B$210,C246)&gt;0,ROUND(G246*(1-SUMIFS(İndirimler!$D$2:$D$210,İndirimler!$A$2:$A$210,B246,İndirimler!$B$2:$B$210,C246)),2),"")</f>
        <v>349.3</v>
      </c>
      <c r="J246" s="11" t="s">
        <v>293</v>
      </c>
      <c r="K246" s="27"/>
    </row>
    <row r="247" spans="1:11">
      <c r="A247" s="55" t="s">
        <v>412</v>
      </c>
      <c r="B247" s="11" t="s">
        <v>330</v>
      </c>
      <c r="C247" s="11" t="s">
        <v>13</v>
      </c>
      <c r="D247" s="11" t="s">
        <v>304</v>
      </c>
      <c r="E247" s="11"/>
      <c r="F247" s="11" t="s">
        <v>16</v>
      </c>
      <c r="G247" s="14"/>
      <c r="H247" s="17">
        <f>IF(SUMIFS(İndirimler!$C$2:$C$210,İndirimler!$A$2:$A$210,B247,İndirimler!$B$2:$B$210,C247)&gt;0,ROUND(G247*(1-SUMIFS(İndirimler!$C$2:$C$210,İndirimler!$A$2:$A$210,B247,İndirimler!$B$2:$B$210,C247)),2),"")</f>
        <v>0</v>
      </c>
      <c r="I247" s="20">
        <f>IF(SUMIFS(İndirimler!$D$2:$D$210,İndirimler!$A$2:$A$210,B247,İndirimler!$B$2:$B$210,C247)&gt;0,ROUND(G247*(1-SUMIFS(İndirimler!$D$2:$D$210,İndirimler!$A$2:$A$210,B247,İndirimler!$B$2:$B$210,C247)),2),"")</f>
        <v>0</v>
      </c>
      <c r="J247" s="11"/>
      <c r="K247" s="27"/>
    </row>
    <row r="248" spans="1:11">
      <c r="A248" s="55" t="s">
        <v>413</v>
      </c>
      <c r="B248" s="11" t="s">
        <v>303</v>
      </c>
      <c r="C248" s="11" t="s">
        <v>13</v>
      </c>
      <c r="D248" s="11" t="s">
        <v>304</v>
      </c>
      <c r="E248" s="11"/>
      <c r="F248" s="11" t="s">
        <v>16</v>
      </c>
      <c r="G248" s="14"/>
      <c r="H248" s="17">
        <f>IF(SUMIFS(İndirimler!$C$2:$C$210,İndirimler!$A$2:$A$210,B248,İndirimler!$B$2:$B$210,C248)&gt;0,ROUND(G248*(1-SUMIFS(İndirimler!$C$2:$C$210,İndirimler!$A$2:$A$210,B248,İndirimler!$B$2:$B$210,C248)),2),"")</f>
        <v>0</v>
      </c>
      <c r="I248" s="20">
        <f>IF(SUMIFS(İndirimler!$D$2:$D$210,İndirimler!$A$2:$A$210,B248,İndirimler!$B$2:$B$210,C248)&gt;0,ROUND(G248*(1-SUMIFS(İndirimler!$D$2:$D$210,İndirimler!$A$2:$A$210,B248,İndirimler!$B$2:$B$210,C248)),2),"")</f>
        <v>0</v>
      </c>
      <c r="J248" s="11"/>
      <c r="K248" s="27"/>
    </row>
    <row r="249" spans="1:11">
      <c r="A249" s="55" t="s">
        <v>414</v>
      </c>
      <c r="B249" s="11" t="s">
        <v>23</v>
      </c>
      <c r="C249" s="11" t="s">
        <v>13</v>
      </c>
      <c r="D249" s="11" t="s">
        <v>304</v>
      </c>
      <c r="E249" s="11"/>
      <c r="F249" s="11" t="s">
        <v>16</v>
      </c>
      <c r="G249" s="14">
        <v>478</v>
      </c>
      <c r="H249" s="17">
        <f>IF(SUMIFS(İndirimler!$C$2:$C$210,İndirimler!$A$2:$A$210,B249,İndirimler!$B$2:$B$210,C249)&gt;0,ROUND(G249*(1-SUMIFS(İndirimler!$C$2:$C$210,İndirimler!$A$2:$A$210,B249,İndirimler!$B$2:$B$210,C249)),2),"")</f>
        <v>406.3</v>
      </c>
      <c r="I249" s="20">
        <f>IF(SUMIFS(İndirimler!$D$2:$D$210,İndirimler!$A$2:$A$210,B249,İndirimler!$B$2:$B$210,C249)&gt;0,ROUND(G249*(1-SUMIFS(İndirimler!$D$2:$D$210,İndirimler!$A$2:$A$210,B249,İndirimler!$B$2:$B$210,C249)),2),"")</f>
        <v>334.6</v>
      </c>
      <c r="J249" s="11"/>
      <c r="K249" s="27"/>
    </row>
    <row r="250" spans="1:11">
      <c r="A250" s="55" t="s">
        <v>415</v>
      </c>
      <c r="B250" s="11" t="s">
        <v>25</v>
      </c>
      <c r="C250" s="11" t="s">
        <v>13</v>
      </c>
      <c r="D250" s="11" t="s">
        <v>304</v>
      </c>
      <c r="E250" s="11" t="s">
        <v>28</v>
      </c>
      <c r="F250" s="11" t="s">
        <v>16</v>
      </c>
      <c r="G250" s="14"/>
      <c r="H250" s="17">
        <f>IF(SUMIFS(İndirimler!$C$2:$C$210,İndirimler!$A$2:$A$210,B250,İndirimler!$B$2:$B$210,C250)&gt;0,ROUND(G250*(1-SUMIFS(İndirimler!$C$2:$C$210,İndirimler!$A$2:$A$210,B250,İndirimler!$B$2:$B$210,C250)),2),"")</f>
        <v>0</v>
      </c>
      <c r="I250" s="20">
        <f>IF(SUMIFS(İndirimler!$D$2:$D$210,İndirimler!$A$2:$A$210,B250,İndirimler!$B$2:$B$210,C250)&gt;0,ROUND(G250*(1-SUMIFS(İndirimler!$D$2:$D$210,İndirimler!$A$2:$A$210,B250,İndirimler!$B$2:$B$210,C250)),2),"")</f>
        <v>0</v>
      </c>
      <c r="J250" s="11"/>
      <c r="K250" s="27"/>
    </row>
    <row r="251" spans="1:11">
      <c r="A251" s="55" t="s">
        <v>416</v>
      </c>
      <c r="B251" s="11" t="s">
        <v>50</v>
      </c>
      <c r="C251" s="11" t="s">
        <v>13</v>
      </c>
      <c r="D251" s="11" t="s">
        <v>304</v>
      </c>
      <c r="E251" s="11"/>
      <c r="F251" s="11" t="s">
        <v>16</v>
      </c>
      <c r="G251" s="14">
        <v>504</v>
      </c>
      <c r="H251" s="17">
        <f>IF(SUMIFS(İndirimler!$C$2:$C$210,İndirimler!$A$2:$A$210,B251,İndirimler!$B$2:$B$210,C251)&gt;0,ROUND(G251*(1-SUMIFS(İndirimler!$C$2:$C$210,İndirimler!$A$2:$A$210,B251,İndirimler!$B$2:$B$210,C251)),2),"")</f>
        <v>428.4</v>
      </c>
      <c r="I251" s="20">
        <f>IF(SUMIFS(İndirimler!$D$2:$D$210,İndirimler!$A$2:$A$210,B251,İndirimler!$B$2:$B$210,C251)&gt;0,ROUND(G251*(1-SUMIFS(İndirimler!$D$2:$D$210,İndirimler!$A$2:$A$210,B251,İndirimler!$B$2:$B$210,C251)),2),"")</f>
        <v>352.8</v>
      </c>
      <c r="J251" s="11"/>
      <c r="K251" s="27"/>
    </row>
    <row r="252" spans="1:11">
      <c r="A252" s="55" t="s">
        <v>417</v>
      </c>
      <c r="B252" s="11" t="s">
        <v>894</v>
      </c>
      <c r="C252" s="11" t="s">
        <v>13</v>
      </c>
      <c r="D252" s="11" t="s">
        <v>304</v>
      </c>
      <c r="E252" s="11"/>
      <c r="F252" s="11" t="s">
        <v>16</v>
      </c>
      <c r="G252" s="14">
        <v>499</v>
      </c>
      <c r="H252" s="17">
        <f>IF(SUMIFS(İndirimler!$C$2:$C$210,İndirimler!$A$2:$A$210,B252,İndirimler!$B$2:$B$210,C252)&gt;0,ROUND(G252*(1-SUMIFS(İndirimler!$C$2:$C$210,İndirimler!$A$2:$A$210,B252,İndirimler!$B$2:$B$210,C252)),2),"")</f>
        <v>424.15</v>
      </c>
      <c r="I252" s="20">
        <f>IF(SUMIFS(İndirimler!$D$2:$D$210,İndirimler!$A$2:$A$210,B252,İndirimler!$B$2:$B$210,C252)&gt;0,ROUND(G252*(1-SUMIFS(İndirimler!$D$2:$D$210,İndirimler!$A$2:$A$210,B252,İndirimler!$B$2:$B$210,C252)),2),"")</f>
        <v>349.3</v>
      </c>
      <c r="J252" s="11"/>
      <c r="K252" s="27"/>
    </row>
    <row r="253" spans="1:11">
      <c r="A253" s="55" t="s">
        <v>418</v>
      </c>
      <c r="B253" s="11" t="s">
        <v>894</v>
      </c>
      <c r="C253" s="11" t="s">
        <v>13</v>
      </c>
      <c r="D253" s="11" t="s">
        <v>304</v>
      </c>
      <c r="E253" s="11"/>
      <c r="F253" s="11" t="s">
        <v>16</v>
      </c>
      <c r="G253" s="14"/>
      <c r="H253" s="17">
        <f>IF(SUMIFS(İndirimler!$C$2:$C$210,İndirimler!$A$2:$A$210,B253,İndirimler!$B$2:$B$210,C253)&gt;0,ROUND(G253*(1-SUMIFS(İndirimler!$C$2:$C$210,İndirimler!$A$2:$A$210,B253,İndirimler!$B$2:$B$210,C253)),2),"")</f>
        <v>0</v>
      </c>
      <c r="I253" s="20">
        <f>IF(SUMIFS(İndirimler!$D$2:$D$210,İndirimler!$A$2:$A$210,B253,İndirimler!$B$2:$B$210,C253)&gt;0,ROUND(G253*(1-SUMIFS(İndirimler!$D$2:$D$210,İndirimler!$A$2:$A$210,B253,İndirimler!$B$2:$B$210,C253)),2),"")</f>
        <v>0</v>
      </c>
      <c r="J253" s="11"/>
      <c r="K253" s="27"/>
    </row>
    <row r="254" spans="1:11">
      <c r="A254" s="55" t="s">
        <v>419</v>
      </c>
      <c r="B254" s="11" t="s">
        <v>38</v>
      </c>
      <c r="C254" s="11" t="s">
        <v>13</v>
      </c>
      <c r="D254" s="11" t="s">
        <v>304</v>
      </c>
      <c r="E254" s="11" t="s">
        <v>69</v>
      </c>
      <c r="F254" s="11" t="s">
        <v>16</v>
      </c>
      <c r="G254" s="14">
        <v>365</v>
      </c>
      <c r="H254" s="17">
        <f>IF(SUMIFS(İndirimler!$C$2:$C$210,İndirimler!$A$2:$A$210,B254,İndirimler!$B$2:$B$210,C254)&gt;0,ROUND(G254*(1-SUMIFS(İndirimler!$C$2:$C$210,İndirimler!$A$2:$A$210,B254,İndirimler!$B$2:$B$210,C254)),2),"")</f>
        <v>310.25</v>
      </c>
      <c r="I254" s="20">
        <f>IF(SUMIFS(İndirimler!$D$2:$D$210,İndirimler!$A$2:$A$210,B254,İndirimler!$B$2:$B$210,C254)&gt;0,ROUND(G254*(1-SUMIFS(İndirimler!$D$2:$D$210,İndirimler!$A$2:$A$210,B254,İndirimler!$B$2:$B$210,C254)),2),"")</f>
        <v>255.5</v>
      </c>
      <c r="J254" s="11"/>
      <c r="K254" s="27"/>
    </row>
    <row r="255" spans="1:11">
      <c r="A255" s="55" t="s">
        <v>420</v>
      </c>
      <c r="B255" s="11" t="s">
        <v>421</v>
      </c>
      <c r="C255" s="11" t="s">
        <v>33</v>
      </c>
      <c r="D255" s="11" t="s">
        <v>422</v>
      </c>
      <c r="E255" s="11" t="s">
        <v>423</v>
      </c>
      <c r="F255" s="11" t="s">
        <v>35</v>
      </c>
      <c r="G255" s="14">
        <v>649</v>
      </c>
      <c r="H255" s="17">
        <f>IF(SUMIFS(İndirimler!$C$2:$C$210,İndirimler!$A$2:$A$210,B255,İndirimler!$B$2:$B$210,C255)&gt;0,ROUND(G255*(1-SUMIFS(İndirimler!$C$2:$C$210,İndirimler!$A$2:$A$210,B255,İndirimler!$B$2:$B$210,C255)),2),"")</f>
        <v>551.65</v>
      </c>
      <c r="I255" s="20">
        <f>IF(SUMIFS(İndirimler!$D$2:$D$210,İndirimler!$A$2:$A$210,B255,İndirimler!$B$2:$B$210,C255)&gt;0,ROUND(G255*(1-SUMIFS(İndirimler!$D$2:$D$210,İndirimler!$A$2:$A$210,B255,İndirimler!$B$2:$B$210,C255)),2),"")</f>
        <v>454.3</v>
      </c>
      <c r="J255" s="11" t="s">
        <v>424</v>
      </c>
      <c r="K255" s="27"/>
    </row>
    <row r="256" spans="1:11">
      <c r="A256" s="55" t="s">
        <v>425</v>
      </c>
      <c r="B256" s="11" t="s">
        <v>32</v>
      </c>
      <c r="C256" s="11" t="s">
        <v>33</v>
      </c>
      <c r="D256" s="11" t="s">
        <v>422</v>
      </c>
      <c r="E256" s="11"/>
      <c r="F256" s="11" t="s">
        <v>35</v>
      </c>
      <c r="G256" s="14">
        <v>499</v>
      </c>
      <c r="H256" s="17">
        <f>IF(SUMIFS(İndirimler!$C$2:$C$210,İndirimler!$A$2:$A$210,B256,İndirimler!$B$2:$B$210,C256)&gt;0,ROUND(G256*(1-SUMIFS(İndirimler!$C$2:$C$210,İndirimler!$A$2:$A$210,B256,İndirimler!$B$2:$B$210,C256)),2),"")</f>
        <v>424.15</v>
      </c>
      <c r="I256" s="20">
        <f>IF(SUMIFS(İndirimler!$D$2:$D$210,İndirimler!$A$2:$A$210,B256,İndirimler!$B$2:$B$210,C256)&gt;0,ROUND(G256*(1-SUMIFS(İndirimler!$D$2:$D$210,İndirimler!$A$2:$A$210,B256,İndirimler!$B$2:$B$210,C256)),2),"")</f>
        <v>349.3</v>
      </c>
      <c r="J256" s="26" t="s">
        <v>426</v>
      </c>
      <c r="K256" s="27"/>
    </row>
    <row r="257" spans="1:11">
      <c r="A257" s="55" t="s">
        <v>427</v>
      </c>
      <c r="B257" s="11" t="s">
        <v>38</v>
      </c>
      <c r="C257" s="11" t="s">
        <v>33</v>
      </c>
      <c r="D257" s="11" t="s">
        <v>422</v>
      </c>
      <c r="E257" s="11"/>
      <c r="F257" s="11" t="s">
        <v>35</v>
      </c>
      <c r="G257" s="14">
        <v>615</v>
      </c>
      <c r="H257" s="17">
        <f>IF(SUMIFS(İndirimler!$C$2:$C$210,İndirimler!$A$2:$A$210,B257,İndirimler!$B$2:$B$210,C257)&gt;0,ROUND(G257*(1-SUMIFS(İndirimler!$C$2:$C$210,İndirimler!$A$2:$A$210,B257,İndirimler!$B$2:$B$210,C257)),2),"")</f>
        <v>522.75</v>
      </c>
      <c r="I257" s="20">
        <f>IF(SUMIFS(İndirimler!$D$2:$D$210,İndirimler!$A$2:$A$210,B257,İndirimler!$B$2:$B$210,C257)&gt;0,ROUND(G257*(1-SUMIFS(İndirimler!$D$2:$D$210,İndirimler!$A$2:$A$210,B257,İndirimler!$B$2:$B$210,C257)),2),"")</f>
        <v>430.5</v>
      </c>
      <c r="J257" s="26" t="s">
        <v>428</v>
      </c>
      <c r="K257" s="27"/>
    </row>
    <row r="258" spans="1:11">
      <c r="A258" s="55" t="s">
        <v>429</v>
      </c>
      <c r="B258" s="11" t="s">
        <v>137</v>
      </c>
      <c r="C258" s="11" t="s">
        <v>33</v>
      </c>
      <c r="D258" s="11" t="s">
        <v>422</v>
      </c>
      <c r="E258" s="11" t="s">
        <v>313</v>
      </c>
      <c r="F258" s="11" t="s">
        <v>42</v>
      </c>
      <c r="G258" s="14">
        <v>515</v>
      </c>
      <c r="H258" s="17">
        <f>IF(SUMIFS(İndirimler!$C$2:$C$210,İndirimler!$A$2:$A$210,B258,İndirimler!$B$2:$B$210,C258)&gt;0,ROUND(G258*(1-SUMIFS(İndirimler!$C$2:$C$210,İndirimler!$A$2:$A$210,B258,İndirimler!$B$2:$B$210,C258)),2),"")</f>
        <v>437.75</v>
      </c>
      <c r="I258" s="20">
        <f>IF(SUMIFS(İndirimler!$D$2:$D$210,İndirimler!$A$2:$A$210,B258,İndirimler!$B$2:$B$210,C258)&gt;0,ROUND(G258*(1-SUMIFS(İndirimler!$D$2:$D$210,İndirimler!$A$2:$A$210,B258,İndirimler!$B$2:$B$210,C258)),2),"")</f>
        <v>360.5</v>
      </c>
      <c r="J258" s="26" t="s">
        <v>430</v>
      </c>
      <c r="K258" s="27"/>
    </row>
    <row r="259" spans="1:11">
      <c r="A259" s="55" t="s">
        <v>431</v>
      </c>
      <c r="B259" s="11" t="s">
        <v>18</v>
      </c>
      <c r="C259" s="11" t="s">
        <v>33</v>
      </c>
      <c r="D259" s="11" t="s">
        <v>422</v>
      </c>
      <c r="E259" s="11" t="s">
        <v>41</v>
      </c>
      <c r="F259" s="11" t="s">
        <v>42</v>
      </c>
      <c r="G259" s="14"/>
      <c r="H259" s="17">
        <f>IF(SUMIFS(İndirimler!$C$2:$C$210,İndirimler!$A$2:$A$210,B259,İndirimler!$B$2:$B$210,C259)&gt;0,ROUND(G259*(1-SUMIFS(İndirimler!$C$2:$C$210,İndirimler!$A$2:$A$210,B259,İndirimler!$B$2:$B$210,C259)),2),"")</f>
        <v>0</v>
      </c>
      <c r="I259" s="20">
        <f>IF(SUMIFS(İndirimler!$D$2:$D$210,İndirimler!$A$2:$A$210,B259,İndirimler!$B$2:$B$210,C259)&gt;0,ROUND(G259*(1-SUMIFS(İndirimler!$D$2:$D$210,İndirimler!$A$2:$A$210,B259,İndirimler!$B$2:$B$210,C259)),2),"")</f>
        <v>0</v>
      </c>
      <c r="J259" s="11"/>
      <c r="K259" s="27"/>
    </row>
    <row r="260" spans="1:11">
      <c r="A260" s="55" t="s">
        <v>432</v>
      </c>
      <c r="B260" s="11" t="s">
        <v>44</v>
      </c>
      <c r="C260" s="11" t="s">
        <v>33</v>
      </c>
      <c r="D260" s="11" t="s">
        <v>422</v>
      </c>
      <c r="E260" s="11" t="s">
        <v>45</v>
      </c>
      <c r="F260" s="11" t="s">
        <v>42</v>
      </c>
      <c r="G260" s="14">
        <v>376</v>
      </c>
      <c r="H260" s="17">
        <f>IF(SUMIFS(İndirimler!$C$2:$C$210,İndirimler!$A$2:$A$210,B260,İndirimler!$B$2:$B$210,C260)&gt;0,ROUND(G260*(1-SUMIFS(İndirimler!$C$2:$C$210,İndirimler!$A$2:$A$210,B260,İndirimler!$B$2:$B$210,C260)),2),"")</f>
        <v>319.60000000000002</v>
      </c>
      <c r="I260" s="20">
        <f>IF(SUMIFS(İndirimler!$D$2:$D$210,İndirimler!$A$2:$A$210,B260,İndirimler!$B$2:$B$210,C260)&gt;0,ROUND(G260*(1-SUMIFS(İndirimler!$D$2:$D$210,İndirimler!$A$2:$A$210,B260,İndirimler!$B$2:$B$210,C260)),2),"")</f>
        <v>263.2</v>
      </c>
      <c r="J260" s="11" t="s">
        <v>433</v>
      </c>
      <c r="K260" s="27"/>
    </row>
    <row r="261" spans="1:11">
      <c r="A261" s="55" t="s">
        <v>434</v>
      </c>
      <c r="B261" s="11" t="s">
        <v>23</v>
      </c>
      <c r="C261" s="11" t="s">
        <v>33</v>
      </c>
      <c r="D261" s="11" t="s">
        <v>422</v>
      </c>
      <c r="E261" s="11"/>
      <c r="F261" s="11" t="s">
        <v>42</v>
      </c>
      <c r="G261" s="14">
        <v>548</v>
      </c>
      <c r="H261" s="17">
        <f>IF(SUMIFS(İndirimler!$C$2:$C$210,İndirimler!$A$2:$A$210,B261,İndirimler!$B$2:$B$210,C261)&gt;0,ROUND(G261*(1-SUMIFS(İndirimler!$C$2:$C$210,İndirimler!$A$2:$A$210,B261,İndirimler!$B$2:$B$210,C261)),2),"")</f>
        <v>465.8</v>
      </c>
      <c r="I261" s="20">
        <f>IF(SUMIFS(İndirimler!$D$2:$D$210,İndirimler!$A$2:$A$210,B261,İndirimler!$B$2:$B$210,C261)&gt;0,ROUND(G261*(1-SUMIFS(İndirimler!$D$2:$D$210,İndirimler!$A$2:$A$210,B261,İndirimler!$B$2:$B$210,C261)),2),"")</f>
        <v>383.6</v>
      </c>
      <c r="J261" s="26" t="s">
        <v>435</v>
      </c>
      <c r="K261" s="27"/>
    </row>
    <row r="262" spans="1:11">
      <c r="A262" s="55" t="s">
        <v>436</v>
      </c>
      <c r="B262" s="11" t="s">
        <v>50</v>
      </c>
      <c r="C262" s="11" t="s">
        <v>33</v>
      </c>
      <c r="D262" s="11" t="s">
        <v>422</v>
      </c>
      <c r="E262" s="11" t="s">
        <v>51</v>
      </c>
      <c r="F262" s="11" t="s">
        <v>42</v>
      </c>
      <c r="G262" s="14">
        <v>720</v>
      </c>
      <c r="H262" s="17">
        <f>IF(SUMIFS(İndirimler!$C$2:$C$210,İndirimler!$A$2:$A$210,B262,İndirimler!$B$2:$B$210,C262)&gt;0,ROUND(G262*(1-SUMIFS(İndirimler!$C$2:$C$210,İndirimler!$A$2:$A$210,B262,İndirimler!$B$2:$B$210,C262)),2),"")</f>
        <v>612</v>
      </c>
      <c r="I262" s="20">
        <f>IF(SUMIFS(İndirimler!$D$2:$D$210,İndirimler!$A$2:$A$210,B262,İndirimler!$B$2:$B$210,C262)&gt;0,ROUND(G262*(1-SUMIFS(İndirimler!$D$2:$D$210,İndirimler!$A$2:$A$210,B262,İndirimler!$B$2:$B$210,C262)),2),"")</f>
        <v>504</v>
      </c>
      <c r="J262" s="11"/>
      <c r="K262" s="27"/>
    </row>
    <row r="263" spans="1:11">
      <c r="A263" s="55" t="s">
        <v>437</v>
      </c>
      <c r="B263" s="11" t="s">
        <v>438</v>
      </c>
      <c r="C263" s="11" t="s">
        <v>33</v>
      </c>
      <c r="D263" s="11" t="s">
        <v>422</v>
      </c>
      <c r="E263" s="11"/>
      <c r="F263" s="11" t="s">
        <v>42</v>
      </c>
      <c r="G263" s="14"/>
      <c r="H263" s="17">
        <f>IF(SUMIFS(İndirimler!$C$2:$C$210,İndirimler!$A$2:$A$210,B263,İndirimler!$B$2:$B$210,C263)&gt;0,ROUND(G263*(1-SUMIFS(İndirimler!$C$2:$C$210,İndirimler!$A$2:$A$210,B263,İndirimler!$B$2:$B$210,C263)),2),"")</f>
        <v>0</v>
      </c>
      <c r="I263" s="20">
        <f>IF(SUMIFS(İndirimler!$D$2:$D$210,İndirimler!$A$2:$A$210,B263,İndirimler!$B$2:$B$210,C263)&gt;0,ROUND(G263*(1-SUMIFS(İndirimler!$D$2:$D$210,İndirimler!$A$2:$A$210,B263,İndirimler!$B$2:$B$210,C263)),2),"")</f>
        <v>0</v>
      </c>
      <c r="J263" s="11"/>
      <c r="K263" s="27"/>
    </row>
    <row r="264" spans="1:11">
      <c r="A264" s="55" t="s">
        <v>439</v>
      </c>
      <c r="B264" s="11" t="s">
        <v>55</v>
      </c>
      <c r="C264" s="11" t="s">
        <v>33</v>
      </c>
      <c r="D264" s="11" t="s">
        <v>422</v>
      </c>
      <c r="E264" s="11"/>
      <c r="F264" s="11" t="s">
        <v>16</v>
      </c>
      <c r="G264" s="14">
        <v>366</v>
      </c>
      <c r="H264" s="17">
        <f>IF(SUMIFS(İndirimler!$C$2:$C$210,İndirimler!$A$2:$A$210,B264,İndirimler!$B$2:$B$210,C264)&gt;0,ROUND(G264*(1-SUMIFS(İndirimler!$C$2:$C$210,İndirimler!$A$2:$A$210,B264,İndirimler!$B$2:$B$210,C264)),2),"")</f>
        <v>311.10000000000002</v>
      </c>
      <c r="I264" s="20">
        <f>IF(SUMIFS(İndirimler!$D$2:$D$210,İndirimler!$A$2:$A$210,B264,İndirimler!$B$2:$B$210,C264)&gt;0,ROUND(G264*(1-SUMIFS(İndirimler!$D$2:$D$210,İndirimler!$A$2:$A$210,B264,İndirimler!$B$2:$B$210,C264)),2),"")</f>
        <v>256.2</v>
      </c>
      <c r="J264" s="11" t="s">
        <v>440</v>
      </c>
      <c r="K264" s="27"/>
    </row>
    <row r="265" spans="1:11">
      <c r="A265" s="55" t="s">
        <v>441</v>
      </c>
      <c r="B265" s="11" t="s">
        <v>137</v>
      </c>
      <c r="C265" s="11" t="s">
        <v>33</v>
      </c>
      <c r="D265" s="11" t="s">
        <v>422</v>
      </c>
      <c r="E265" s="11"/>
      <c r="F265" s="11" t="s">
        <v>16</v>
      </c>
      <c r="G265" s="14">
        <v>592</v>
      </c>
      <c r="H265" s="17">
        <f>IF(SUMIFS(İndirimler!$C$2:$C$210,İndirimler!$A$2:$A$210,B265,İndirimler!$B$2:$B$210,C265)&gt;0,ROUND(G265*(1-SUMIFS(İndirimler!$C$2:$C$210,İndirimler!$A$2:$A$210,B265,İndirimler!$B$2:$B$210,C265)),2),"")</f>
        <v>503.2</v>
      </c>
      <c r="I265" s="20">
        <f>IF(SUMIFS(İndirimler!$D$2:$D$210,İndirimler!$A$2:$A$210,B265,İndirimler!$B$2:$B$210,C265)&gt;0,ROUND(G265*(1-SUMIFS(İndirimler!$D$2:$D$210,İndirimler!$A$2:$A$210,B265,İndirimler!$B$2:$B$210,C265)),2),"")</f>
        <v>414.4</v>
      </c>
      <c r="J265" s="26" t="s">
        <v>442</v>
      </c>
      <c r="K265" s="27"/>
    </row>
    <row r="266" spans="1:11">
      <c r="A266" s="55" t="s">
        <v>443</v>
      </c>
      <c r="B266" s="11" t="s">
        <v>18</v>
      </c>
      <c r="C266" s="11" t="s">
        <v>33</v>
      </c>
      <c r="D266" s="11" t="s">
        <v>422</v>
      </c>
      <c r="E266" s="11"/>
      <c r="F266" s="11" t="s">
        <v>16</v>
      </c>
      <c r="G266" s="14">
        <v>479</v>
      </c>
      <c r="H266" s="17">
        <f>IF(SUMIFS(İndirimler!$C$2:$C$210,İndirimler!$A$2:$A$210,B266,İndirimler!$B$2:$B$210,C266)&gt;0,ROUND(G266*(1-SUMIFS(İndirimler!$C$2:$C$210,İndirimler!$A$2:$A$210,B266,İndirimler!$B$2:$B$210,C266)),2),"")</f>
        <v>407.15</v>
      </c>
      <c r="I266" s="20">
        <f>IF(SUMIFS(İndirimler!$D$2:$D$210,İndirimler!$A$2:$A$210,B266,İndirimler!$B$2:$B$210,C266)&gt;0,ROUND(G266*(1-SUMIFS(İndirimler!$D$2:$D$210,İndirimler!$A$2:$A$210,B266,İndirimler!$B$2:$B$210,C266)),2),"")</f>
        <v>335.3</v>
      </c>
      <c r="J266" s="26" t="s">
        <v>444</v>
      </c>
      <c r="K266" s="27"/>
    </row>
    <row r="267" spans="1:11">
      <c r="A267" s="55" t="s">
        <v>445</v>
      </c>
      <c r="B267" s="11" t="s">
        <v>44</v>
      </c>
      <c r="C267" s="11" t="s">
        <v>33</v>
      </c>
      <c r="D267" s="11" t="s">
        <v>422</v>
      </c>
      <c r="E267" s="11" t="s">
        <v>60</v>
      </c>
      <c r="F267" s="11" t="s">
        <v>16</v>
      </c>
      <c r="G267" s="14">
        <v>274</v>
      </c>
      <c r="H267" s="17">
        <f>IF(SUMIFS(İndirimler!$C$2:$C$210,İndirimler!$A$2:$A$210,B267,İndirimler!$B$2:$B$210,C267)&gt;0,ROUND(G267*(1-SUMIFS(İndirimler!$C$2:$C$210,İndirimler!$A$2:$A$210,B267,İndirimler!$B$2:$B$210,C267)),2),"")</f>
        <v>232.9</v>
      </c>
      <c r="I267" s="20">
        <f>IF(SUMIFS(İndirimler!$D$2:$D$210,İndirimler!$A$2:$A$210,B267,İndirimler!$B$2:$B$210,C267)&gt;0,ROUND(G267*(1-SUMIFS(İndirimler!$D$2:$D$210,İndirimler!$A$2:$A$210,B267,İndirimler!$B$2:$B$210,C267)),2),"")</f>
        <v>191.8</v>
      </c>
      <c r="J267" s="11" t="s">
        <v>446</v>
      </c>
      <c r="K267" s="27"/>
    </row>
    <row r="268" spans="1:11">
      <c r="A268" s="55" t="s">
        <v>447</v>
      </c>
      <c r="B268" s="11" t="s">
        <v>63</v>
      </c>
      <c r="C268" s="11" t="s">
        <v>33</v>
      </c>
      <c r="D268" s="11" t="s">
        <v>422</v>
      </c>
      <c r="E268" s="11" t="s">
        <v>64</v>
      </c>
      <c r="F268" s="11" t="s">
        <v>16</v>
      </c>
      <c r="G268" s="14">
        <v>475</v>
      </c>
      <c r="H268" s="17">
        <f>IF(SUMIFS(İndirimler!$C$2:$C$210,İndirimler!$A$2:$A$210,B268,İndirimler!$B$2:$B$210,C268)&gt;0,ROUND(G268*(1-SUMIFS(İndirimler!$C$2:$C$210,İndirimler!$A$2:$A$210,B268,İndirimler!$B$2:$B$210,C268)),2),"")</f>
        <v>403.75</v>
      </c>
      <c r="I268" s="20">
        <f>IF(SUMIFS(İndirimler!$D$2:$D$210,İndirimler!$A$2:$A$210,B268,İndirimler!$B$2:$B$210,C268)&gt;0,ROUND(G268*(1-SUMIFS(İndirimler!$D$2:$D$210,İndirimler!$A$2:$A$210,B268,İndirimler!$B$2:$B$210,C268)),2),"")</f>
        <v>332.5</v>
      </c>
      <c r="J268" s="11" t="s">
        <v>448</v>
      </c>
      <c r="K268" s="27"/>
    </row>
    <row r="269" spans="1:11">
      <c r="A269" s="55" t="s">
        <v>449</v>
      </c>
      <c r="B269" s="11" t="s">
        <v>23</v>
      </c>
      <c r="C269" s="11" t="s">
        <v>33</v>
      </c>
      <c r="D269" s="11" t="s">
        <v>422</v>
      </c>
      <c r="E269" s="11"/>
      <c r="F269" s="11" t="s">
        <v>16</v>
      </c>
      <c r="G269" s="14">
        <v>548</v>
      </c>
      <c r="H269" s="17">
        <f>IF(SUMIFS(İndirimler!$C$2:$C$210,İndirimler!$A$2:$A$210,B269,İndirimler!$B$2:$B$210,C269)&gt;0,ROUND(G269*(1-SUMIFS(İndirimler!$C$2:$C$210,İndirimler!$A$2:$A$210,B269,İndirimler!$B$2:$B$210,C269)),2),"")</f>
        <v>465.8</v>
      </c>
      <c r="I269" s="20">
        <f>IF(SUMIFS(İndirimler!$D$2:$D$210,İndirimler!$A$2:$A$210,B269,İndirimler!$B$2:$B$210,C269)&gt;0,ROUND(G269*(1-SUMIFS(İndirimler!$D$2:$D$210,İndirimler!$A$2:$A$210,B269,İndirimler!$B$2:$B$210,C269)),2),"")</f>
        <v>383.6</v>
      </c>
      <c r="J269" s="26" t="s">
        <v>450</v>
      </c>
      <c r="K269" s="27"/>
    </row>
    <row r="270" spans="1:11">
      <c r="A270" s="55" t="s">
        <v>451</v>
      </c>
      <c r="B270" s="11" t="s">
        <v>50</v>
      </c>
      <c r="C270" s="11" t="s">
        <v>33</v>
      </c>
      <c r="D270" s="11" t="s">
        <v>422</v>
      </c>
      <c r="E270" s="11" t="s">
        <v>69</v>
      </c>
      <c r="F270" s="11" t="s">
        <v>16</v>
      </c>
      <c r="G270" s="14">
        <v>510</v>
      </c>
      <c r="H270" s="17">
        <f>IF(SUMIFS(İndirimler!$C$2:$C$210,İndirimler!$A$2:$A$210,B270,İndirimler!$B$2:$B$210,C270)&gt;0,ROUND(G270*(1-SUMIFS(İndirimler!$C$2:$C$210,İndirimler!$A$2:$A$210,B270,İndirimler!$B$2:$B$210,C270)),2),"")</f>
        <v>433.5</v>
      </c>
      <c r="I270" s="20">
        <f>IF(SUMIFS(İndirimler!$D$2:$D$210,İndirimler!$A$2:$A$210,B270,İndirimler!$B$2:$B$210,C270)&gt;0,ROUND(G270*(1-SUMIFS(İndirimler!$D$2:$D$210,İndirimler!$A$2:$A$210,B270,İndirimler!$B$2:$B$210,C270)),2),"")</f>
        <v>357</v>
      </c>
      <c r="J270" s="11"/>
      <c r="K270" s="27"/>
    </row>
    <row r="271" spans="1:11">
      <c r="A271" s="55" t="s">
        <v>452</v>
      </c>
      <c r="B271" s="11" t="s">
        <v>421</v>
      </c>
      <c r="C271" s="11" t="s">
        <v>33</v>
      </c>
      <c r="D271" s="11" t="s">
        <v>422</v>
      </c>
      <c r="E271" s="11"/>
      <c r="F271" s="11" t="s">
        <v>16</v>
      </c>
      <c r="G271" s="14">
        <v>449</v>
      </c>
      <c r="H271" s="17">
        <f>IF(SUMIFS(İndirimler!$C$2:$C$210,İndirimler!$A$2:$A$210,B271,İndirimler!$B$2:$B$210,C271)&gt;0,ROUND(G271*(1-SUMIFS(İndirimler!$C$2:$C$210,İndirimler!$A$2:$A$210,B271,İndirimler!$B$2:$B$210,C271)),2),"")</f>
        <v>381.65</v>
      </c>
      <c r="I271" s="20">
        <f>IF(SUMIFS(İndirimler!$D$2:$D$210,İndirimler!$A$2:$A$210,B271,İndirimler!$B$2:$B$210,C271)&gt;0,ROUND(G271*(1-SUMIFS(İndirimler!$D$2:$D$210,İndirimler!$A$2:$A$210,B271,İndirimler!$B$2:$B$210,C271)),2),"")</f>
        <v>314.3</v>
      </c>
      <c r="J271" s="11" t="s">
        <v>453</v>
      </c>
      <c r="K271" s="27"/>
    </row>
    <row r="272" spans="1:11">
      <c r="A272" s="55" t="s">
        <v>454</v>
      </c>
      <c r="B272" s="11" t="s">
        <v>38</v>
      </c>
      <c r="C272" s="11" t="s">
        <v>33</v>
      </c>
      <c r="D272" s="11" t="s">
        <v>422</v>
      </c>
      <c r="E272" s="11" t="s">
        <v>69</v>
      </c>
      <c r="F272" s="11" t="s">
        <v>16</v>
      </c>
      <c r="G272" s="14">
        <v>345</v>
      </c>
      <c r="H272" s="17">
        <f>IF(SUMIFS(İndirimler!$C$2:$C$210,İndirimler!$A$2:$A$210,B272,İndirimler!$B$2:$B$210,C272)&gt;0,ROUND(G272*(1-SUMIFS(İndirimler!$C$2:$C$210,İndirimler!$A$2:$A$210,B272,İndirimler!$B$2:$B$210,C272)),2),"")</f>
        <v>293.25</v>
      </c>
      <c r="I272" s="20">
        <f>IF(SUMIFS(İndirimler!$D$2:$D$210,İndirimler!$A$2:$A$210,B272,İndirimler!$B$2:$B$210,C272)&gt;0,ROUND(G272*(1-SUMIFS(İndirimler!$D$2:$D$210,İndirimler!$A$2:$A$210,B272,İndirimler!$B$2:$B$210,C272)),2),"")</f>
        <v>241.5</v>
      </c>
      <c r="J272" s="11" t="s">
        <v>455</v>
      </c>
      <c r="K272" s="27"/>
    </row>
    <row r="273" spans="1:11">
      <c r="A273" s="55" t="s">
        <v>456</v>
      </c>
      <c r="B273" s="11" t="s">
        <v>72</v>
      </c>
      <c r="C273" s="11" t="s">
        <v>33</v>
      </c>
      <c r="D273" s="11" t="s">
        <v>422</v>
      </c>
      <c r="E273" s="11"/>
      <c r="F273" s="11" t="s">
        <v>73</v>
      </c>
      <c r="G273" s="14">
        <v>409</v>
      </c>
      <c r="H273" s="17">
        <f>IF(SUMIFS(İndirimler!$C$2:$C$210,İndirimler!$A$2:$A$210,B273,İndirimler!$B$2:$B$210,C273)&gt;0,ROUND(G273*(1-SUMIFS(İndirimler!$C$2:$C$210,İndirimler!$A$2:$A$210,B273,İndirimler!$B$2:$B$210,C273)),2),"")</f>
        <v>347.65</v>
      </c>
      <c r="I273" s="20">
        <f>IF(SUMIFS(İndirimler!$D$2:$D$210,İndirimler!$A$2:$A$210,B273,İndirimler!$B$2:$B$210,C273)&gt;0,ROUND(G273*(1-SUMIFS(İndirimler!$D$2:$D$210,İndirimler!$A$2:$A$210,B273,İndirimler!$B$2:$B$210,C273)),2),"")</f>
        <v>286.3</v>
      </c>
      <c r="J273" s="11"/>
      <c r="K273" s="27"/>
    </row>
    <row r="274" spans="1:11">
      <c r="A274" s="55" t="s">
        <v>457</v>
      </c>
      <c r="B274" s="11" t="s">
        <v>421</v>
      </c>
      <c r="C274" s="11" t="s">
        <v>76</v>
      </c>
      <c r="D274" s="11" t="s">
        <v>422</v>
      </c>
      <c r="E274" s="11" t="s">
        <v>423</v>
      </c>
      <c r="F274" s="11" t="s">
        <v>35</v>
      </c>
      <c r="G274" s="14">
        <v>625</v>
      </c>
      <c r="H274" s="17">
        <f>IF(SUMIFS(İndirimler!$C$2:$C$210,İndirimler!$A$2:$A$210,B274,İndirimler!$B$2:$B$210,C274)&gt;0,ROUND(G274*(1-SUMIFS(İndirimler!$C$2:$C$210,İndirimler!$A$2:$A$210,B274,İndirimler!$B$2:$B$210,C274)),2),"")</f>
        <v>531.25</v>
      </c>
      <c r="I274" s="20">
        <f>IF(SUMIFS(İndirimler!$D$2:$D$210,İndirimler!$A$2:$A$210,B274,İndirimler!$B$2:$B$210,C274)&gt;0,ROUND(G274*(1-SUMIFS(İndirimler!$D$2:$D$210,İndirimler!$A$2:$A$210,B274,İndirimler!$B$2:$B$210,C274)),2),"")</f>
        <v>437.5</v>
      </c>
      <c r="J274" s="11" t="s">
        <v>458</v>
      </c>
      <c r="K274" s="27"/>
    </row>
    <row r="275" spans="1:11">
      <c r="A275" s="55" t="s">
        <v>459</v>
      </c>
      <c r="B275" s="11" t="s">
        <v>32</v>
      </c>
      <c r="C275" s="11" t="s">
        <v>76</v>
      </c>
      <c r="D275" s="11" t="s">
        <v>422</v>
      </c>
      <c r="E275" s="11"/>
      <c r="F275" s="11" t="s">
        <v>35</v>
      </c>
      <c r="G275" s="14">
        <v>499</v>
      </c>
      <c r="H275" s="17">
        <f>IF(SUMIFS(İndirimler!$C$2:$C$210,İndirimler!$A$2:$A$210,B275,İndirimler!$B$2:$B$210,C275)&gt;0,ROUND(G275*(1-SUMIFS(İndirimler!$C$2:$C$210,İndirimler!$A$2:$A$210,B275,İndirimler!$B$2:$B$210,C275)),2),"")</f>
        <v>424.15</v>
      </c>
      <c r="I275" s="20">
        <f>IF(SUMIFS(İndirimler!$D$2:$D$210,İndirimler!$A$2:$A$210,B275,İndirimler!$B$2:$B$210,C275)&gt;0,ROUND(G275*(1-SUMIFS(İndirimler!$D$2:$D$210,İndirimler!$A$2:$A$210,B275,İndirimler!$B$2:$B$210,C275)),2),"")</f>
        <v>349.3</v>
      </c>
      <c r="J275" s="26" t="s">
        <v>460</v>
      </c>
      <c r="K275" s="27"/>
    </row>
    <row r="276" spans="1:11">
      <c r="A276" s="55" t="s">
        <v>461</v>
      </c>
      <c r="B276" s="11" t="s">
        <v>38</v>
      </c>
      <c r="C276" s="11" t="s">
        <v>76</v>
      </c>
      <c r="D276" s="11" t="s">
        <v>422</v>
      </c>
      <c r="E276" s="11"/>
      <c r="F276" s="11" t="s">
        <v>35</v>
      </c>
      <c r="G276" s="14">
        <v>635</v>
      </c>
      <c r="H276" s="17">
        <f>IF(SUMIFS(İndirimler!$C$2:$C$210,İndirimler!$A$2:$A$210,B276,İndirimler!$B$2:$B$210,C276)&gt;0,ROUND(G276*(1-SUMIFS(İndirimler!$C$2:$C$210,İndirimler!$A$2:$A$210,B276,İndirimler!$B$2:$B$210,C276)),2),"")</f>
        <v>539.75</v>
      </c>
      <c r="I276" s="20">
        <f>IF(SUMIFS(İndirimler!$D$2:$D$210,İndirimler!$A$2:$A$210,B276,İndirimler!$B$2:$B$210,C276)&gt;0,ROUND(G276*(1-SUMIFS(İndirimler!$D$2:$D$210,İndirimler!$A$2:$A$210,B276,İndirimler!$B$2:$B$210,C276)),2),"")</f>
        <v>444.5</v>
      </c>
      <c r="J276" s="11" t="s">
        <v>462</v>
      </c>
      <c r="K276" s="27"/>
    </row>
    <row r="277" spans="1:11">
      <c r="A277" s="55" t="s">
        <v>463</v>
      </c>
      <c r="B277" s="11" t="s">
        <v>137</v>
      </c>
      <c r="C277" s="11" t="s">
        <v>76</v>
      </c>
      <c r="D277" s="11" t="s">
        <v>422</v>
      </c>
      <c r="E277" s="11" t="s">
        <v>313</v>
      </c>
      <c r="F277" s="11" t="s">
        <v>42</v>
      </c>
      <c r="G277" s="14">
        <v>552</v>
      </c>
      <c r="H277" s="17">
        <f>IF(SUMIFS(İndirimler!$C$2:$C$210,İndirimler!$A$2:$A$210,B277,İndirimler!$B$2:$B$210,C277)&gt;0,ROUND(G277*(1-SUMIFS(İndirimler!$C$2:$C$210,İndirimler!$A$2:$A$210,B277,İndirimler!$B$2:$B$210,C277)),2),"")</f>
        <v>469.2</v>
      </c>
      <c r="I277" s="20">
        <f>IF(SUMIFS(İndirimler!$D$2:$D$210,İndirimler!$A$2:$A$210,B277,İndirimler!$B$2:$B$210,C277)&gt;0,ROUND(G277*(1-SUMIFS(İndirimler!$D$2:$D$210,İndirimler!$A$2:$A$210,B277,İndirimler!$B$2:$B$210,C277)),2),"")</f>
        <v>386.4</v>
      </c>
      <c r="J277" s="11" t="s">
        <v>464</v>
      </c>
      <c r="K277" s="27"/>
    </row>
    <row r="278" spans="1:11">
      <c r="A278" s="55" t="s">
        <v>465</v>
      </c>
      <c r="B278" s="11" t="s">
        <v>18</v>
      </c>
      <c r="C278" s="11" t="s">
        <v>76</v>
      </c>
      <c r="D278" s="11" t="s">
        <v>422</v>
      </c>
      <c r="E278" s="11" t="s">
        <v>41</v>
      </c>
      <c r="F278" s="11" t="s">
        <v>42</v>
      </c>
      <c r="G278" s="14"/>
      <c r="H278" s="17">
        <f>IF(SUMIFS(İndirimler!$C$2:$C$210,İndirimler!$A$2:$A$210,B278,İndirimler!$B$2:$B$210,C278)&gt;0,ROUND(G278*(1-SUMIFS(İndirimler!$C$2:$C$210,İndirimler!$A$2:$A$210,B278,İndirimler!$B$2:$B$210,C278)),2),"")</f>
        <v>0</v>
      </c>
      <c r="I278" s="20">
        <f>IF(SUMIFS(İndirimler!$D$2:$D$210,İndirimler!$A$2:$A$210,B278,İndirimler!$B$2:$B$210,C278)&gt;0,ROUND(G278*(1-SUMIFS(İndirimler!$D$2:$D$210,İndirimler!$A$2:$A$210,B278,İndirimler!$B$2:$B$210,C278)),2),"")</f>
        <v>0</v>
      </c>
      <c r="J278" s="11"/>
      <c r="K278" s="27"/>
    </row>
    <row r="279" spans="1:11">
      <c r="A279" s="55" t="s">
        <v>466</v>
      </c>
      <c r="B279" s="11" t="s">
        <v>44</v>
      </c>
      <c r="C279" s="11" t="s">
        <v>76</v>
      </c>
      <c r="D279" s="11" t="s">
        <v>422</v>
      </c>
      <c r="E279" s="11" t="s">
        <v>45</v>
      </c>
      <c r="F279" s="11" t="s">
        <v>42</v>
      </c>
      <c r="G279" s="14">
        <v>376</v>
      </c>
      <c r="H279" s="17">
        <f>IF(SUMIFS(İndirimler!$C$2:$C$210,İndirimler!$A$2:$A$210,B279,İndirimler!$B$2:$B$210,C279)&gt;0,ROUND(G279*(1-SUMIFS(İndirimler!$C$2:$C$210,İndirimler!$A$2:$A$210,B279,İndirimler!$B$2:$B$210,C279)),2),"")</f>
        <v>319.60000000000002</v>
      </c>
      <c r="I279" s="20">
        <f>IF(SUMIFS(İndirimler!$D$2:$D$210,İndirimler!$A$2:$A$210,B279,İndirimler!$B$2:$B$210,C279)&gt;0,ROUND(G279*(1-SUMIFS(İndirimler!$D$2:$D$210,İndirimler!$A$2:$A$210,B279,İndirimler!$B$2:$B$210,C279)),2),"")</f>
        <v>263.2</v>
      </c>
      <c r="J279" s="11" t="s">
        <v>467</v>
      </c>
      <c r="K279" s="27"/>
    </row>
    <row r="280" spans="1:11">
      <c r="A280" s="55" t="s">
        <v>468</v>
      </c>
      <c r="B280" s="11" t="s">
        <v>23</v>
      </c>
      <c r="C280" s="11" t="s">
        <v>76</v>
      </c>
      <c r="D280" s="11" t="s">
        <v>422</v>
      </c>
      <c r="E280" s="11"/>
      <c r="F280" s="11" t="s">
        <v>42</v>
      </c>
      <c r="G280" s="14">
        <v>620</v>
      </c>
      <c r="H280" s="17">
        <f>IF(SUMIFS(İndirimler!$C$2:$C$210,İndirimler!$A$2:$A$210,B280,İndirimler!$B$2:$B$210,C280)&gt;0,ROUND(G280*(1-SUMIFS(İndirimler!$C$2:$C$210,İndirimler!$A$2:$A$210,B280,İndirimler!$B$2:$B$210,C280)),2),"")</f>
        <v>527</v>
      </c>
      <c r="I280" s="20">
        <f>IF(SUMIFS(İndirimler!$D$2:$D$210,İndirimler!$A$2:$A$210,B280,İndirimler!$B$2:$B$210,C280)&gt;0,ROUND(G280*(1-SUMIFS(İndirimler!$D$2:$D$210,İndirimler!$A$2:$A$210,B280,İndirimler!$B$2:$B$210,C280)),2),"")</f>
        <v>434</v>
      </c>
      <c r="J280" s="11" t="s">
        <v>469</v>
      </c>
      <c r="K280" s="27"/>
    </row>
    <row r="281" spans="1:11">
      <c r="A281" s="55" t="s">
        <v>470</v>
      </c>
      <c r="B281" s="11" t="s">
        <v>50</v>
      </c>
      <c r="C281" s="11" t="s">
        <v>76</v>
      </c>
      <c r="D281" s="11" t="s">
        <v>422</v>
      </c>
      <c r="E281" s="11" t="s">
        <v>51</v>
      </c>
      <c r="F281" s="11" t="s">
        <v>42</v>
      </c>
      <c r="G281" s="14">
        <v>580</v>
      </c>
      <c r="H281" s="17">
        <f>IF(SUMIFS(İndirimler!$C$2:$C$210,İndirimler!$A$2:$A$210,B281,İndirimler!$B$2:$B$210,C281)&gt;0,ROUND(G281*(1-SUMIFS(İndirimler!$C$2:$C$210,İndirimler!$A$2:$A$210,B281,İndirimler!$B$2:$B$210,C281)),2),"")</f>
        <v>493</v>
      </c>
      <c r="I281" s="20">
        <f>IF(SUMIFS(İndirimler!$D$2:$D$210,İndirimler!$A$2:$A$210,B281,İndirimler!$B$2:$B$210,C281)&gt;0,ROUND(G281*(1-SUMIFS(İndirimler!$D$2:$D$210,İndirimler!$A$2:$A$210,B281,İndirimler!$B$2:$B$210,C281)),2),"")</f>
        <v>406</v>
      </c>
      <c r="J281" s="11"/>
      <c r="K281" s="27"/>
    </row>
    <row r="282" spans="1:11">
      <c r="A282" s="55" t="s">
        <v>471</v>
      </c>
      <c r="B282" s="11" t="s">
        <v>438</v>
      </c>
      <c r="C282" s="11" t="s">
        <v>76</v>
      </c>
      <c r="D282" s="11" t="s">
        <v>422</v>
      </c>
      <c r="E282" s="11"/>
      <c r="F282" s="11" t="s">
        <v>42</v>
      </c>
      <c r="G282" s="14"/>
      <c r="H282" s="17">
        <f>IF(SUMIFS(İndirimler!$C$2:$C$210,İndirimler!$A$2:$A$210,B282,İndirimler!$B$2:$B$210,C282)&gt;0,ROUND(G282*(1-SUMIFS(İndirimler!$C$2:$C$210,İndirimler!$A$2:$A$210,B282,İndirimler!$B$2:$B$210,C282)),2),"")</f>
        <v>0</v>
      </c>
      <c r="I282" s="20">
        <f>IF(SUMIFS(İndirimler!$D$2:$D$210,İndirimler!$A$2:$A$210,B282,İndirimler!$B$2:$B$210,C282)&gt;0,ROUND(G282*(1-SUMIFS(İndirimler!$D$2:$D$210,İndirimler!$A$2:$A$210,B282,İndirimler!$B$2:$B$210,C282)),2),"")</f>
        <v>0</v>
      </c>
      <c r="J282" s="11"/>
      <c r="K282" s="27"/>
    </row>
    <row r="283" spans="1:11">
      <c r="A283" s="55" t="s">
        <v>472</v>
      </c>
      <c r="B283" s="11" t="s">
        <v>55</v>
      </c>
      <c r="C283" s="11" t="s">
        <v>76</v>
      </c>
      <c r="D283" s="11" t="s">
        <v>422</v>
      </c>
      <c r="E283" s="11"/>
      <c r="F283" s="11" t="s">
        <v>16</v>
      </c>
      <c r="G283" s="14">
        <v>328</v>
      </c>
      <c r="H283" s="17">
        <f>IF(SUMIFS(İndirimler!$C$2:$C$210,İndirimler!$A$2:$A$210,B283,İndirimler!$B$2:$B$210,C283)&gt;0,ROUND(G283*(1-SUMIFS(İndirimler!$C$2:$C$210,İndirimler!$A$2:$A$210,B283,İndirimler!$B$2:$B$210,C283)),2),"")</f>
        <v>278.8</v>
      </c>
      <c r="I283" s="20">
        <f>IF(SUMIFS(İndirimler!$D$2:$D$210,İndirimler!$A$2:$A$210,B283,İndirimler!$B$2:$B$210,C283)&gt;0,ROUND(G283*(1-SUMIFS(İndirimler!$D$2:$D$210,İndirimler!$A$2:$A$210,B283,İndirimler!$B$2:$B$210,C283)),2),"")</f>
        <v>229.6</v>
      </c>
      <c r="J283" s="11" t="s">
        <v>473</v>
      </c>
      <c r="K283" s="27"/>
    </row>
    <row r="284" spans="1:11">
      <c r="A284" s="55" t="s">
        <v>474</v>
      </c>
      <c r="B284" s="11" t="s">
        <v>137</v>
      </c>
      <c r="C284" s="11" t="s">
        <v>76</v>
      </c>
      <c r="D284" s="11" t="s">
        <v>422</v>
      </c>
      <c r="E284" s="11"/>
      <c r="F284" s="11" t="s">
        <v>16</v>
      </c>
      <c r="G284" s="14">
        <v>560</v>
      </c>
      <c r="H284" s="17">
        <f>IF(SUMIFS(İndirimler!$C$2:$C$210,İndirimler!$A$2:$A$210,B284,İndirimler!$B$2:$B$210,C284)&gt;0,ROUND(G284*(1-SUMIFS(İndirimler!$C$2:$C$210,İndirimler!$A$2:$A$210,B284,İndirimler!$B$2:$B$210,C284)),2),"")</f>
        <v>476</v>
      </c>
      <c r="I284" s="20">
        <f>IF(SUMIFS(İndirimler!$D$2:$D$210,İndirimler!$A$2:$A$210,B284,İndirimler!$B$2:$B$210,C284)&gt;0,ROUND(G284*(1-SUMIFS(İndirimler!$D$2:$D$210,İndirimler!$A$2:$A$210,B284,İndirimler!$B$2:$B$210,C284)),2),"")</f>
        <v>392</v>
      </c>
      <c r="J284" s="11" t="s">
        <v>475</v>
      </c>
      <c r="K284" s="27"/>
    </row>
    <row r="285" spans="1:11">
      <c r="A285" s="55" t="s">
        <v>476</v>
      </c>
      <c r="B285" s="11" t="s">
        <v>18</v>
      </c>
      <c r="C285" s="11" t="s">
        <v>76</v>
      </c>
      <c r="D285" s="11" t="s">
        <v>422</v>
      </c>
      <c r="E285" s="11"/>
      <c r="F285" s="11" t="s">
        <v>16</v>
      </c>
      <c r="G285" s="14">
        <v>519</v>
      </c>
      <c r="H285" s="17">
        <f>IF(SUMIFS(İndirimler!$C$2:$C$210,İndirimler!$A$2:$A$210,B285,İndirimler!$B$2:$B$210,C285)&gt;0,ROUND(G285*(1-SUMIFS(İndirimler!$C$2:$C$210,İndirimler!$A$2:$A$210,B285,İndirimler!$B$2:$B$210,C285)),2),"")</f>
        <v>441.15</v>
      </c>
      <c r="I285" s="20">
        <f>IF(SUMIFS(İndirimler!$D$2:$D$210,İndirimler!$A$2:$A$210,B285,İndirimler!$B$2:$B$210,C285)&gt;0,ROUND(G285*(1-SUMIFS(İndirimler!$D$2:$D$210,İndirimler!$A$2:$A$210,B285,İndirimler!$B$2:$B$210,C285)),2),"")</f>
        <v>363.3</v>
      </c>
      <c r="J285" s="26" t="s">
        <v>477</v>
      </c>
      <c r="K285" s="27"/>
    </row>
    <row r="286" spans="1:11">
      <c r="A286" s="55" t="s">
        <v>478</v>
      </c>
      <c r="B286" s="11" t="s">
        <v>44</v>
      </c>
      <c r="C286" s="11" t="s">
        <v>76</v>
      </c>
      <c r="D286" s="11" t="s">
        <v>422</v>
      </c>
      <c r="E286" s="11" t="s">
        <v>60</v>
      </c>
      <c r="F286" s="11" t="s">
        <v>16</v>
      </c>
      <c r="G286" s="14">
        <v>274</v>
      </c>
      <c r="H286" s="17">
        <f>IF(SUMIFS(İndirimler!$C$2:$C$210,İndirimler!$A$2:$A$210,B286,İndirimler!$B$2:$B$210,C286)&gt;0,ROUND(G286*(1-SUMIFS(İndirimler!$C$2:$C$210,İndirimler!$A$2:$A$210,B286,İndirimler!$B$2:$B$210,C286)),2),"")</f>
        <v>232.9</v>
      </c>
      <c r="I286" s="20">
        <f>IF(SUMIFS(İndirimler!$D$2:$D$210,İndirimler!$A$2:$A$210,B286,İndirimler!$B$2:$B$210,C286)&gt;0,ROUND(G286*(1-SUMIFS(İndirimler!$D$2:$D$210,İndirimler!$A$2:$A$210,B286,İndirimler!$B$2:$B$210,C286)),2),"")</f>
        <v>191.8</v>
      </c>
      <c r="J286" s="11" t="s">
        <v>479</v>
      </c>
      <c r="K286" s="27"/>
    </row>
    <row r="287" spans="1:11">
      <c r="A287" s="55" t="s">
        <v>480</v>
      </c>
      <c r="B287" s="11" t="s">
        <v>63</v>
      </c>
      <c r="C287" s="11" t="s">
        <v>76</v>
      </c>
      <c r="D287" s="11" t="s">
        <v>422</v>
      </c>
      <c r="E287" s="11" t="s">
        <v>64</v>
      </c>
      <c r="F287" s="11" t="s">
        <v>16</v>
      </c>
      <c r="G287" s="14">
        <v>475</v>
      </c>
      <c r="H287" s="17">
        <f>IF(SUMIFS(İndirimler!$C$2:$C$210,İndirimler!$A$2:$A$210,B287,İndirimler!$B$2:$B$210,C287)&gt;0,ROUND(G287*(1-SUMIFS(İndirimler!$C$2:$C$210,İndirimler!$A$2:$A$210,B287,İndirimler!$B$2:$B$210,C287)),2),"")</f>
        <v>403.75</v>
      </c>
      <c r="I287" s="20">
        <f>IF(SUMIFS(İndirimler!$D$2:$D$210,İndirimler!$A$2:$A$210,B287,İndirimler!$B$2:$B$210,C287)&gt;0,ROUND(G287*(1-SUMIFS(İndirimler!$D$2:$D$210,İndirimler!$A$2:$A$210,B287,İndirimler!$B$2:$B$210,C287)),2),"")</f>
        <v>332.5</v>
      </c>
      <c r="J287" s="11" t="s">
        <v>481</v>
      </c>
      <c r="K287" s="27"/>
    </row>
    <row r="288" spans="1:11">
      <c r="A288" s="55" t="s">
        <v>482</v>
      </c>
      <c r="B288" s="11" t="s">
        <v>23</v>
      </c>
      <c r="C288" s="11" t="s">
        <v>76</v>
      </c>
      <c r="D288" s="11" t="s">
        <v>422</v>
      </c>
      <c r="E288" s="11"/>
      <c r="F288" s="11" t="s">
        <v>16</v>
      </c>
      <c r="G288" s="14">
        <v>578</v>
      </c>
      <c r="H288" s="17">
        <f>IF(SUMIFS(İndirimler!$C$2:$C$210,İndirimler!$A$2:$A$210,B288,İndirimler!$B$2:$B$210,C288)&gt;0,ROUND(G288*(1-SUMIFS(İndirimler!$C$2:$C$210,İndirimler!$A$2:$A$210,B288,İndirimler!$B$2:$B$210,C288)),2),"")</f>
        <v>491.3</v>
      </c>
      <c r="I288" s="20">
        <f>IF(SUMIFS(İndirimler!$D$2:$D$210,İndirimler!$A$2:$A$210,B288,İndirimler!$B$2:$B$210,C288)&gt;0,ROUND(G288*(1-SUMIFS(İndirimler!$D$2:$D$210,İndirimler!$A$2:$A$210,B288,İndirimler!$B$2:$B$210,C288)),2),"")</f>
        <v>404.6</v>
      </c>
      <c r="J288" s="11" t="s">
        <v>483</v>
      </c>
      <c r="K288" s="27"/>
    </row>
    <row r="289" spans="1:11">
      <c r="A289" s="55" t="s">
        <v>484</v>
      </c>
      <c r="B289" s="11" t="s">
        <v>50</v>
      </c>
      <c r="C289" s="11" t="s">
        <v>76</v>
      </c>
      <c r="D289" s="11" t="s">
        <v>422</v>
      </c>
      <c r="E289" s="11" t="s">
        <v>69</v>
      </c>
      <c r="F289" s="11" t="s">
        <v>16</v>
      </c>
      <c r="G289" s="14">
        <v>422</v>
      </c>
      <c r="H289" s="17">
        <f>IF(SUMIFS(İndirimler!$C$2:$C$210,İndirimler!$A$2:$A$210,B289,İndirimler!$B$2:$B$210,C289)&gt;0,ROUND(G289*(1-SUMIFS(İndirimler!$C$2:$C$210,İndirimler!$A$2:$A$210,B289,İndirimler!$B$2:$B$210,C289)),2),"")</f>
        <v>358.7</v>
      </c>
      <c r="I289" s="20">
        <f>IF(SUMIFS(İndirimler!$D$2:$D$210,İndirimler!$A$2:$A$210,B289,İndirimler!$B$2:$B$210,C289)&gt;0,ROUND(G289*(1-SUMIFS(İndirimler!$D$2:$D$210,İndirimler!$A$2:$A$210,B289,İndirimler!$B$2:$B$210,C289)),2),"")</f>
        <v>295.39999999999998</v>
      </c>
      <c r="J289" s="11"/>
      <c r="K289" s="27"/>
    </row>
    <row r="290" spans="1:11">
      <c r="A290" s="55" t="s">
        <v>485</v>
      </c>
      <c r="B290" s="11" t="s">
        <v>421</v>
      </c>
      <c r="C290" s="11" t="s">
        <v>76</v>
      </c>
      <c r="D290" s="11" t="s">
        <v>422</v>
      </c>
      <c r="E290" s="11"/>
      <c r="F290" s="11" t="s">
        <v>16</v>
      </c>
      <c r="G290" s="14">
        <v>439</v>
      </c>
      <c r="H290" s="17">
        <f>IF(SUMIFS(İndirimler!$C$2:$C$210,İndirimler!$A$2:$A$210,B290,İndirimler!$B$2:$B$210,C290)&gt;0,ROUND(G290*(1-SUMIFS(İndirimler!$C$2:$C$210,İndirimler!$A$2:$A$210,B290,İndirimler!$B$2:$B$210,C290)),2),"")</f>
        <v>373.15</v>
      </c>
      <c r="I290" s="20">
        <f>IF(SUMIFS(İndirimler!$D$2:$D$210,İndirimler!$A$2:$A$210,B290,İndirimler!$B$2:$B$210,C290)&gt;0,ROUND(G290*(1-SUMIFS(İndirimler!$D$2:$D$210,İndirimler!$A$2:$A$210,B290,İndirimler!$B$2:$B$210,C290)),2),"")</f>
        <v>307.3</v>
      </c>
      <c r="J290" s="11" t="s">
        <v>486</v>
      </c>
      <c r="K290" s="27"/>
    </row>
    <row r="291" spans="1:11">
      <c r="A291" s="55" t="s">
        <v>487</v>
      </c>
      <c r="B291" s="11" t="s">
        <v>38</v>
      </c>
      <c r="C291" s="11" t="s">
        <v>76</v>
      </c>
      <c r="D291" s="11" t="s">
        <v>422</v>
      </c>
      <c r="E291" s="11" t="s">
        <v>69</v>
      </c>
      <c r="F291" s="11" t="s">
        <v>16</v>
      </c>
      <c r="G291" s="14">
        <v>345</v>
      </c>
      <c r="H291" s="17">
        <f>IF(SUMIFS(İndirimler!$C$2:$C$210,İndirimler!$A$2:$A$210,B291,İndirimler!$B$2:$B$210,C291)&gt;0,ROUND(G291*(1-SUMIFS(İndirimler!$C$2:$C$210,İndirimler!$A$2:$A$210,B291,İndirimler!$B$2:$B$210,C291)),2),"")</f>
        <v>293.25</v>
      </c>
      <c r="I291" s="20">
        <f>IF(SUMIFS(İndirimler!$D$2:$D$210,İndirimler!$A$2:$A$210,B291,İndirimler!$B$2:$B$210,C291)&gt;0,ROUND(G291*(1-SUMIFS(İndirimler!$D$2:$D$210,İndirimler!$A$2:$A$210,B291,İndirimler!$B$2:$B$210,C291)),2),"")</f>
        <v>241.5</v>
      </c>
      <c r="J291" s="11" t="s">
        <v>488</v>
      </c>
      <c r="K291" s="27"/>
    </row>
    <row r="292" spans="1:11">
      <c r="A292" s="55" t="s">
        <v>489</v>
      </c>
      <c r="B292" s="11" t="s">
        <v>72</v>
      </c>
      <c r="C292" s="11" t="s">
        <v>76</v>
      </c>
      <c r="D292" s="11" t="s">
        <v>422</v>
      </c>
      <c r="E292" s="11"/>
      <c r="F292" s="11" t="s">
        <v>73</v>
      </c>
      <c r="G292" s="14">
        <v>409</v>
      </c>
      <c r="H292" s="17">
        <f>IF(SUMIFS(İndirimler!$C$2:$C$210,İndirimler!$A$2:$A$210,B292,İndirimler!$B$2:$B$210,C292)&gt;0,ROUND(G292*(1-SUMIFS(İndirimler!$C$2:$C$210,İndirimler!$A$2:$A$210,B292,İndirimler!$B$2:$B$210,C292)),2),"")</f>
        <v>347.65</v>
      </c>
      <c r="I292" s="20">
        <f>IF(SUMIFS(İndirimler!$D$2:$D$210,İndirimler!$A$2:$A$210,B292,İndirimler!$B$2:$B$210,C292)&gt;0,ROUND(G292*(1-SUMIFS(İndirimler!$D$2:$D$210,İndirimler!$A$2:$A$210,B292,İndirimler!$B$2:$B$210,C292)),2),"")</f>
        <v>286.3</v>
      </c>
      <c r="J292" s="11"/>
      <c r="K292" s="27"/>
    </row>
    <row r="293" spans="1:11">
      <c r="A293" s="55" t="s">
        <v>490</v>
      </c>
      <c r="B293" s="11" t="s">
        <v>421</v>
      </c>
      <c r="C293" s="11" t="s">
        <v>101</v>
      </c>
      <c r="D293" s="11" t="s">
        <v>422</v>
      </c>
      <c r="E293" s="11" t="s">
        <v>423</v>
      </c>
      <c r="F293" s="11" t="s">
        <v>35</v>
      </c>
      <c r="G293" s="14"/>
      <c r="H293" s="17">
        <f>IF(SUMIFS(İndirimler!$C$2:$C$210,İndirimler!$A$2:$A$210,B293,İndirimler!$B$2:$B$210,C293)&gt;0,ROUND(G293*(1-SUMIFS(İndirimler!$C$2:$C$210,İndirimler!$A$2:$A$210,B293,İndirimler!$B$2:$B$210,C293)),2),"")</f>
        <v>0</v>
      </c>
      <c r="I293" s="20">
        <f>IF(SUMIFS(İndirimler!$D$2:$D$210,İndirimler!$A$2:$A$210,B293,İndirimler!$B$2:$B$210,C293)&gt;0,ROUND(G293*(1-SUMIFS(İndirimler!$D$2:$D$210,İndirimler!$A$2:$A$210,B293,İndirimler!$B$2:$B$210,C293)),2),"")</f>
        <v>0</v>
      </c>
      <c r="J293" s="11"/>
      <c r="K293" s="27"/>
    </row>
    <row r="294" spans="1:11">
      <c r="A294" s="55" t="s">
        <v>491</v>
      </c>
      <c r="B294" s="11" t="s">
        <v>38</v>
      </c>
      <c r="C294" s="11" t="s">
        <v>101</v>
      </c>
      <c r="D294" s="11" t="s">
        <v>422</v>
      </c>
      <c r="E294" s="11"/>
      <c r="F294" s="11" t="s">
        <v>35</v>
      </c>
      <c r="G294" s="14"/>
      <c r="H294" s="17">
        <f>IF(SUMIFS(İndirimler!$C$2:$C$210,İndirimler!$A$2:$A$210,B294,İndirimler!$B$2:$B$210,C294)&gt;0,ROUND(G294*(1-SUMIFS(İndirimler!$C$2:$C$210,İndirimler!$A$2:$A$210,B294,İndirimler!$B$2:$B$210,C294)),2),"")</f>
        <v>0</v>
      </c>
      <c r="I294" s="20">
        <f>IF(SUMIFS(İndirimler!$D$2:$D$210,İndirimler!$A$2:$A$210,B294,İndirimler!$B$2:$B$210,C294)&gt;0,ROUND(G294*(1-SUMIFS(İndirimler!$D$2:$D$210,İndirimler!$A$2:$A$210,B294,İndirimler!$B$2:$B$210,C294)),2),"")</f>
        <v>0</v>
      </c>
      <c r="J294" s="11"/>
      <c r="K294" s="27"/>
    </row>
    <row r="295" spans="1:11">
      <c r="A295" s="55" t="s">
        <v>492</v>
      </c>
      <c r="B295" s="11" t="s">
        <v>137</v>
      </c>
      <c r="C295" s="11" t="s">
        <v>101</v>
      </c>
      <c r="D295" s="11" t="s">
        <v>422</v>
      </c>
      <c r="E295" s="11" t="s">
        <v>313</v>
      </c>
      <c r="F295" s="11" t="s">
        <v>42</v>
      </c>
      <c r="G295" s="14">
        <v>589</v>
      </c>
      <c r="H295" s="17">
        <f>IF(SUMIFS(İndirimler!$C$2:$C$210,İndirimler!$A$2:$A$210,B295,İndirimler!$B$2:$B$210,C295)&gt;0,ROUND(G295*(1-SUMIFS(İndirimler!$C$2:$C$210,İndirimler!$A$2:$A$210,B295,İndirimler!$B$2:$B$210,C295)),2),"")</f>
        <v>500.65</v>
      </c>
      <c r="I295" s="20">
        <f>IF(SUMIFS(İndirimler!$D$2:$D$210,İndirimler!$A$2:$A$210,B295,İndirimler!$B$2:$B$210,C295)&gt;0,ROUND(G295*(1-SUMIFS(İndirimler!$D$2:$D$210,İndirimler!$A$2:$A$210,B295,İndirimler!$B$2:$B$210,C295)),2),"")</f>
        <v>412.3</v>
      </c>
      <c r="J295" s="11"/>
      <c r="K295" s="27"/>
    </row>
    <row r="296" spans="1:11">
      <c r="A296" s="55" t="s">
        <v>493</v>
      </c>
      <c r="B296" s="11" t="s">
        <v>18</v>
      </c>
      <c r="C296" s="11" t="s">
        <v>101</v>
      </c>
      <c r="D296" s="11" t="s">
        <v>422</v>
      </c>
      <c r="E296" s="11" t="s">
        <v>41</v>
      </c>
      <c r="F296" s="11" t="s">
        <v>42</v>
      </c>
      <c r="G296" s="14"/>
      <c r="H296" s="17">
        <f>IF(SUMIFS(İndirimler!$C$2:$C$210,İndirimler!$A$2:$A$210,B296,İndirimler!$B$2:$B$210,C296)&gt;0,ROUND(G296*(1-SUMIFS(İndirimler!$C$2:$C$210,İndirimler!$A$2:$A$210,B296,İndirimler!$B$2:$B$210,C296)),2),"")</f>
        <v>0</v>
      </c>
      <c r="I296" s="20">
        <f>IF(SUMIFS(İndirimler!$D$2:$D$210,İndirimler!$A$2:$A$210,B296,İndirimler!$B$2:$B$210,C296)&gt;0,ROUND(G296*(1-SUMIFS(İndirimler!$D$2:$D$210,İndirimler!$A$2:$A$210,B296,İndirimler!$B$2:$B$210,C296)),2),"")</f>
        <v>0</v>
      </c>
      <c r="J296" s="11"/>
      <c r="K296" s="27"/>
    </row>
    <row r="297" spans="1:11">
      <c r="A297" s="55" t="s">
        <v>494</v>
      </c>
      <c r="B297" s="11" t="s">
        <v>72</v>
      </c>
      <c r="C297" s="11" t="s">
        <v>101</v>
      </c>
      <c r="D297" s="11" t="s">
        <v>422</v>
      </c>
      <c r="E297" s="11" t="s">
        <v>104</v>
      </c>
      <c r="F297" s="11" t="s">
        <v>42</v>
      </c>
      <c r="G297" s="14"/>
      <c r="H297" s="17">
        <f>IF(SUMIFS(İndirimler!$C$2:$C$210,İndirimler!$A$2:$A$210,B297,İndirimler!$B$2:$B$210,C297)&gt;0,ROUND(G297*(1-SUMIFS(İndirimler!$C$2:$C$210,İndirimler!$A$2:$A$210,B297,İndirimler!$B$2:$B$210,C297)),2),"")</f>
        <v>0</v>
      </c>
      <c r="I297" s="20">
        <f>IF(SUMIFS(İndirimler!$D$2:$D$210,İndirimler!$A$2:$A$210,B297,İndirimler!$B$2:$B$210,C297)&gt;0,ROUND(G297*(1-SUMIFS(İndirimler!$D$2:$D$210,İndirimler!$A$2:$A$210,B297,İndirimler!$B$2:$B$210,C297)),2),"")</f>
        <v>0</v>
      </c>
      <c r="J297" s="11"/>
      <c r="K297" s="27"/>
    </row>
    <row r="298" spans="1:11">
      <c r="A298" s="55" t="s">
        <v>495</v>
      </c>
      <c r="B298" s="11" t="s">
        <v>23</v>
      </c>
      <c r="C298" s="11" t="s">
        <v>101</v>
      </c>
      <c r="D298" s="11" t="s">
        <v>422</v>
      </c>
      <c r="E298" s="11"/>
      <c r="F298" s="11" t="s">
        <v>42</v>
      </c>
      <c r="G298" s="14">
        <v>614</v>
      </c>
      <c r="H298" s="17">
        <f>IF(SUMIFS(İndirimler!$C$2:$C$210,İndirimler!$A$2:$A$210,B298,İndirimler!$B$2:$B$210,C298)&gt;0,ROUND(G298*(1-SUMIFS(İndirimler!$C$2:$C$210,İndirimler!$A$2:$A$210,B298,İndirimler!$B$2:$B$210,C298)),2),"")</f>
        <v>521.9</v>
      </c>
      <c r="I298" s="20">
        <f>IF(SUMIFS(İndirimler!$D$2:$D$210,İndirimler!$A$2:$A$210,B298,İndirimler!$B$2:$B$210,C298)&gt;0,ROUND(G298*(1-SUMIFS(İndirimler!$D$2:$D$210,İndirimler!$A$2:$A$210,B298,İndirimler!$B$2:$B$210,C298)),2),"")</f>
        <v>429.8</v>
      </c>
      <c r="J298" s="11"/>
      <c r="K298" s="27"/>
    </row>
    <row r="299" spans="1:11">
      <c r="A299" s="55" t="s">
        <v>496</v>
      </c>
      <c r="B299" s="11" t="s">
        <v>50</v>
      </c>
      <c r="C299" s="11" t="s">
        <v>101</v>
      </c>
      <c r="D299" s="11" t="s">
        <v>422</v>
      </c>
      <c r="E299" s="11" t="s">
        <v>51</v>
      </c>
      <c r="F299" s="11" t="s">
        <v>42</v>
      </c>
      <c r="G299" s="14">
        <v>580</v>
      </c>
      <c r="H299" s="17">
        <f>IF(SUMIFS(İndirimler!$C$2:$C$210,İndirimler!$A$2:$A$210,B299,İndirimler!$B$2:$B$210,C299)&gt;0,ROUND(G299*(1-SUMIFS(İndirimler!$C$2:$C$210,İndirimler!$A$2:$A$210,B299,İndirimler!$B$2:$B$210,C299)),2),"")</f>
        <v>493</v>
      </c>
      <c r="I299" s="20">
        <f>IF(SUMIFS(İndirimler!$D$2:$D$210,İndirimler!$A$2:$A$210,B299,İndirimler!$B$2:$B$210,C299)&gt;0,ROUND(G299*(1-SUMIFS(İndirimler!$D$2:$D$210,İndirimler!$A$2:$A$210,B299,İndirimler!$B$2:$B$210,C299)),2),"")</f>
        <v>406</v>
      </c>
      <c r="J299" s="11"/>
      <c r="K299" s="27"/>
    </row>
    <row r="300" spans="1:11">
      <c r="A300" s="55" t="s">
        <v>497</v>
      </c>
      <c r="B300" s="11" t="s">
        <v>438</v>
      </c>
      <c r="C300" s="11" t="s">
        <v>101</v>
      </c>
      <c r="D300" s="11" t="s">
        <v>422</v>
      </c>
      <c r="E300" s="11"/>
      <c r="F300" s="11" t="s">
        <v>42</v>
      </c>
      <c r="G300" s="14"/>
      <c r="H300" s="17">
        <f>IF(SUMIFS(İndirimler!$C$2:$C$210,İndirimler!$A$2:$A$210,B300,İndirimler!$B$2:$B$210,C300)&gt;0,ROUND(G300*(1-SUMIFS(İndirimler!$C$2:$C$210,İndirimler!$A$2:$A$210,B300,İndirimler!$B$2:$B$210,C300)),2),"")</f>
        <v>0</v>
      </c>
      <c r="I300" s="20">
        <f>IF(SUMIFS(İndirimler!$D$2:$D$210,İndirimler!$A$2:$A$210,B300,İndirimler!$B$2:$B$210,C300)&gt;0,ROUND(G300*(1-SUMIFS(İndirimler!$D$2:$D$210,İndirimler!$A$2:$A$210,B300,İndirimler!$B$2:$B$210,C300)),2),"")</f>
        <v>0</v>
      </c>
      <c r="J300" s="11"/>
      <c r="K300" s="27"/>
    </row>
    <row r="301" spans="1:11">
      <c r="A301" s="55" t="s">
        <v>498</v>
      </c>
      <c r="B301" s="11" t="s">
        <v>55</v>
      </c>
      <c r="C301" s="11" t="s">
        <v>101</v>
      </c>
      <c r="D301" s="11" t="s">
        <v>422</v>
      </c>
      <c r="E301" s="11"/>
      <c r="F301" s="11" t="s">
        <v>16</v>
      </c>
      <c r="G301" s="14">
        <v>328</v>
      </c>
      <c r="H301" s="17">
        <f>IF(SUMIFS(İndirimler!$C$2:$C$210,İndirimler!$A$2:$A$210,B301,İndirimler!$B$2:$B$210,C301)&gt;0,ROUND(G301*(1-SUMIFS(İndirimler!$C$2:$C$210,İndirimler!$A$2:$A$210,B301,İndirimler!$B$2:$B$210,C301)),2),"")</f>
        <v>278.8</v>
      </c>
      <c r="I301" s="20">
        <f>IF(SUMIFS(İndirimler!$D$2:$D$210,İndirimler!$A$2:$A$210,B301,İndirimler!$B$2:$B$210,C301)&gt;0,ROUND(G301*(1-SUMIFS(İndirimler!$D$2:$D$210,İndirimler!$A$2:$A$210,B301,İndirimler!$B$2:$B$210,C301)),2),"")</f>
        <v>229.6</v>
      </c>
      <c r="J301" s="11"/>
      <c r="K301" s="27"/>
    </row>
    <row r="302" spans="1:11">
      <c r="A302" s="55" t="s">
        <v>499</v>
      </c>
      <c r="B302" s="11" t="s">
        <v>137</v>
      </c>
      <c r="C302" s="11" t="s">
        <v>101</v>
      </c>
      <c r="D302" s="11" t="s">
        <v>422</v>
      </c>
      <c r="E302" s="11"/>
      <c r="F302" s="11" t="s">
        <v>16</v>
      </c>
      <c r="G302" s="14">
        <v>464</v>
      </c>
      <c r="H302" s="17">
        <f>IF(SUMIFS(İndirimler!$C$2:$C$210,İndirimler!$A$2:$A$210,B302,İndirimler!$B$2:$B$210,C302)&gt;0,ROUND(G302*(1-SUMIFS(İndirimler!$C$2:$C$210,İndirimler!$A$2:$A$210,B302,İndirimler!$B$2:$B$210,C302)),2),"")</f>
        <v>394.4</v>
      </c>
      <c r="I302" s="20">
        <f>IF(SUMIFS(İndirimler!$D$2:$D$210,İndirimler!$A$2:$A$210,B302,İndirimler!$B$2:$B$210,C302)&gt;0,ROUND(G302*(1-SUMIFS(İndirimler!$D$2:$D$210,İndirimler!$A$2:$A$210,B302,İndirimler!$B$2:$B$210,C302)),2),"")</f>
        <v>324.8</v>
      </c>
      <c r="J302" s="11"/>
      <c r="K302" s="27"/>
    </row>
    <row r="303" spans="1:11">
      <c r="A303" s="55" t="s">
        <v>500</v>
      </c>
      <c r="B303" s="11" t="s">
        <v>18</v>
      </c>
      <c r="C303" s="11" t="s">
        <v>101</v>
      </c>
      <c r="D303" s="11" t="s">
        <v>422</v>
      </c>
      <c r="E303" s="11" t="s">
        <v>109</v>
      </c>
      <c r="F303" s="11" t="s">
        <v>16</v>
      </c>
      <c r="G303" s="14">
        <v>545</v>
      </c>
      <c r="H303" s="17">
        <f>IF(SUMIFS(İndirimler!$C$2:$C$210,İndirimler!$A$2:$A$210,B303,İndirimler!$B$2:$B$210,C303)&gt;0,ROUND(G303*(1-SUMIFS(İndirimler!$C$2:$C$210,İndirimler!$A$2:$A$210,B303,İndirimler!$B$2:$B$210,C303)),2),"")</f>
        <v>463.25</v>
      </c>
      <c r="I303" s="20">
        <f>IF(SUMIFS(İndirimler!$D$2:$D$210,İndirimler!$A$2:$A$210,B303,İndirimler!$B$2:$B$210,C303)&gt;0,ROUND(G303*(1-SUMIFS(İndirimler!$D$2:$D$210,İndirimler!$A$2:$A$210,B303,İndirimler!$B$2:$B$210,C303)),2),"")</f>
        <v>381.5</v>
      </c>
      <c r="J303" s="26" t="s">
        <v>501</v>
      </c>
      <c r="K303" s="27"/>
    </row>
    <row r="304" spans="1:11">
      <c r="A304" s="55" t="s">
        <v>502</v>
      </c>
      <c r="B304" s="11" t="s">
        <v>63</v>
      </c>
      <c r="C304" s="11" t="s">
        <v>101</v>
      </c>
      <c r="D304" s="11" t="s">
        <v>422</v>
      </c>
      <c r="E304" s="11" t="s">
        <v>64</v>
      </c>
      <c r="F304" s="11" t="s">
        <v>16</v>
      </c>
      <c r="G304" s="14"/>
      <c r="H304" s="17">
        <f>IF(SUMIFS(İndirimler!$C$2:$C$210,İndirimler!$A$2:$A$210,B304,İndirimler!$B$2:$B$210,C304)&gt;0,ROUND(G304*(1-SUMIFS(İndirimler!$C$2:$C$210,İndirimler!$A$2:$A$210,B304,İndirimler!$B$2:$B$210,C304)),2),"")</f>
        <v>0</v>
      </c>
      <c r="I304" s="20">
        <f>IF(SUMIFS(İndirimler!$D$2:$D$210,İndirimler!$A$2:$A$210,B304,İndirimler!$B$2:$B$210,C304)&gt;0,ROUND(G304*(1-SUMIFS(İndirimler!$D$2:$D$210,İndirimler!$A$2:$A$210,B304,İndirimler!$B$2:$B$210,C304)),2),"")</f>
        <v>0</v>
      </c>
      <c r="J304" s="11" t="s">
        <v>503</v>
      </c>
      <c r="K304" s="27"/>
    </row>
    <row r="305" spans="1:11">
      <c r="A305" s="55" t="s">
        <v>504</v>
      </c>
      <c r="B305" s="11" t="s">
        <v>23</v>
      </c>
      <c r="C305" s="11" t="s">
        <v>101</v>
      </c>
      <c r="D305" s="11" t="s">
        <v>422</v>
      </c>
      <c r="E305" s="11"/>
      <c r="F305" s="11" t="s">
        <v>16</v>
      </c>
      <c r="G305" s="14">
        <v>560</v>
      </c>
      <c r="H305" s="17">
        <f>IF(SUMIFS(İndirimler!$C$2:$C$210,İndirimler!$A$2:$A$210,B305,İndirimler!$B$2:$B$210,C305)&gt;0,ROUND(G305*(1-SUMIFS(İndirimler!$C$2:$C$210,İndirimler!$A$2:$A$210,B305,İndirimler!$B$2:$B$210,C305)),2),"")</f>
        <v>476</v>
      </c>
      <c r="I305" s="20">
        <f>IF(SUMIFS(İndirimler!$D$2:$D$210,İndirimler!$A$2:$A$210,B305,İndirimler!$B$2:$B$210,C305)&gt;0,ROUND(G305*(1-SUMIFS(İndirimler!$D$2:$D$210,İndirimler!$A$2:$A$210,B305,İndirimler!$B$2:$B$210,C305)),2),"")</f>
        <v>392</v>
      </c>
      <c r="J305" s="11"/>
      <c r="K305" s="27"/>
    </row>
    <row r="306" spans="1:11">
      <c r="A306" s="55" t="s">
        <v>505</v>
      </c>
      <c r="B306" s="11" t="s">
        <v>50</v>
      </c>
      <c r="C306" s="11" t="s">
        <v>101</v>
      </c>
      <c r="D306" s="11" t="s">
        <v>422</v>
      </c>
      <c r="E306" s="11" t="s">
        <v>69</v>
      </c>
      <c r="F306" s="11" t="s">
        <v>16</v>
      </c>
      <c r="G306" s="14">
        <v>458</v>
      </c>
      <c r="H306" s="17">
        <f>IF(SUMIFS(İndirimler!$C$2:$C$210,İndirimler!$A$2:$A$210,B306,İndirimler!$B$2:$B$210,C306)&gt;0,ROUND(G306*(1-SUMIFS(İndirimler!$C$2:$C$210,İndirimler!$A$2:$A$210,B306,İndirimler!$B$2:$B$210,C306)),2),"")</f>
        <v>389.3</v>
      </c>
      <c r="I306" s="20">
        <f>IF(SUMIFS(İndirimler!$D$2:$D$210,İndirimler!$A$2:$A$210,B306,İndirimler!$B$2:$B$210,C306)&gt;0,ROUND(G306*(1-SUMIFS(İndirimler!$D$2:$D$210,İndirimler!$A$2:$A$210,B306,İndirimler!$B$2:$B$210,C306)),2),"")</f>
        <v>320.60000000000002</v>
      </c>
      <c r="J306" s="11"/>
      <c r="K306" s="27"/>
    </row>
    <row r="307" spans="1:11">
      <c r="A307" s="55" t="s">
        <v>506</v>
      </c>
      <c r="B307" s="11" t="s">
        <v>38</v>
      </c>
      <c r="C307" s="11" t="s">
        <v>101</v>
      </c>
      <c r="D307" s="11" t="s">
        <v>422</v>
      </c>
      <c r="E307" s="11"/>
      <c r="F307" s="11" t="s">
        <v>16</v>
      </c>
      <c r="G307" s="14"/>
      <c r="H307" s="17">
        <f>IF(SUMIFS(İndirimler!$C$2:$C$210,İndirimler!$A$2:$A$210,B307,İndirimler!$B$2:$B$210,C307)&gt;0,ROUND(G307*(1-SUMIFS(İndirimler!$C$2:$C$210,İndirimler!$A$2:$A$210,B307,İndirimler!$B$2:$B$210,C307)),2),"")</f>
        <v>0</v>
      </c>
      <c r="I307" s="20">
        <f>IF(SUMIFS(İndirimler!$D$2:$D$210,İndirimler!$A$2:$A$210,B307,İndirimler!$B$2:$B$210,C307)&gt;0,ROUND(G307*(1-SUMIFS(İndirimler!$D$2:$D$210,İndirimler!$A$2:$A$210,B307,İndirimler!$B$2:$B$210,C307)),2),"")</f>
        <v>0</v>
      </c>
      <c r="J307" s="11"/>
      <c r="K307" s="27"/>
    </row>
    <row r="308" spans="1:11">
      <c r="A308" s="55" t="s">
        <v>507</v>
      </c>
      <c r="B308" s="11" t="s">
        <v>72</v>
      </c>
      <c r="C308" s="11" t="s">
        <v>101</v>
      </c>
      <c r="D308" s="11" t="s">
        <v>422</v>
      </c>
      <c r="E308" s="11"/>
      <c r="F308" s="11" t="s">
        <v>73</v>
      </c>
      <c r="G308" s="14"/>
      <c r="H308" s="17">
        <f>IF(SUMIFS(İndirimler!$C$2:$C$210,İndirimler!$A$2:$A$210,B308,İndirimler!$B$2:$B$210,C308)&gt;0,ROUND(G308*(1-SUMIFS(İndirimler!$C$2:$C$210,İndirimler!$A$2:$A$210,B308,İndirimler!$B$2:$B$210,C308)),2),"")</f>
        <v>0</v>
      </c>
      <c r="I308" s="20">
        <f>IF(SUMIFS(İndirimler!$D$2:$D$210,İndirimler!$A$2:$A$210,B308,İndirimler!$B$2:$B$210,C308)&gt;0,ROUND(G308*(1-SUMIFS(İndirimler!$D$2:$D$210,İndirimler!$A$2:$A$210,B308,İndirimler!$B$2:$B$210,C308)),2),"")</f>
        <v>0</v>
      </c>
      <c r="J308" s="11"/>
      <c r="K308" s="27"/>
    </row>
    <row r="309" spans="1:11">
      <c r="A309" s="55" t="s">
        <v>508</v>
      </c>
      <c r="B309" s="11" t="s">
        <v>38</v>
      </c>
      <c r="C309" s="11" t="s">
        <v>245</v>
      </c>
      <c r="D309" s="11" t="s">
        <v>422</v>
      </c>
      <c r="E309" s="11" t="s">
        <v>250</v>
      </c>
      <c r="F309" s="11" t="s">
        <v>35</v>
      </c>
      <c r="G309" s="14">
        <v>615</v>
      </c>
      <c r="H309" s="17">
        <f>IF(SUMIFS(İndirimler!$C$2:$C$210,İndirimler!$A$2:$A$210,B309,İndirimler!$B$2:$B$210,C309)&gt;0,ROUND(G309*(1-SUMIFS(İndirimler!$C$2:$C$210,İndirimler!$A$2:$A$210,B309,İndirimler!$B$2:$B$210,C309)),2),"")</f>
        <v>522.75</v>
      </c>
      <c r="I309" s="20">
        <f>IF(SUMIFS(İndirimler!$D$2:$D$210,İndirimler!$A$2:$A$210,B309,İndirimler!$B$2:$B$210,C309)&gt;0,ROUND(G309*(1-SUMIFS(İndirimler!$D$2:$D$210,İndirimler!$A$2:$A$210,B309,İndirimler!$B$2:$B$210,C309)),2),"")</f>
        <v>430.5</v>
      </c>
      <c r="J309" s="11" t="s">
        <v>509</v>
      </c>
      <c r="K309" s="27"/>
    </row>
    <row r="310" spans="1:11">
      <c r="A310" s="55" t="s">
        <v>510</v>
      </c>
      <c r="B310" s="11" t="s">
        <v>38</v>
      </c>
      <c r="C310" s="11" t="s">
        <v>245</v>
      </c>
      <c r="D310" s="11" t="s">
        <v>422</v>
      </c>
      <c r="E310" s="11" t="s">
        <v>253</v>
      </c>
      <c r="F310" s="11" t="s">
        <v>35</v>
      </c>
      <c r="G310" s="14">
        <v>615</v>
      </c>
      <c r="H310" s="17">
        <f>IF(SUMIFS(İndirimler!$C$2:$C$210,İndirimler!$A$2:$A$210,B310,İndirimler!$B$2:$B$210,C310)&gt;0,ROUND(G310*(1-SUMIFS(İndirimler!$C$2:$C$210,İndirimler!$A$2:$A$210,B310,İndirimler!$B$2:$B$210,C310)),2),"")</f>
        <v>522.75</v>
      </c>
      <c r="I310" s="20">
        <f>IF(SUMIFS(İndirimler!$D$2:$D$210,İndirimler!$A$2:$A$210,B310,İndirimler!$B$2:$B$210,C310)&gt;0,ROUND(G310*(1-SUMIFS(İndirimler!$D$2:$D$210,İndirimler!$A$2:$A$210,B310,İndirimler!$B$2:$B$210,C310)),2),"")</f>
        <v>430.5</v>
      </c>
      <c r="J310" s="11" t="s">
        <v>511</v>
      </c>
      <c r="K310" s="27"/>
    </row>
    <row r="311" spans="1:11">
      <c r="A311" s="55" t="s">
        <v>512</v>
      </c>
      <c r="B311" s="11" t="s">
        <v>137</v>
      </c>
      <c r="C311" s="11" t="s">
        <v>245</v>
      </c>
      <c r="D311" s="11" t="s">
        <v>422</v>
      </c>
      <c r="E311" s="11" t="s">
        <v>313</v>
      </c>
      <c r="F311" s="11" t="s">
        <v>42</v>
      </c>
      <c r="G311" s="14">
        <v>358</v>
      </c>
      <c r="H311" s="17">
        <f>IF(SUMIFS(İndirimler!$C$2:$C$210,İndirimler!$A$2:$A$210,B311,İndirimler!$B$2:$B$210,C311)&gt;0,ROUND(G311*(1-SUMIFS(İndirimler!$C$2:$C$210,İndirimler!$A$2:$A$210,B311,İndirimler!$B$2:$B$210,C311)),2),"")</f>
        <v>304.3</v>
      </c>
      <c r="I311" s="20">
        <f>IF(SUMIFS(İndirimler!$D$2:$D$210,İndirimler!$A$2:$A$210,B311,İndirimler!$B$2:$B$210,C311)&gt;0,ROUND(G311*(1-SUMIFS(İndirimler!$D$2:$D$210,İndirimler!$A$2:$A$210,B311,İndirimler!$B$2:$B$210,C311)),2),"")</f>
        <v>250.6</v>
      </c>
      <c r="J311" s="11" t="s">
        <v>513</v>
      </c>
      <c r="K311" s="27"/>
    </row>
    <row r="312" spans="1:11">
      <c r="A312" s="55" t="s">
        <v>514</v>
      </c>
      <c r="B312" s="11" t="s">
        <v>50</v>
      </c>
      <c r="C312" s="11" t="s">
        <v>245</v>
      </c>
      <c r="D312" s="11" t="s">
        <v>422</v>
      </c>
      <c r="E312" s="11" t="s">
        <v>51</v>
      </c>
      <c r="F312" s="11" t="s">
        <v>42</v>
      </c>
      <c r="G312" s="14">
        <v>634</v>
      </c>
      <c r="H312" s="17">
        <f>IF(SUMIFS(İndirimler!$C$2:$C$210,İndirimler!$A$2:$A$210,B312,İndirimler!$B$2:$B$210,C312)&gt;0,ROUND(G312*(1-SUMIFS(İndirimler!$C$2:$C$210,İndirimler!$A$2:$A$210,B312,İndirimler!$B$2:$B$210,C312)),2),"")</f>
        <v>538.9</v>
      </c>
      <c r="I312" s="20">
        <f>IF(SUMIFS(İndirimler!$D$2:$D$210,İndirimler!$A$2:$A$210,B312,İndirimler!$B$2:$B$210,C312)&gt;0,ROUND(G312*(1-SUMIFS(İndirimler!$D$2:$D$210,İndirimler!$A$2:$A$210,B312,İndirimler!$B$2:$B$210,C312)),2),"")</f>
        <v>443.8</v>
      </c>
      <c r="J312" s="11"/>
      <c r="K312" s="27"/>
    </row>
    <row r="313" spans="1:11">
      <c r="A313" s="55" t="s">
        <v>515</v>
      </c>
      <c r="B313" s="11" t="s">
        <v>421</v>
      </c>
      <c r="C313" s="11" t="s">
        <v>245</v>
      </c>
      <c r="D313" s="11" t="s">
        <v>422</v>
      </c>
      <c r="E313" s="11" t="s">
        <v>423</v>
      </c>
      <c r="F313" s="11" t="s">
        <v>42</v>
      </c>
      <c r="G313" s="14">
        <v>275</v>
      </c>
      <c r="H313" s="17">
        <f>IF(SUMIFS(İndirimler!$C$2:$C$210,İndirimler!$A$2:$A$210,B313,İndirimler!$B$2:$B$210,C313)&gt;0,ROUND(G313*(1-SUMIFS(İndirimler!$C$2:$C$210,İndirimler!$A$2:$A$210,B313,İndirimler!$B$2:$B$210,C313)),2),"")</f>
        <v>233.75</v>
      </c>
      <c r="I313" s="20">
        <f>IF(SUMIFS(İndirimler!$D$2:$D$210,İndirimler!$A$2:$A$210,B313,İndirimler!$B$2:$B$210,C313)&gt;0,ROUND(G313*(1-SUMIFS(İndirimler!$D$2:$D$210,İndirimler!$A$2:$A$210,B313,İndirimler!$B$2:$B$210,C313)),2),"")</f>
        <v>192.5</v>
      </c>
      <c r="J313" s="11"/>
      <c r="K313" s="27"/>
    </row>
    <row r="314" spans="1:11">
      <c r="A314" s="55" t="s">
        <v>516</v>
      </c>
      <c r="B314" s="11" t="s">
        <v>421</v>
      </c>
      <c r="C314" s="11" t="s">
        <v>245</v>
      </c>
      <c r="D314" s="11" t="s">
        <v>422</v>
      </c>
      <c r="E314" s="11" t="s">
        <v>423</v>
      </c>
      <c r="F314" s="11" t="s">
        <v>42</v>
      </c>
      <c r="G314" s="14">
        <v>305</v>
      </c>
      <c r="H314" s="17">
        <f>IF(SUMIFS(İndirimler!$C$2:$C$210,İndirimler!$A$2:$A$210,B314,İndirimler!$B$2:$B$210,C314)&gt;0,ROUND(G314*(1-SUMIFS(İndirimler!$C$2:$C$210,İndirimler!$A$2:$A$210,B314,İndirimler!$B$2:$B$210,C314)),2),"")</f>
        <v>259.25</v>
      </c>
      <c r="I314" s="20">
        <f>IF(SUMIFS(İndirimler!$D$2:$D$210,İndirimler!$A$2:$A$210,B314,İndirimler!$B$2:$B$210,C314)&gt;0,ROUND(G314*(1-SUMIFS(İndirimler!$D$2:$D$210,İndirimler!$A$2:$A$210,B314,İndirimler!$B$2:$B$210,C314)),2),"")</f>
        <v>213.5</v>
      </c>
      <c r="J314" s="11"/>
      <c r="K314" s="27"/>
    </row>
    <row r="315" spans="1:11">
      <c r="A315" s="55" t="s">
        <v>517</v>
      </c>
      <c r="B315" s="11" t="s">
        <v>50</v>
      </c>
      <c r="C315" s="11" t="s">
        <v>245</v>
      </c>
      <c r="D315" s="11" t="s">
        <v>422</v>
      </c>
      <c r="E315" s="11"/>
      <c r="F315" s="11" t="s">
        <v>16</v>
      </c>
      <c r="G315" s="14">
        <v>275</v>
      </c>
      <c r="H315" s="17">
        <f>IF(SUMIFS(İndirimler!$C$2:$C$210,İndirimler!$A$2:$A$210,B315,İndirimler!$B$2:$B$210,C315)&gt;0,ROUND(G315*(1-SUMIFS(İndirimler!$C$2:$C$210,İndirimler!$A$2:$A$210,B315,İndirimler!$B$2:$B$210,C315)),2),"")</f>
        <v>233.75</v>
      </c>
      <c r="I315" s="20">
        <f>IF(SUMIFS(İndirimler!$D$2:$D$210,İndirimler!$A$2:$A$210,B315,İndirimler!$B$2:$B$210,C315)&gt;0,ROUND(G315*(1-SUMIFS(İndirimler!$D$2:$D$210,İndirimler!$A$2:$A$210,B315,İndirimler!$B$2:$B$210,C315)),2),"")</f>
        <v>192.5</v>
      </c>
      <c r="J315" s="11"/>
      <c r="K315" s="27"/>
    </row>
    <row r="316" spans="1:11">
      <c r="A316" s="55" t="s">
        <v>518</v>
      </c>
      <c r="B316" s="11" t="s">
        <v>137</v>
      </c>
      <c r="C316" s="11" t="s">
        <v>13</v>
      </c>
      <c r="D316" s="11" t="s">
        <v>422</v>
      </c>
      <c r="E316" s="11"/>
      <c r="F316" s="11" t="s">
        <v>16</v>
      </c>
      <c r="G316" s="14">
        <v>655</v>
      </c>
      <c r="H316" s="17">
        <f>IF(SUMIFS(İndirimler!$C$2:$C$210,İndirimler!$A$2:$A$210,B316,İndirimler!$B$2:$B$210,C316)&gt;0,ROUND(G316*(1-SUMIFS(İndirimler!$C$2:$C$210,İndirimler!$A$2:$A$210,B316,İndirimler!$B$2:$B$210,C316)),2),"")</f>
        <v>556.75</v>
      </c>
      <c r="I316" s="20">
        <f>IF(SUMIFS(İndirimler!$D$2:$D$210,İndirimler!$A$2:$A$210,B316,İndirimler!$B$2:$B$210,C316)&gt;0,ROUND(G316*(1-SUMIFS(İndirimler!$D$2:$D$210,İndirimler!$A$2:$A$210,B316,İndirimler!$B$2:$B$210,C316)),2),"")</f>
        <v>458.5</v>
      </c>
      <c r="J316" s="11"/>
      <c r="K316" s="27"/>
    </row>
    <row r="317" spans="1:11">
      <c r="A317" s="55" t="s">
        <v>519</v>
      </c>
      <c r="B317" s="11" t="s">
        <v>18</v>
      </c>
      <c r="C317" s="11" t="s">
        <v>13</v>
      </c>
      <c r="D317" s="11" t="s">
        <v>422</v>
      </c>
      <c r="E317" s="11"/>
      <c r="F317" s="11" t="s">
        <v>16</v>
      </c>
      <c r="G317" s="14">
        <v>479</v>
      </c>
      <c r="H317" s="17">
        <f>IF(SUMIFS(İndirimler!$C$2:$C$210,İndirimler!$A$2:$A$210,B317,İndirimler!$B$2:$B$210,C317)&gt;0,ROUND(G317*(1-SUMIFS(İndirimler!$C$2:$C$210,İndirimler!$A$2:$A$210,B317,İndirimler!$B$2:$B$210,C317)),2),"")</f>
        <v>407.15</v>
      </c>
      <c r="I317" s="20">
        <f>IF(SUMIFS(İndirimler!$D$2:$D$210,İndirimler!$A$2:$A$210,B317,İndirimler!$B$2:$B$210,C317)&gt;0,ROUND(G317*(1-SUMIFS(İndirimler!$D$2:$D$210,İndirimler!$A$2:$A$210,B317,İndirimler!$B$2:$B$210,C317)),2),"")</f>
        <v>335.3</v>
      </c>
      <c r="J317" s="11" t="s">
        <v>520</v>
      </c>
      <c r="K317" s="27"/>
    </row>
    <row r="318" spans="1:11">
      <c r="A318" s="55" t="s">
        <v>521</v>
      </c>
      <c r="B318" s="11" t="s">
        <v>23</v>
      </c>
      <c r="C318" s="11" t="s">
        <v>13</v>
      </c>
      <c r="D318" s="11" t="s">
        <v>422</v>
      </c>
      <c r="E318" s="11"/>
      <c r="F318" s="11" t="s">
        <v>16</v>
      </c>
      <c r="G318" s="14">
        <v>465</v>
      </c>
      <c r="H318" s="17">
        <f>IF(SUMIFS(İndirimler!$C$2:$C$210,İndirimler!$A$2:$A$210,B318,İndirimler!$B$2:$B$210,C318)&gt;0,ROUND(G318*(1-SUMIFS(İndirimler!$C$2:$C$210,İndirimler!$A$2:$A$210,B318,İndirimler!$B$2:$B$210,C318)),2),"")</f>
        <v>395.25</v>
      </c>
      <c r="I318" s="20">
        <f>IF(SUMIFS(İndirimler!$D$2:$D$210,İndirimler!$A$2:$A$210,B318,İndirimler!$B$2:$B$210,C318)&gt;0,ROUND(G318*(1-SUMIFS(İndirimler!$D$2:$D$210,İndirimler!$A$2:$A$210,B318,İndirimler!$B$2:$B$210,C318)),2),"")</f>
        <v>325.5</v>
      </c>
      <c r="J318" s="11"/>
      <c r="K318" s="27"/>
    </row>
    <row r="319" spans="1:11">
      <c r="A319" s="55" t="s">
        <v>522</v>
      </c>
      <c r="B319" s="11" t="s">
        <v>50</v>
      </c>
      <c r="C319" s="11" t="s">
        <v>13</v>
      </c>
      <c r="D319" s="11" t="s">
        <v>422</v>
      </c>
      <c r="E319" s="11"/>
      <c r="F319" s="11" t="s">
        <v>16</v>
      </c>
      <c r="G319" s="14">
        <v>538</v>
      </c>
      <c r="H319" s="17">
        <f>IF(SUMIFS(İndirimler!$C$2:$C$210,İndirimler!$A$2:$A$210,B319,İndirimler!$B$2:$B$210,C319)&gt;0,ROUND(G319*(1-SUMIFS(İndirimler!$C$2:$C$210,İndirimler!$A$2:$A$210,B319,İndirimler!$B$2:$B$210,C319)),2),"")</f>
        <v>457.3</v>
      </c>
      <c r="I319" s="20">
        <f>IF(SUMIFS(İndirimler!$D$2:$D$210,İndirimler!$A$2:$A$210,B319,İndirimler!$B$2:$B$210,C319)&gt;0,ROUND(G319*(1-SUMIFS(İndirimler!$D$2:$D$210,İndirimler!$A$2:$A$210,B319,İndirimler!$B$2:$B$210,C319)),2),"")</f>
        <v>376.6</v>
      </c>
      <c r="J319" s="11"/>
      <c r="K319" s="27"/>
    </row>
    <row r="320" spans="1:11">
      <c r="A320" s="55" t="s">
        <v>523</v>
      </c>
      <c r="B320" s="11" t="s">
        <v>438</v>
      </c>
      <c r="C320" s="11" t="s">
        <v>13</v>
      </c>
      <c r="D320" s="11" t="s">
        <v>422</v>
      </c>
      <c r="E320" s="11"/>
      <c r="F320" s="11" t="s">
        <v>16</v>
      </c>
      <c r="G320" s="14"/>
      <c r="H320" s="17">
        <f>IF(SUMIFS(İndirimler!$C$2:$C$210,İndirimler!$A$2:$A$210,B320,İndirimler!$B$2:$B$210,C320)&gt;0,ROUND(G320*(1-SUMIFS(İndirimler!$C$2:$C$210,İndirimler!$A$2:$A$210,B320,İndirimler!$B$2:$B$210,C320)),2),"")</f>
        <v>0</v>
      </c>
      <c r="I320" s="20">
        <f>IF(SUMIFS(İndirimler!$D$2:$D$210,İndirimler!$A$2:$A$210,B320,İndirimler!$B$2:$B$210,C320)&gt;0,ROUND(G320*(1-SUMIFS(İndirimler!$D$2:$D$210,İndirimler!$A$2:$A$210,B320,İndirimler!$B$2:$B$210,C320)),2),"")</f>
        <v>0</v>
      </c>
      <c r="J320" s="11"/>
      <c r="K320" s="27"/>
    </row>
    <row r="321" spans="1:11">
      <c r="A321" s="55" t="s">
        <v>524</v>
      </c>
      <c r="B321" s="11" t="s">
        <v>421</v>
      </c>
      <c r="C321" s="11" t="s">
        <v>13</v>
      </c>
      <c r="D321" s="11" t="s">
        <v>422</v>
      </c>
      <c r="E321" s="11"/>
      <c r="F321" s="11" t="s">
        <v>16</v>
      </c>
      <c r="G321" s="14">
        <v>599</v>
      </c>
      <c r="H321" s="17">
        <f>IF(SUMIFS(İndirimler!$C$2:$C$210,İndirimler!$A$2:$A$210,B321,İndirimler!$B$2:$B$210,C321)&gt;0,ROUND(G321*(1-SUMIFS(İndirimler!$C$2:$C$210,İndirimler!$A$2:$A$210,B321,İndirimler!$B$2:$B$210,C321)),2),"")</f>
        <v>509.15</v>
      </c>
      <c r="I321" s="20">
        <f>IF(SUMIFS(İndirimler!$D$2:$D$210,İndirimler!$A$2:$A$210,B321,İndirimler!$B$2:$B$210,C321)&gt;0,ROUND(G321*(1-SUMIFS(İndirimler!$D$2:$D$210,İndirimler!$A$2:$A$210,B321,İndirimler!$B$2:$B$210,C321)),2),"")</f>
        <v>419.3</v>
      </c>
      <c r="J321" s="11"/>
      <c r="K321" s="27"/>
    </row>
    <row r="322" spans="1:11">
      <c r="A322" s="55" t="s">
        <v>525</v>
      </c>
      <c r="B322" s="11" t="s">
        <v>38</v>
      </c>
      <c r="C322" s="11" t="s">
        <v>13</v>
      </c>
      <c r="D322" s="11" t="s">
        <v>422</v>
      </c>
      <c r="E322" s="11" t="s">
        <v>69</v>
      </c>
      <c r="F322" s="11" t="s">
        <v>16</v>
      </c>
      <c r="G322" s="14">
        <v>395</v>
      </c>
      <c r="H322" s="17">
        <f>IF(SUMIFS(İndirimler!$C$2:$C$210,İndirimler!$A$2:$A$210,B322,İndirimler!$B$2:$B$210,C322)&gt;0,ROUND(G322*(1-SUMIFS(İndirimler!$C$2:$C$210,İndirimler!$A$2:$A$210,B322,İndirimler!$B$2:$B$210,C322)),2),"")</f>
        <v>335.75</v>
      </c>
      <c r="I322" s="20">
        <f>IF(SUMIFS(İndirimler!$D$2:$D$210,İndirimler!$A$2:$A$210,B322,İndirimler!$B$2:$B$210,C322)&gt;0,ROUND(G322*(1-SUMIFS(İndirimler!$D$2:$D$210,İndirimler!$A$2:$A$210,B322,İndirimler!$B$2:$B$210,C322)),2),"")</f>
        <v>276.5</v>
      </c>
      <c r="J322" s="11"/>
      <c r="K322" s="27"/>
    </row>
    <row r="323" spans="1:11">
      <c r="A323" s="55" t="s">
        <v>526</v>
      </c>
      <c r="B323" s="11" t="s">
        <v>32</v>
      </c>
      <c r="C323" s="11" t="s">
        <v>33</v>
      </c>
      <c r="D323" s="11" t="s">
        <v>527</v>
      </c>
      <c r="E323" s="11"/>
      <c r="F323" s="11" t="s">
        <v>35</v>
      </c>
      <c r="G323" s="14">
        <v>549</v>
      </c>
      <c r="H323" s="17">
        <f>IF(SUMIFS(İndirimler!$C$2:$C$210,İndirimler!$A$2:$A$210,B323,İndirimler!$B$2:$B$210,C323)&gt;0,ROUND(G323*(1-SUMIFS(İndirimler!$C$2:$C$210,İndirimler!$A$2:$A$210,B323,İndirimler!$B$2:$B$210,C323)),2),"")</f>
        <v>466.65</v>
      </c>
      <c r="I323" s="20">
        <f>IF(SUMIFS(İndirimler!$D$2:$D$210,İndirimler!$A$2:$A$210,B323,İndirimler!$B$2:$B$210,C323)&gt;0,ROUND(G323*(1-SUMIFS(İndirimler!$D$2:$D$210,İndirimler!$A$2:$A$210,B323,İndirimler!$B$2:$B$210,C323)),2),"")</f>
        <v>384.3</v>
      </c>
      <c r="J323" s="26" t="s">
        <v>528</v>
      </c>
      <c r="K323" s="27"/>
    </row>
    <row r="324" spans="1:11">
      <c r="A324" s="55" t="s">
        <v>529</v>
      </c>
      <c r="B324" s="11" t="s">
        <v>38</v>
      </c>
      <c r="C324" s="11" t="s">
        <v>33</v>
      </c>
      <c r="D324" s="11" t="s">
        <v>527</v>
      </c>
      <c r="E324" s="11"/>
      <c r="F324" s="11" t="s">
        <v>35</v>
      </c>
      <c r="G324" s="14">
        <v>755</v>
      </c>
      <c r="H324" s="17">
        <f>IF(SUMIFS(İndirimler!$C$2:$C$210,İndirimler!$A$2:$A$210,B324,İndirimler!$B$2:$B$210,C324)&gt;0,ROUND(G324*(1-SUMIFS(İndirimler!$C$2:$C$210,İndirimler!$A$2:$A$210,B324,İndirimler!$B$2:$B$210,C324)),2),"")</f>
        <v>641.75</v>
      </c>
      <c r="I324" s="20">
        <f>IF(SUMIFS(İndirimler!$D$2:$D$210,İndirimler!$A$2:$A$210,B324,İndirimler!$B$2:$B$210,C324)&gt;0,ROUND(G324*(1-SUMIFS(İndirimler!$D$2:$D$210,İndirimler!$A$2:$A$210,B324,İndirimler!$B$2:$B$210,C324)),2),"")</f>
        <v>528.5</v>
      </c>
      <c r="J324" s="11" t="s">
        <v>530</v>
      </c>
      <c r="K324" s="27"/>
    </row>
    <row r="325" spans="1:11">
      <c r="A325" s="55" t="s">
        <v>531</v>
      </c>
      <c r="B325" s="11" t="s">
        <v>18</v>
      </c>
      <c r="C325" s="11" t="s">
        <v>33</v>
      </c>
      <c r="D325" s="11" t="s">
        <v>527</v>
      </c>
      <c r="E325" s="11" t="s">
        <v>41</v>
      </c>
      <c r="F325" s="11" t="s">
        <v>42</v>
      </c>
      <c r="G325" s="14"/>
      <c r="H325" s="17">
        <f>IF(SUMIFS(İndirimler!$C$2:$C$210,İndirimler!$A$2:$A$210,B325,İndirimler!$B$2:$B$210,C325)&gt;0,ROUND(G325*(1-SUMIFS(İndirimler!$C$2:$C$210,İndirimler!$A$2:$A$210,B325,İndirimler!$B$2:$B$210,C325)),2),"")</f>
        <v>0</v>
      </c>
      <c r="I325" s="20">
        <f>IF(SUMIFS(İndirimler!$D$2:$D$210,İndirimler!$A$2:$A$210,B325,İndirimler!$B$2:$B$210,C325)&gt;0,ROUND(G325*(1-SUMIFS(İndirimler!$D$2:$D$210,İndirimler!$A$2:$A$210,B325,İndirimler!$B$2:$B$210,C325)),2),"")</f>
        <v>0</v>
      </c>
      <c r="J325" s="11"/>
      <c r="K325" s="27"/>
    </row>
    <row r="326" spans="1:11">
      <c r="A326" s="55" t="s">
        <v>532</v>
      </c>
      <c r="B326" s="11" t="s">
        <v>533</v>
      </c>
      <c r="C326" s="11" t="s">
        <v>33</v>
      </c>
      <c r="D326" s="11" t="s">
        <v>527</v>
      </c>
      <c r="E326" s="11" t="s">
        <v>534</v>
      </c>
      <c r="F326" s="11" t="s">
        <v>42</v>
      </c>
      <c r="G326" s="14">
        <v>499</v>
      </c>
      <c r="H326" s="17">
        <f>IF(SUMIFS(İndirimler!$C$2:$C$210,İndirimler!$A$2:$A$210,B326,İndirimler!$B$2:$B$210,C326)&gt;0,ROUND(G326*(1-SUMIFS(İndirimler!$C$2:$C$210,İndirimler!$A$2:$A$210,B326,İndirimler!$B$2:$B$210,C326)),2),"")</f>
        <v>424.15</v>
      </c>
      <c r="I326" s="20">
        <f>IF(SUMIFS(İndirimler!$D$2:$D$210,İndirimler!$A$2:$A$210,B326,İndirimler!$B$2:$B$210,C326)&gt;0,ROUND(G326*(1-SUMIFS(İndirimler!$D$2:$D$210,İndirimler!$A$2:$A$210,B326,İndirimler!$B$2:$B$210,C326)),2),"")</f>
        <v>349.3</v>
      </c>
      <c r="J326" s="11" t="s">
        <v>535</v>
      </c>
      <c r="K326" s="27" t="s">
        <v>536</v>
      </c>
    </row>
    <row r="327" spans="1:11">
      <c r="A327" s="55" t="s">
        <v>537</v>
      </c>
      <c r="B327" s="11" t="s">
        <v>44</v>
      </c>
      <c r="C327" s="11" t="s">
        <v>33</v>
      </c>
      <c r="D327" s="11" t="s">
        <v>527</v>
      </c>
      <c r="E327" s="11" t="s">
        <v>45</v>
      </c>
      <c r="F327" s="11" t="s">
        <v>42</v>
      </c>
      <c r="G327" s="14">
        <v>376</v>
      </c>
      <c r="H327" s="17">
        <f>IF(SUMIFS(İndirimler!$C$2:$C$210,İndirimler!$A$2:$A$210,B327,İndirimler!$B$2:$B$210,C327)&gt;0,ROUND(G327*(1-SUMIFS(İndirimler!$C$2:$C$210,İndirimler!$A$2:$A$210,B327,İndirimler!$B$2:$B$210,C327)),2),"")</f>
        <v>319.60000000000002</v>
      </c>
      <c r="I327" s="20">
        <f>IF(SUMIFS(İndirimler!$D$2:$D$210,İndirimler!$A$2:$A$210,B327,İndirimler!$B$2:$B$210,C327)&gt;0,ROUND(G327*(1-SUMIFS(İndirimler!$D$2:$D$210,İndirimler!$A$2:$A$210,B327,İndirimler!$B$2:$B$210,C327)),2),"")</f>
        <v>263.2</v>
      </c>
      <c r="J327" s="11" t="s">
        <v>538</v>
      </c>
      <c r="K327" s="27"/>
    </row>
    <row r="328" spans="1:11">
      <c r="A328" s="55" t="s">
        <v>539</v>
      </c>
      <c r="B328" s="11" t="s">
        <v>23</v>
      </c>
      <c r="C328" s="11" t="s">
        <v>33</v>
      </c>
      <c r="D328" s="11" t="s">
        <v>527</v>
      </c>
      <c r="E328" s="11"/>
      <c r="F328" s="11" t="s">
        <v>42</v>
      </c>
      <c r="G328" s="14">
        <v>520</v>
      </c>
      <c r="H328" s="17">
        <f>IF(SUMIFS(İndirimler!$C$2:$C$210,İndirimler!$A$2:$A$210,B328,İndirimler!$B$2:$B$210,C328)&gt;0,ROUND(G328*(1-SUMIFS(İndirimler!$C$2:$C$210,İndirimler!$A$2:$A$210,B328,İndirimler!$B$2:$B$210,C328)),2),"")</f>
        <v>442</v>
      </c>
      <c r="I328" s="20">
        <f>IF(SUMIFS(İndirimler!$D$2:$D$210,İndirimler!$A$2:$A$210,B328,İndirimler!$B$2:$B$210,C328)&gt;0,ROUND(G328*(1-SUMIFS(İndirimler!$D$2:$D$210,İndirimler!$A$2:$A$210,B328,İndirimler!$B$2:$B$210,C328)),2),"")</f>
        <v>364</v>
      </c>
      <c r="J328" s="26" t="s">
        <v>540</v>
      </c>
      <c r="K328" s="27"/>
    </row>
    <row r="329" spans="1:11">
      <c r="A329" s="55" t="s">
        <v>541</v>
      </c>
      <c r="B329" s="11" t="s">
        <v>50</v>
      </c>
      <c r="C329" s="11" t="s">
        <v>33</v>
      </c>
      <c r="D329" s="11" t="s">
        <v>527</v>
      </c>
      <c r="E329" s="11" t="s">
        <v>51</v>
      </c>
      <c r="F329" s="11" t="s">
        <v>42</v>
      </c>
      <c r="G329" s="14">
        <v>500</v>
      </c>
      <c r="H329" s="17">
        <f>IF(SUMIFS(İndirimler!$C$2:$C$210,İndirimler!$A$2:$A$210,B329,İndirimler!$B$2:$B$210,C329)&gt;0,ROUND(G329*(1-SUMIFS(İndirimler!$C$2:$C$210,İndirimler!$A$2:$A$210,B329,İndirimler!$B$2:$B$210,C329)),2),"")</f>
        <v>425</v>
      </c>
      <c r="I329" s="20">
        <f>IF(SUMIFS(İndirimler!$D$2:$D$210,İndirimler!$A$2:$A$210,B329,İndirimler!$B$2:$B$210,C329)&gt;0,ROUND(G329*(1-SUMIFS(İndirimler!$D$2:$D$210,İndirimler!$A$2:$A$210,B329,İndirimler!$B$2:$B$210,C329)),2),"")</f>
        <v>350</v>
      </c>
      <c r="J329" s="11"/>
      <c r="K329" s="27"/>
    </row>
    <row r="330" spans="1:11">
      <c r="A330" s="55" t="s">
        <v>542</v>
      </c>
      <c r="B330" s="11" t="s">
        <v>55</v>
      </c>
      <c r="C330" s="11" t="s">
        <v>33</v>
      </c>
      <c r="D330" s="11" t="s">
        <v>527</v>
      </c>
      <c r="E330" s="11"/>
      <c r="F330" s="11" t="s">
        <v>16</v>
      </c>
      <c r="G330" s="14">
        <v>366</v>
      </c>
      <c r="H330" s="17">
        <f>IF(SUMIFS(İndirimler!$C$2:$C$210,İndirimler!$A$2:$A$210,B330,İndirimler!$B$2:$B$210,C330)&gt;0,ROUND(G330*(1-SUMIFS(İndirimler!$C$2:$C$210,İndirimler!$A$2:$A$210,B330,İndirimler!$B$2:$B$210,C330)),2),"")</f>
        <v>311.10000000000002</v>
      </c>
      <c r="I330" s="20">
        <f>IF(SUMIFS(İndirimler!$D$2:$D$210,İndirimler!$A$2:$A$210,B330,İndirimler!$B$2:$B$210,C330)&gt;0,ROUND(G330*(1-SUMIFS(İndirimler!$D$2:$D$210,İndirimler!$A$2:$A$210,B330,İndirimler!$B$2:$B$210,C330)),2),"")</f>
        <v>256.2</v>
      </c>
      <c r="J330" s="11" t="s">
        <v>543</v>
      </c>
      <c r="K330" s="27"/>
    </row>
    <row r="331" spans="1:11">
      <c r="A331" s="55" t="s">
        <v>544</v>
      </c>
      <c r="B331" s="11" t="s">
        <v>137</v>
      </c>
      <c r="C331" s="11" t="s">
        <v>33</v>
      </c>
      <c r="D331" s="11" t="s">
        <v>527</v>
      </c>
      <c r="E331" s="11"/>
      <c r="F331" s="11" t="s">
        <v>16</v>
      </c>
      <c r="G331" s="14">
        <v>480</v>
      </c>
      <c r="H331" s="17">
        <f>IF(SUMIFS(İndirimler!$C$2:$C$210,İndirimler!$A$2:$A$210,B331,İndirimler!$B$2:$B$210,C331)&gt;0,ROUND(G331*(1-SUMIFS(İndirimler!$C$2:$C$210,İndirimler!$A$2:$A$210,B331,İndirimler!$B$2:$B$210,C331)),2),"")</f>
        <v>408</v>
      </c>
      <c r="I331" s="20">
        <f>IF(SUMIFS(İndirimler!$D$2:$D$210,İndirimler!$A$2:$A$210,B331,İndirimler!$B$2:$B$210,C331)&gt;0,ROUND(G331*(1-SUMIFS(İndirimler!$D$2:$D$210,İndirimler!$A$2:$A$210,B331,İndirimler!$B$2:$B$210,C331)),2),"")</f>
        <v>336</v>
      </c>
      <c r="J331" s="26" t="s">
        <v>545</v>
      </c>
      <c r="K331" s="27"/>
    </row>
    <row r="332" spans="1:11">
      <c r="A332" s="55" t="s">
        <v>546</v>
      </c>
      <c r="B332" s="11" t="s">
        <v>18</v>
      </c>
      <c r="C332" s="11" t="s">
        <v>33</v>
      </c>
      <c r="D332" s="11" t="s">
        <v>527</v>
      </c>
      <c r="E332" s="11"/>
      <c r="F332" s="11" t="s">
        <v>16</v>
      </c>
      <c r="G332" s="14">
        <v>359</v>
      </c>
      <c r="H332" s="17">
        <f>IF(SUMIFS(İndirimler!$C$2:$C$210,İndirimler!$A$2:$A$210,B332,İndirimler!$B$2:$B$210,C332)&gt;0,ROUND(G332*(1-SUMIFS(İndirimler!$C$2:$C$210,İndirimler!$A$2:$A$210,B332,İndirimler!$B$2:$B$210,C332)),2),"")</f>
        <v>305.14999999999998</v>
      </c>
      <c r="I332" s="20">
        <f>IF(SUMIFS(İndirimler!$D$2:$D$210,İndirimler!$A$2:$A$210,B332,İndirimler!$B$2:$B$210,C332)&gt;0,ROUND(G332*(1-SUMIFS(İndirimler!$D$2:$D$210,İndirimler!$A$2:$A$210,B332,İndirimler!$B$2:$B$210,C332)),2),"")</f>
        <v>251.3</v>
      </c>
      <c r="J332" s="26" t="s">
        <v>547</v>
      </c>
      <c r="K332" s="27"/>
    </row>
    <row r="333" spans="1:11">
      <c r="A333" s="55" t="s">
        <v>548</v>
      </c>
      <c r="B333" s="11" t="s">
        <v>533</v>
      </c>
      <c r="C333" s="11" t="s">
        <v>33</v>
      </c>
      <c r="D333" s="11" t="s">
        <v>527</v>
      </c>
      <c r="E333" s="11"/>
      <c r="F333" s="11" t="s">
        <v>16</v>
      </c>
      <c r="G333" s="14">
        <v>449</v>
      </c>
      <c r="H333" s="17">
        <f>IF(SUMIFS(İndirimler!$C$2:$C$210,İndirimler!$A$2:$A$210,B333,İndirimler!$B$2:$B$210,C333)&gt;0,ROUND(G333*(1-SUMIFS(İndirimler!$C$2:$C$210,İndirimler!$A$2:$A$210,B333,İndirimler!$B$2:$B$210,C333)),2),"")</f>
        <v>381.65</v>
      </c>
      <c r="I333" s="20">
        <f>IF(SUMIFS(İndirimler!$D$2:$D$210,İndirimler!$A$2:$A$210,B333,İndirimler!$B$2:$B$210,C333)&gt;0,ROUND(G333*(1-SUMIFS(İndirimler!$D$2:$D$210,İndirimler!$A$2:$A$210,B333,İndirimler!$B$2:$B$210,C333)),2),"")</f>
        <v>314.3</v>
      </c>
      <c r="J333" s="11" t="s">
        <v>549</v>
      </c>
      <c r="K333" s="27" t="s">
        <v>550</v>
      </c>
    </row>
    <row r="334" spans="1:11">
      <c r="A334" s="55" t="s">
        <v>551</v>
      </c>
      <c r="B334" s="11" t="s">
        <v>533</v>
      </c>
      <c r="C334" s="11" t="s">
        <v>33</v>
      </c>
      <c r="D334" s="11" t="s">
        <v>527</v>
      </c>
      <c r="E334" s="11" t="s">
        <v>552</v>
      </c>
      <c r="F334" s="11" t="s">
        <v>16</v>
      </c>
      <c r="G334" s="14">
        <v>449</v>
      </c>
      <c r="H334" s="17">
        <f>IF(SUMIFS(İndirimler!$C$2:$C$210,İndirimler!$A$2:$A$210,B334,İndirimler!$B$2:$B$210,C334)&gt;0,ROUND(G334*(1-SUMIFS(İndirimler!$C$2:$C$210,İndirimler!$A$2:$A$210,B334,İndirimler!$B$2:$B$210,C334)),2),"")</f>
        <v>381.65</v>
      </c>
      <c r="I334" s="20">
        <f>IF(SUMIFS(İndirimler!$D$2:$D$210,İndirimler!$A$2:$A$210,B334,İndirimler!$B$2:$B$210,C334)&gt;0,ROUND(G334*(1-SUMIFS(İndirimler!$D$2:$D$210,İndirimler!$A$2:$A$210,B334,İndirimler!$B$2:$B$210,C334)),2),"")</f>
        <v>314.3</v>
      </c>
      <c r="J334" s="11" t="s">
        <v>553</v>
      </c>
      <c r="K334" s="27" t="s">
        <v>554</v>
      </c>
    </row>
    <row r="335" spans="1:11">
      <c r="A335" s="55" t="s">
        <v>555</v>
      </c>
      <c r="B335" s="11" t="s">
        <v>44</v>
      </c>
      <c r="C335" s="11" t="s">
        <v>33</v>
      </c>
      <c r="D335" s="11" t="s">
        <v>527</v>
      </c>
      <c r="E335" s="11" t="s">
        <v>60</v>
      </c>
      <c r="F335" s="11" t="s">
        <v>16</v>
      </c>
      <c r="G335" s="14">
        <v>274</v>
      </c>
      <c r="H335" s="17">
        <f>IF(SUMIFS(İndirimler!$C$2:$C$210,İndirimler!$A$2:$A$210,B335,İndirimler!$B$2:$B$210,C335)&gt;0,ROUND(G335*(1-SUMIFS(İndirimler!$C$2:$C$210,İndirimler!$A$2:$A$210,B335,İndirimler!$B$2:$B$210,C335)),2),"")</f>
        <v>232.9</v>
      </c>
      <c r="I335" s="20">
        <f>IF(SUMIFS(İndirimler!$D$2:$D$210,İndirimler!$A$2:$A$210,B335,İndirimler!$B$2:$B$210,C335)&gt;0,ROUND(G335*(1-SUMIFS(İndirimler!$D$2:$D$210,İndirimler!$A$2:$A$210,B335,İndirimler!$B$2:$B$210,C335)),2),"")</f>
        <v>191.8</v>
      </c>
      <c r="J335" s="11" t="s">
        <v>556</v>
      </c>
      <c r="K335" s="27"/>
    </row>
    <row r="336" spans="1:11">
      <c r="A336" s="55" t="s">
        <v>557</v>
      </c>
      <c r="B336" s="11" t="s">
        <v>63</v>
      </c>
      <c r="C336" s="11" t="s">
        <v>33</v>
      </c>
      <c r="D336" s="11" t="s">
        <v>527</v>
      </c>
      <c r="E336" s="11" t="s">
        <v>64</v>
      </c>
      <c r="F336" s="11" t="s">
        <v>16</v>
      </c>
      <c r="G336" s="14">
        <v>449</v>
      </c>
      <c r="H336" s="17">
        <f>IF(SUMIFS(İndirimler!$C$2:$C$210,İndirimler!$A$2:$A$210,B336,İndirimler!$B$2:$B$210,C336)&gt;0,ROUND(G336*(1-SUMIFS(İndirimler!$C$2:$C$210,İndirimler!$A$2:$A$210,B336,İndirimler!$B$2:$B$210,C336)),2),"")</f>
        <v>381.65</v>
      </c>
      <c r="I336" s="20">
        <f>IF(SUMIFS(İndirimler!$D$2:$D$210,İndirimler!$A$2:$A$210,B336,İndirimler!$B$2:$B$210,C336)&gt;0,ROUND(G336*(1-SUMIFS(İndirimler!$D$2:$D$210,İndirimler!$A$2:$A$210,B336,İndirimler!$B$2:$B$210,C336)),2),"")</f>
        <v>314.3</v>
      </c>
      <c r="J336" s="11" t="s">
        <v>558</v>
      </c>
      <c r="K336" s="27"/>
    </row>
    <row r="337" spans="1:11">
      <c r="A337" s="55" t="s">
        <v>559</v>
      </c>
      <c r="B337" s="11" t="s">
        <v>23</v>
      </c>
      <c r="C337" s="11" t="s">
        <v>33</v>
      </c>
      <c r="D337" s="11" t="s">
        <v>527</v>
      </c>
      <c r="E337" s="11"/>
      <c r="F337" s="11" t="s">
        <v>16</v>
      </c>
      <c r="G337" s="14">
        <v>580</v>
      </c>
      <c r="H337" s="17">
        <f>IF(SUMIFS(İndirimler!$C$2:$C$210,İndirimler!$A$2:$A$210,B337,İndirimler!$B$2:$B$210,C337)&gt;0,ROUND(G337*(1-SUMIFS(İndirimler!$C$2:$C$210,İndirimler!$A$2:$A$210,B337,İndirimler!$B$2:$B$210,C337)),2),"")</f>
        <v>493</v>
      </c>
      <c r="I337" s="20">
        <f>IF(SUMIFS(İndirimler!$D$2:$D$210,İndirimler!$A$2:$A$210,B337,İndirimler!$B$2:$B$210,C337)&gt;0,ROUND(G337*(1-SUMIFS(İndirimler!$D$2:$D$210,İndirimler!$A$2:$A$210,B337,İndirimler!$B$2:$B$210,C337)),2),"")</f>
        <v>406</v>
      </c>
      <c r="J337" s="26" t="s">
        <v>560</v>
      </c>
      <c r="K337" s="27"/>
    </row>
    <row r="338" spans="1:11">
      <c r="A338" s="55" t="s">
        <v>561</v>
      </c>
      <c r="B338" s="11" t="s">
        <v>50</v>
      </c>
      <c r="C338" s="11" t="s">
        <v>33</v>
      </c>
      <c r="D338" s="11" t="s">
        <v>527</v>
      </c>
      <c r="E338" s="11" t="s">
        <v>69</v>
      </c>
      <c r="F338" s="11" t="s">
        <v>16</v>
      </c>
      <c r="G338" s="14">
        <v>475</v>
      </c>
      <c r="H338" s="17">
        <f>IF(SUMIFS(İndirimler!$C$2:$C$210,İndirimler!$A$2:$A$210,B338,İndirimler!$B$2:$B$210,C338)&gt;0,ROUND(G338*(1-SUMIFS(İndirimler!$C$2:$C$210,İndirimler!$A$2:$A$210,B338,İndirimler!$B$2:$B$210,C338)),2),"")</f>
        <v>403.75</v>
      </c>
      <c r="I338" s="20">
        <f>IF(SUMIFS(İndirimler!$D$2:$D$210,İndirimler!$A$2:$A$210,B338,İndirimler!$B$2:$B$210,C338)&gt;0,ROUND(G338*(1-SUMIFS(İndirimler!$D$2:$D$210,İndirimler!$A$2:$A$210,B338,İndirimler!$B$2:$B$210,C338)),2),"")</f>
        <v>332.5</v>
      </c>
      <c r="J338" s="11"/>
      <c r="K338" s="27"/>
    </row>
    <row r="339" spans="1:11">
      <c r="A339" s="55" t="s">
        <v>562</v>
      </c>
      <c r="B339" s="11" t="s">
        <v>563</v>
      </c>
      <c r="C339" s="11" t="s">
        <v>33</v>
      </c>
      <c r="D339" s="11" t="s">
        <v>527</v>
      </c>
      <c r="E339" s="11"/>
      <c r="F339" s="11" t="s">
        <v>16</v>
      </c>
      <c r="G339" s="14">
        <v>329</v>
      </c>
      <c r="H339" s="17">
        <f>IF(SUMIFS(İndirimler!$C$2:$C$210,İndirimler!$A$2:$A$210,B339,İndirimler!$B$2:$B$210,C339)&gt;0,ROUND(G339*(1-SUMIFS(İndirimler!$C$2:$C$210,İndirimler!$A$2:$A$210,B339,İndirimler!$B$2:$B$210,C339)),2),"")</f>
        <v>279.64999999999998</v>
      </c>
      <c r="I339" s="20">
        <f>IF(SUMIFS(İndirimler!$D$2:$D$210,İndirimler!$A$2:$A$210,B339,İndirimler!$B$2:$B$210,C339)&gt;0,ROUND(G339*(1-SUMIFS(İndirimler!$D$2:$D$210,İndirimler!$A$2:$A$210,B339,İndirimler!$B$2:$B$210,C339)),2),"")</f>
        <v>230.3</v>
      </c>
      <c r="J339" s="26" t="s">
        <v>895</v>
      </c>
      <c r="K339" s="27"/>
    </row>
    <row r="340" spans="1:11">
      <c r="A340" s="55" t="s">
        <v>564</v>
      </c>
      <c r="B340" s="11" t="s">
        <v>38</v>
      </c>
      <c r="C340" s="11" t="s">
        <v>33</v>
      </c>
      <c r="D340" s="11" t="s">
        <v>527</v>
      </c>
      <c r="E340" s="11" t="s">
        <v>69</v>
      </c>
      <c r="F340" s="11" t="s">
        <v>16</v>
      </c>
      <c r="G340" s="14">
        <v>359</v>
      </c>
      <c r="H340" s="17">
        <f>IF(SUMIFS(İndirimler!$C$2:$C$210,İndirimler!$A$2:$A$210,B340,İndirimler!$B$2:$B$210,C340)&gt;0,ROUND(G340*(1-SUMIFS(İndirimler!$C$2:$C$210,İndirimler!$A$2:$A$210,B340,İndirimler!$B$2:$B$210,C340)),2),"")</f>
        <v>305.14999999999998</v>
      </c>
      <c r="I340" s="20">
        <f>IF(SUMIFS(İndirimler!$D$2:$D$210,İndirimler!$A$2:$A$210,B340,İndirimler!$B$2:$B$210,C340)&gt;0,ROUND(G340*(1-SUMIFS(İndirimler!$D$2:$D$210,İndirimler!$A$2:$A$210,B340,İndirimler!$B$2:$B$210,C340)),2),"")</f>
        <v>251.3</v>
      </c>
      <c r="J340" s="11" t="s">
        <v>565</v>
      </c>
      <c r="K340" s="27"/>
    </row>
    <row r="341" spans="1:11">
      <c r="A341" s="55" t="s">
        <v>566</v>
      </c>
      <c r="B341" s="11" t="s">
        <v>72</v>
      </c>
      <c r="C341" s="11" t="s">
        <v>33</v>
      </c>
      <c r="D341" s="11" t="s">
        <v>527</v>
      </c>
      <c r="E341" s="11"/>
      <c r="F341" s="11" t="s">
        <v>73</v>
      </c>
      <c r="G341" s="14">
        <v>359</v>
      </c>
      <c r="H341" s="17">
        <f>IF(SUMIFS(İndirimler!$C$2:$C$210,İndirimler!$A$2:$A$210,B341,İndirimler!$B$2:$B$210,C341)&gt;0,ROUND(G341*(1-SUMIFS(İndirimler!$C$2:$C$210,İndirimler!$A$2:$A$210,B341,İndirimler!$B$2:$B$210,C341)),2),"")</f>
        <v>305.14999999999998</v>
      </c>
      <c r="I341" s="20">
        <f>IF(SUMIFS(İndirimler!$D$2:$D$210,İndirimler!$A$2:$A$210,B341,İndirimler!$B$2:$B$210,C341)&gt;0,ROUND(G341*(1-SUMIFS(İndirimler!$D$2:$D$210,İndirimler!$A$2:$A$210,B341,İndirimler!$B$2:$B$210,C341)),2),"")</f>
        <v>251.3</v>
      </c>
      <c r="J341" s="11"/>
      <c r="K341" s="27"/>
    </row>
    <row r="342" spans="1:11">
      <c r="A342" s="55" t="s">
        <v>567</v>
      </c>
      <c r="B342" s="11" t="s">
        <v>32</v>
      </c>
      <c r="C342" s="11" t="s">
        <v>76</v>
      </c>
      <c r="D342" s="11" t="s">
        <v>527</v>
      </c>
      <c r="E342" s="11"/>
      <c r="F342" s="11" t="s">
        <v>35</v>
      </c>
      <c r="G342" s="14">
        <v>629</v>
      </c>
      <c r="H342" s="17">
        <f>IF(SUMIFS(İndirimler!$C$2:$C$210,İndirimler!$A$2:$A$210,B342,İndirimler!$B$2:$B$210,C342)&gt;0,ROUND(G342*(1-SUMIFS(İndirimler!$C$2:$C$210,İndirimler!$A$2:$A$210,B342,İndirimler!$B$2:$B$210,C342)),2),"")</f>
        <v>534.65</v>
      </c>
      <c r="I342" s="20">
        <f>IF(SUMIFS(İndirimler!$D$2:$D$210,İndirimler!$A$2:$A$210,B342,İndirimler!$B$2:$B$210,C342)&gt;0,ROUND(G342*(1-SUMIFS(İndirimler!$D$2:$D$210,İndirimler!$A$2:$A$210,B342,İndirimler!$B$2:$B$210,C342)),2),"")</f>
        <v>440.3</v>
      </c>
      <c r="J342" s="26" t="s">
        <v>568</v>
      </c>
      <c r="K342" s="27"/>
    </row>
    <row r="343" spans="1:11">
      <c r="A343" s="55" t="s">
        <v>569</v>
      </c>
      <c r="B343" s="11" t="s">
        <v>38</v>
      </c>
      <c r="C343" s="11" t="s">
        <v>76</v>
      </c>
      <c r="D343" s="11" t="s">
        <v>527</v>
      </c>
      <c r="E343" s="11"/>
      <c r="F343" s="11" t="s">
        <v>35</v>
      </c>
      <c r="G343" s="14">
        <v>729</v>
      </c>
      <c r="H343" s="17">
        <f>IF(SUMIFS(İndirimler!$C$2:$C$210,İndirimler!$A$2:$A$210,B343,İndirimler!$B$2:$B$210,C343)&gt;0,ROUND(G343*(1-SUMIFS(İndirimler!$C$2:$C$210,İndirimler!$A$2:$A$210,B343,İndirimler!$B$2:$B$210,C343)),2),"")</f>
        <v>619.65</v>
      </c>
      <c r="I343" s="20">
        <f>IF(SUMIFS(İndirimler!$D$2:$D$210,İndirimler!$A$2:$A$210,B343,İndirimler!$B$2:$B$210,C343)&gt;0,ROUND(G343*(1-SUMIFS(İndirimler!$D$2:$D$210,İndirimler!$A$2:$A$210,B343,İndirimler!$B$2:$B$210,C343)),2),"")</f>
        <v>510.3</v>
      </c>
      <c r="J343" s="11" t="s">
        <v>570</v>
      </c>
      <c r="K343" s="27"/>
    </row>
    <row r="344" spans="1:11">
      <c r="A344" s="55" t="s">
        <v>571</v>
      </c>
      <c r="B344" s="11" t="s">
        <v>18</v>
      </c>
      <c r="C344" s="11" t="s">
        <v>76</v>
      </c>
      <c r="D344" s="11" t="s">
        <v>527</v>
      </c>
      <c r="E344" s="11" t="s">
        <v>41</v>
      </c>
      <c r="F344" s="11" t="s">
        <v>42</v>
      </c>
      <c r="G344" s="14"/>
      <c r="H344" s="17">
        <f>IF(SUMIFS(İndirimler!$C$2:$C$210,İndirimler!$A$2:$A$210,B344,İndirimler!$B$2:$B$210,C344)&gt;0,ROUND(G344*(1-SUMIFS(İndirimler!$C$2:$C$210,İndirimler!$A$2:$A$210,B344,İndirimler!$B$2:$B$210,C344)),2),"")</f>
        <v>0</v>
      </c>
      <c r="I344" s="20">
        <f>IF(SUMIFS(İndirimler!$D$2:$D$210,İndirimler!$A$2:$A$210,B344,İndirimler!$B$2:$B$210,C344)&gt;0,ROUND(G344*(1-SUMIFS(İndirimler!$D$2:$D$210,İndirimler!$A$2:$A$210,B344,İndirimler!$B$2:$B$210,C344)),2),"")</f>
        <v>0</v>
      </c>
      <c r="J344" s="11"/>
      <c r="K344" s="27"/>
    </row>
    <row r="345" spans="1:11">
      <c r="A345" s="55" t="s">
        <v>572</v>
      </c>
      <c r="B345" s="11" t="s">
        <v>533</v>
      </c>
      <c r="C345" s="11" t="s">
        <v>76</v>
      </c>
      <c r="D345" s="11" t="s">
        <v>527</v>
      </c>
      <c r="E345" s="11" t="s">
        <v>534</v>
      </c>
      <c r="F345" s="11" t="s">
        <v>42</v>
      </c>
      <c r="G345" s="14">
        <v>499</v>
      </c>
      <c r="H345" s="17">
        <f>IF(SUMIFS(İndirimler!$C$2:$C$210,İndirimler!$A$2:$A$210,B345,İndirimler!$B$2:$B$210,C345)&gt;0,ROUND(G345*(1-SUMIFS(İndirimler!$C$2:$C$210,İndirimler!$A$2:$A$210,B345,İndirimler!$B$2:$B$210,C345)),2),"")</f>
        <v>424.15</v>
      </c>
      <c r="I345" s="20">
        <f>IF(SUMIFS(İndirimler!$D$2:$D$210,İndirimler!$A$2:$A$210,B345,İndirimler!$B$2:$B$210,C345)&gt;0,ROUND(G345*(1-SUMIFS(İndirimler!$D$2:$D$210,İndirimler!$A$2:$A$210,B345,İndirimler!$B$2:$B$210,C345)),2),"")</f>
        <v>349.3</v>
      </c>
      <c r="J345" s="11" t="s">
        <v>573</v>
      </c>
      <c r="K345" s="27" t="s">
        <v>574</v>
      </c>
    </row>
    <row r="346" spans="1:11">
      <c r="A346" s="55" t="s">
        <v>575</v>
      </c>
      <c r="B346" s="11" t="s">
        <v>44</v>
      </c>
      <c r="C346" s="11" t="s">
        <v>76</v>
      </c>
      <c r="D346" s="11" t="s">
        <v>527</v>
      </c>
      <c r="E346" s="11" t="s">
        <v>45</v>
      </c>
      <c r="F346" s="11" t="s">
        <v>42</v>
      </c>
      <c r="G346" s="14">
        <v>346</v>
      </c>
      <c r="H346" s="17">
        <f>IF(SUMIFS(İndirimler!$C$2:$C$210,İndirimler!$A$2:$A$210,B346,İndirimler!$B$2:$B$210,C346)&gt;0,ROUND(G346*(1-SUMIFS(İndirimler!$C$2:$C$210,İndirimler!$A$2:$A$210,B346,İndirimler!$B$2:$B$210,C346)),2),"")</f>
        <v>294.10000000000002</v>
      </c>
      <c r="I346" s="20">
        <f>IF(SUMIFS(İndirimler!$D$2:$D$210,İndirimler!$A$2:$A$210,B346,İndirimler!$B$2:$B$210,C346)&gt;0,ROUND(G346*(1-SUMIFS(İndirimler!$D$2:$D$210,İndirimler!$A$2:$A$210,B346,İndirimler!$B$2:$B$210,C346)),2),"")</f>
        <v>242.2</v>
      </c>
      <c r="J346" s="11" t="s">
        <v>576</v>
      </c>
      <c r="K346" s="27"/>
    </row>
    <row r="347" spans="1:11">
      <c r="A347" s="55" t="s">
        <v>577</v>
      </c>
      <c r="B347" s="11" t="s">
        <v>23</v>
      </c>
      <c r="C347" s="11" t="s">
        <v>76</v>
      </c>
      <c r="D347" s="11" t="s">
        <v>527</v>
      </c>
      <c r="E347" s="11"/>
      <c r="F347" s="11" t="s">
        <v>42</v>
      </c>
      <c r="G347" s="14">
        <v>608</v>
      </c>
      <c r="H347" s="17">
        <f>IF(SUMIFS(İndirimler!$C$2:$C$210,İndirimler!$A$2:$A$210,B347,İndirimler!$B$2:$B$210,C347)&gt;0,ROUND(G347*(1-SUMIFS(İndirimler!$C$2:$C$210,İndirimler!$A$2:$A$210,B347,İndirimler!$B$2:$B$210,C347)),2),"")</f>
        <v>516.79999999999995</v>
      </c>
      <c r="I347" s="20">
        <f>IF(SUMIFS(İndirimler!$D$2:$D$210,İndirimler!$A$2:$A$210,B347,İndirimler!$B$2:$B$210,C347)&gt;0,ROUND(G347*(1-SUMIFS(İndirimler!$D$2:$D$210,İndirimler!$A$2:$A$210,B347,İndirimler!$B$2:$B$210,C347)),2),"")</f>
        <v>425.6</v>
      </c>
      <c r="J347" s="11" t="s">
        <v>578</v>
      </c>
      <c r="K347" s="27"/>
    </row>
    <row r="348" spans="1:11">
      <c r="A348" s="55" t="s">
        <v>579</v>
      </c>
      <c r="B348" s="11" t="s">
        <v>50</v>
      </c>
      <c r="C348" s="11" t="s">
        <v>76</v>
      </c>
      <c r="D348" s="11" t="s">
        <v>527</v>
      </c>
      <c r="E348" s="11" t="s">
        <v>51</v>
      </c>
      <c r="F348" s="11" t="s">
        <v>42</v>
      </c>
      <c r="G348" s="14">
        <v>540</v>
      </c>
      <c r="H348" s="17">
        <f>IF(SUMIFS(İndirimler!$C$2:$C$210,İndirimler!$A$2:$A$210,B348,İndirimler!$B$2:$B$210,C348)&gt;0,ROUND(G348*(1-SUMIFS(İndirimler!$C$2:$C$210,İndirimler!$A$2:$A$210,B348,İndirimler!$B$2:$B$210,C348)),2),"")</f>
        <v>459</v>
      </c>
      <c r="I348" s="20">
        <f>IF(SUMIFS(İndirimler!$D$2:$D$210,İndirimler!$A$2:$A$210,B348,İndirimler!$B$2:$B$210,C348)&gt;0,ROUND(G348*(1-SUMIFS(İndirimler!$D$2:$D$210,İndirimler!$A$2:$A$210,B348,İndirimler!$B$2:$B$210,C348)),2),"")</f>
        <v>378</v>
      </c>
      <c r="J348" s="11"/>
      <c r="K348" s="27"/>
    </row>
    <row r="349" spans="1:11">
      <c r="A349" s="55" t="s">
        <v>580</v>
      </c>
      <c r="B349" s="11" t="s">
        <v>55</v>
      </c>
      <c r="C349" s="11" t="s">
        <v>76</v>
      </c>
      <c r="D349" s="11" t="s">
        <v>527</v>
      </c>
      <c r="E349" s="11"/>
      <c r="F349" s="11" t="s">
        <v>16</v>
      </c>
      <c r="G349" s="14">
        <v>366</v>
      </c>
      <c r="H349" s="17">
        <f>IF(SUMIFS(İndirimler!$C$2:$C$210,İndirimler!$A$2:$A$210,B349,İndirimler!$B$2:$B$210,C349)&gt;0,ROUND(G349*(1-SUMIFS(İndirimler!$C$2:$C$210,İndirimler!$A$2:$A$210,B349,İndirimler!$B$2:$B$210,C349)),2),"")</f>
        <v>311.10000000000002</v>
      </c>
      <c r="I349" s="20">
        <f>IF(SUMIFS(İndirimler!$D$2:$D$210,İndirimler!$A$2:$A$210,B349,İndirimler!$B$2:$B$210,C349)&gt;0,ROUND(G349*(1-SUMIFS(İndirimler!$D$2:$D$210,İndirimler!$A$2:$A$210,B349,İndirimler!$B$2:$B$210,C349)),2),"")</f>
        <v>256.2</v>
      </c>
      <c r="J349" s="11" t="s">
        <v>581</v>
      </c>
      <c r="K349" s="27"/>
    </row>
    <row r="350" spans="1:11">
      <c r="A350" s="55" t="s">
        <v>582</v>
      </c>
      <c r="B350" s="11" t="s">
        <v>137</v>
      </c>
      <c r="C350" s="11" t="s">
        <v>76</v>
      </c>
      <c r="D350" s="11" t="s">
        <v>527</v>
      </c>
      <c r="E350" s="11"/>
      <c r="F350" s="11" t="s">
        <v>16</v>
      </c>
      <c r="G350" s="14">
        <v>496</v>
      </c>
      <c r="H350" s="17">
        <f>IF(SUMIFS(İndirimler!$C$2:$C$210,İndirimler!$A$2:$A$210,B350,İndirimler!$B$2:$B$210,C350)&gt;0,ROUND(G350*(1-SUMIFS(İndirimler!$C$2:$C$210,İndirimler!$A$2:$A$210,B350,İndirimler!$B$2:$B$210,C350)),2),"")</f>
        <v>421.6</v>
      </c>
      <c r="I350" s="20">
        <f>IF(SUMIFS(İndirimler!$D$2:$D$210,İndirimler!$A$2:$A$210,B350,İndirimler!$B$2:$B$210,C350)&gt;0,ROUND(G350*(1-SUMIFS(İndirimler!$D$2:$D$210,İndirimler!$A$2:$A$210,B350,İndirimler!$B$2:$B$210,C350)),2),"")</f>
        <v>347.2</v>
      </c>
      <c r="J350" s="11" t="s">
        <v>583</v>
      </c>
      <c r="K350" s="27"/>
    </row>
    <row r="351" spans="1:11">
      <c r="A351" s="55" t="s">
        <v>584</v>
      </c>
      <c r="B351" s="11" t="s">
        <v>18</v>
      </c>
      <c r="C351" s="11" t="s">
        <v>76</v>
      </c>
      <c r="D351" s="11" t="s">
        <v>527</v>
      </c>
      <c r="E351" s="11"/>
      <c r="F351" s="11" t="s">
        <v>16</v>
      </c>
      <c r="G351" s="14">
        <v>359</v>
      </c>
      <c r="H351" s="17">
        <f>IF(SUMIFS(İndirimler!$C$2:$C$210,İndirimler!$A$2:$A$210,B351,İndirimler!$B$2:$B$210,C351)&gt;0,ROUND(G351*(1-SUMIFS(İndirimler!$C$2:$C$210,İndirimler!$A$2:$A$210,B351,İndirimler!$B$2:$B$210,C351)),2),"")</f>
        <v>305.14999999999998</v>
      </c>
      <c r="I351" s="20">
        <f>IF(SUMIFS(İndirimler!$D$2:$D$210,İndirimler!$A$2:$A$210,B351,İndirimler!$B$2:$B$210,C351)&gt;0,ROUND(G351*(1-SUMIFS(İndirimler!$D$2:$D$210,İndirimler!$A$2:$A$210,B351,İndirimler!$B$2:$B$210,C351)),2),"")</f>
        <v>251.3</v>
      </c>
      <c r="J351" s="26" t="s">
        <v>585</v>
      </c>
      <c r="K351" s="27"/>
    </row>
    <row r="352" spans="1:11">
      <c r="A352" s="55" t="s">
        <v>586</v>
      </c>
      <c r="B352" s="11" t="s">
        <v>533</v>
      </c>
      <c r="C352" s="11" t="s">
        <v>76</v>
      </c>
      <c r="D352" s="11" t="s">
        <v>527</v>
      </c>
      <c r="E352" s="11"/>
      <c r="F352" s="11" t="s">
        <v>16</v>
      </c>
      <c r="G352" s="14">
        <v>449</v>
      </c>
      <c r="H352" s="17">
        <f>IF(SUMIFS(İndirimler!$C$2:$C$210,İndirimler!$A$2:$A$210,B352,İndirimler!$B$2:$B$210,C352)&gt;0,ROUND(G352*(1-SUMIFS(İndirimler!$C$2:$C$210,İndirimler!$A$2:$A$210,B352,İndirimler!$B$2:$B$210,C352)),2),"")</f>
        <v>381.65</v>
      </c>
      <c r="I352" s="20">
        <f>IF(SUMIFS(İndirimler!$D$2:$D$210,İndirimler!$A$2:$A$210,B352,İndirimler!$B$2:$B$210,C352)&gt;0,ROUND(G352*(1-SUMIFS(İndirimler!$D$2:$D$210,İndirimler!$A$2:$A$210,B352,İndirimler!$B$2:$B$210,C352)),2),"")</f>
        <v>314.3</v>
      </c>
      <c r="J352" s="11" t="s">
        <v>587</v>
      </c>
      <c r="K352" s="27" t="s">
        <v>588</v>
      </c>
    </row>
    <row r="353" spans="1:11">
      <c r="A353" s="55" t="s">
        <v>589</v>
      </c>
      <c r="B353" s="11" t="s">
        <v>533</v>
      </c>
      <c r="C353" s="11" t="s">
        <v>76</v>
      </c>
      <c r="D353" s="11" t="s">
        <v>527</v>
      </c>
      <c r="E353" s="11" t="s">
        <v>552</v>
      </c>
      <c r="F353" s="11" t="s">
        <v>16</v>
      </c>
      <c r="G353" s="14">
        <v>449</v>
      </c>
      <c r="H353" s="17">
        <f>IF(SUMIFS(İndirimler!$C$2:$C$210,İndirimler!$A$2:$A$210,B353,İndirimler!$B$2:$B$210,C353)&gt;0,ROUND(G353*(1-SUMIFS(İndirimler!$C$2:$C$210,İndirimler!$A$2:$A$210,B353,İndirimler!$B$2:$B$210,C353)),2),"")</f>
        <v>381.65</v>
      </c>
      <c r="I353" s="20">
        <f>IF(SUMIFS(İndirimler!$D$2:$D$210,İndirimler!$A$2:$A$210,B353,İndirimler!$B$2:$B$210,C353)&gt;0,ROUND(G353*(1-SUMIFS(İndirimler!$D$2:$D$210,İndirimler!$A$2:$A$210,B353,İndirimler!$B$2:$B$210,C353)),2),"")</f>
        <v>314.3</v>
      </c>
      <c r="J353" s="11" t="s">
        <v>590</v>
      </c>
      <c r="K353" s="27" t="s">
        <v>591</v>
      </c>
    </row>
    <row r="354" spans="1:11">
      <c r="A354" s="55" t="s">
        <v>592</v>
      </c>
      <c r="B354" s="11" t="s">
        <v>44</v>
      </c>
      <c r="C354" s="11" t="s">
        <v>76</v>
      </c>
      <c r="D354" s="11" t="s">
        <v>527</v>
      </c>
      <c r="E354" s="11" t="s">
        <v>60</v>
      </c>
      <c r="F354" s="11" t="s">
        <v>16</v>
      </c>
      <c r="G354" s="14">
        <v>274</v>
      </c>
      <c r="H354" s="17">
        <f>IF(SUMIFS(İndirimler!$C$2:$C$210,İndirimler!$A$2:$A$210,B354,İndirimler!$B$2:$B$210,C354)&gt;0,ROUND(G354*(1-SUMIFS(İndirimler!$C$2:$C$210,İndirimler!$A$2:$A$210,B354,İndirimler!$B$2:$B$210,C354)),2),"")</f>
        <v>232.9</v>
      </c>
      <c r="I354" s="20">
        <f>IF(SUMIFS(İndirimler!$D$2:$D$210,İndirimler!$A$2:$A$210,B354,İndirimler!$B$2:$B$210,C354)&gt;0,ROUND(G354*(1-SUMIFS(İndirimler!$D$2:$D$210,İndirimler!$A$2:$A$210,B354,İndirimler!$B$2:$B$210,C354)),2),"")</f>
        <v>191.8</v>
      </c>
      <c r="J354" s="11" t="s">
        <v>593</v>
      </c>
      <c r="K354" s="27"/>
    </row>
    <row r="355" spans="1:11">
      <c r="A355" s="55" t="s">
        <v>594</v>
      </c>
      <c r="B355" s="11" t="s">
        <v>63</v>
      </c>
      <c r="C355" s="11" t="s">
        <v>76</v>
      </c>
      <c r="D355" s="11" t="s">
        <v>527</v>
      </c>
      <c r="E355" s="11" t="s">
        <v>64</v>
      </c>
      <c r="F355" s="11" t="s">
        <v>16</v>
      </c>
      <c r="G355" s="14">
        <v>449</v>
      </c>
      <c r="H355" s="17">
        <f>IF(SUMIFS(İndirimler!$C$2:$C$210,İndirimler!$A$2:$A$210,B355,İndirimler!$B$2:$B$210,C355)&gt;0,ROUND(G355*(1-SUMIFS(İndirimler!$C$2:$C$210,İndirimler!$A$2:$A$210,B355,İndirimler!$B$2:$B$210,C355)),2),"")</f>
        <v>381.65</v>
      </c>
      <c r="I355" s="20">
        <f>IF(SUMIFS(İndirimler!$D$2:$D$210,İndirimler!$A$2:$A$210,B355,İndirimler!$B$2:$B$210,C355)&gt;0,ROUND(G355*(1-SUMIFS(İndirimler!$D$2:$D$210,İndirimler!$A$2:$A$210,B355,İndirimler!$B$2:$B$210,C355)),2),"")</f>
        <v>314.3</v>
      </c>
      <c r="J355" s="11" t="s">
        <v>481</v>
      </c>
      <c r="K355" s="27"/>
    </row>
    <row r="356" spans="1:11">
      <c r="A356" s="55" t="s">
        <v>595</v>
      </c>
      <c r="B356" s="11" t="s">
        <v>23</v>
      </c>
      <c r="C356" s="11" t="s">
        <v>76</v>
      </c>
      <c r="D356" s="11" t="s">
        <v>527</v>
      </c>
      <c r="E356" s="11"/>
      <c r="F356" s="11" t="s">
        <v>16</v>
      </c>
      <c r="G356" s="14">
        <v>490</v>
      </c>
      <c r="H356" s="17">
        <f>IF(SUMIFS(İndirimler!$C$2:$C$210,İndirimler!$A$2:$A$210,B356,İndirimler!$B$2:$B$210,C356)&gt;0,ROUND(G356*(1-SUMIFS(İndirimler!$C$2:$C$210,İndirimler!$A$2:$A$210,B356,İndirimler!$B$2:$B$210,C356)),2),"")</f>
        <v>416.5</v>
      </c>
      <c r="I356" s="20">
        <f>IF(SUMIFS(İndirimler!$D$2:$D$210,İndirimler!$A$2:$A$210,B356,İndirimler!$B$2:$B$210,C356)&gt;0,ROUND(G356*(1-SUMIFS(İndirimler!$D$2:$D$210,İndirimler!$A$2:$A$210,B356,İndirimler!$B$2:$B$210,C356)),2),"")</f>
        <v>343</v>
      </c>
      <c r="J356" s="11" t="s">
        <v>596</v>
      </c>
      <c r="K356" s="27"/>
    </row>
    <row r="357" spans="1:11">
      <c r="A357" s="55" t="s">
        <v>597</v>
      </c>
      <c r="B357" s="11" t="s">
        <v>50</v>
      </c>
      <c r="C357" s="11" t="s">
        <v>76</v>
      </c>
      <c r="D357" s="11" t="s">
        <v>527</v>
      </c>
      <c r="E357" s="11" t="s">
        <v>69</v>
      </c>
      <c r="F357" s="11" t="s">
        <v>16</v>
      </c>
      <c r="G357" s="14">
        <v>422</v>
      </c>
      <c r="H357" s="17">
        <f>IF(SUMIFS(İndirimler!$C$2:$C$210,İndirimler!$A$2:$A$210,B357,İndirimler!$B$2:$B$210,C357)&gt;0,ROUND(G357*(1-SUMIFS(İndirimler!$C$2:$C$210,İndirimler!$A$2:$A$210,B357,İndirimler!$B$2:$B$210,C357)),2),"")</f>
        <v>358.7</v>
      </c>
      <c r="I357" s="20">
        <f>IF(SUMIFS(İndirimler!$D$2:$D$210,İndirimler!$A$2:$A$210,B357,İndirimler!$B$2:$B$210,C357)&gt;0,ROUND(G357*(1-SUMIFS(İndirimler!$D$2:$D$210,İndirimler!$A$2:$A$210,B357,İndirimler!$B$2:$B$210,C357)),2),"")</f>
        <v>295.39999999999998</v>
      </c>
      <c r="J357" s="11"/>
      <c r="K357" s="27"/>
    </row>
    <row r="358" spans="1:11">
      <c r="A358" s="55" t="s">
        <v>598</v>
      </c>
      <c r="B358" s="11" t="s">
        <v>563</v>
      </c>
      <c r="C358" s="11" t="s">
        <v>76</v>
      </c>
      <c r="D358" s="11" t="s">
        <v>527</v>
      </c>
      <c r="E358" s="11"/>
      <c r="F358" s="11" t="s">
        <v>16</v>
      </c>
      <c r="G358" s="14">
        <v>355</v>
      </c>
      <c r="H358" s="17">
        <f>IF(SUMIFS(İndirimler!$C$2:$C$210,İndirimler!$A$2:$A$210,B358,İndirimler!$B$2:$B$210,C358)&gt;0,ROUND(G358*(1-SUMIFS(İndirimler!$C$2:$C$210,İndirimler!$A$2:$A$210,B358,İndirimler!$B$2:$B$210,C358)),2),"")</f>
        <v>301.75</v>
      </c>
      <c r="I358" s="20">
        <f>IF(SUMIFS(İndirimler!$D$2:$D$210,İndirimler!$A$2:$A$210,B358,İndirimler!$B$2:$B$210,C358)&gt;0,ROUND(G358*(1-SUMIFS(İndirimler!$D$2:$D$210,İndirimler!$A$2:$A$210,B358,İndirimler!$B$2:$B$210,C358)),2),"")</f>
        <v>248.5</v>
      </c>
      <c r="J358" s="26" t="s">
        <v>896</v>
      </c>
      <c r="K358" s="27"/>
    </row>
    <row r="359" spans="1:11">
      <c r="A359" s="55" t="s">
        <v>599</v>
      </c>
      <c r="B359" s="11" t="s">
        <v>38</v>
      </c>
      <c r="C359" s="11" t="s">
        <v>76</v>
      </c>
      <c r="D359" s="11" t="s">
        <v>527</v>
      </c>
      <c r="E359" s="11" t="s">
        <v>69</v>
      </c>
      <c r="F359" s="11" t="s">
        <v>16</v>
      </c>
      <c r="G359" s="14">
        <v>269</v>
      </c>
      <c r="H359" s="17">
        <f>IF(SUMIFS(İndirimler!$C$2:$C$210,İndirimler!$A$2:$A$210,B359,İndirimler!$B$2:$B$210,C359)&gt;0,ROUND(G359*(1-SUMIFS(İndirimler!$C$2:$C$210,İndirimler!$A$2:$A$210,B359,İndirimler!$B$2:$B$210,C359)),2),"")</f>
        <v>228.65</v>
      </c>
      <c r="I359" s="20">
        <f>IF(SUMIFS(İndirimler!$D$2:$D$210,İndirimler!$A$2:$A$210,B359,İndirimler!$B$2:$B$210,C359)&gt;0,ROUND(G359*(1-SUMIFS(İndirimler!$D$2:$D$210,İndirimler!$A$2:$A$210,B359,İndirimler!$B$2:$B$210,C359)),2),"")</f>
        <v>188.3</v>
      </c>
      <c r="J359" s="11" t="s">
        <v>565</v>
      </c>
      <c r="K359" s="27"/>
    </row>
    <row r="360" spans="1:11">
      <c r="A360" s="55" t="s">
        <v>600</v>
      </c>
      <c r="B360" s="11" t="s">
        <v>72</v>
      </c>
      <c r="C360" s="11" t="s">
        <v>76</v>
      </c>
      <c r="D360" s="11" t="s">
        <v>527</v>
      </c>
      <c r="E360" s="11"/>
      <c r="F360" s="11" t="s">
        <v>73</v>
      </c>
      <c r="G360" s="14">
        <v>429</v>
      </c>
      <c r="H360" s="17">
        <f>IF(SUMIFS(İndirimler!$C$2:$C$210,İndirimler!$A$2:$A$210,B360,İndirimler!$B$2:$B$210,C360)&gt;0,ROUND(G360*(1-SUMIFS(İndirimler!$C$2:$C$210,İndirimler!$A$2:$A$210,B360,İndirimler!$B$2:$B$210,C360)),2),"")</f>
        <v>364.65</v>
      </c>
      <c r="I360" s="20">
        <f>IF(SUMIFS(İndirimler!$D$2:$D$210,İndirimler!$A$2:$A$210,B360,İndirimler!$B$2:$B$210,C360)&gt;0,ROUND(G360*(1-SUMIFS(İndirimler!$D$2:$D$210,İndirimler!$A$2:$A$210,B360,İndirimler!$B$2:$B$210,C360)),2),"")</f>
        <v>300.3</v>
      </c>
      <c r="J360" s="11"/>
      <c r="K360" s="27"/>
    </row>
    <row r="361" spans="1:11">
      <c r="A361" s="55" t="s">
        <v>601</v>
      </c>
      <c r="B361" s="11" t="s">
        <v>38</v>
      </c>
      <c r="C361" s="11" t="s">
        <v>101</v>
      </c>
      <c r="D361" s="11" t="s">
        <v>527</v>
      </c>
      <c r="E361" s="11"/>
      <c r="F361" s="11" t="s">
        <v>35</v>
      </c>
      <c r="G361" s="14"/>
      <c r="H361" s="17">
        <f>IF(SUMIFS(İndirimler!$C$2:$C$210,İndirimler!$A$2:$A$210,B361,İndirimler!$B$2:$B$210,C361)&gt;0,ROUND(G361*(1-SUMIFS(İndirimler!$C$2:$C$210,İndirimler!$A$2:$A$210,B361,İndirimler!$B$2:$B$210,C361)),2),"")</f>
        <v>0</v>
      </c>
      <c r="I361" s="20">
        <f>IF(SUMIFS(İndirimler!$D$2:$D$210,İndirimler!$A$2:$A$210,B361,İndirimler!$B$2:$B$210,C361)&gt;0,ROUND(G361*(1-SUMIFS(İndirimler!$D$2:$D$210,İndirimler!$A$2:$A$210,B361,İndirimler!$B$2:$B$210,C361)),2),"")</f>
        <v>0</v>
      </c>
      <c r="J361" s="11"/>
      <c r="K361" s="27"/>
    </row>
    <row r="362" spans="1:11">
      <c r="A362" s="55" t="s">
        <v>602</v>
      </c>
      <c r="B362" s="11" t="s">
        <v>18</v>
      </c>
      <c r="C362" s="11" t="s">
        <v>101</v>
      </c>
      <c r="D362" s="11" t="s">
        <v>527</v>
      </c>
      <c r="E362" s="11" t="s">
        <v>41</v>
      </c>
      <c r="F362" s="11" t="s">
        <v>42</v>
      </c>
      <c r="G362" s="14"/>
      <c r="H362" s="17">
        <f>IF(SUMIFS(İndirimler!$C$2:$C$210,İndirimler!$A$2:$A$210,B362,İndirimler!$B$2:$B$210,C362)&gt;0,ROUND(G362*(1-SUMIFS(İndirimler!$C$2:$C$210,İndirimler!$A$2:$A$210,B362,İndirimler!$B$2:$B$210,C362)),2),"")</f>
        <v>0</v>
      </c>
      <c r="I362" s="20">
        <f>IF(SUMIFS(İndirimler!$D$2:$D$210,İndirimler!$A$2:$A$210,B362,İndirimler!$B$2:$B$210,C362)&gt;0,ROUND(G362*(1-SUMIFS(İndirimler!$D$2:$D$210,İndirimler!$A$2:$A$210,B362,İndirimler!$B$2:$B$210,C362)),2),"")</f>
        <v>0</v>
      </c>
      <c r="J362" s="11"/>
      <c r="K362" s="27"/>
    </row>
    <row r="363" spans="1:11">
      <c r="A363" s="55" t="s">
        <v>603</v>
      </c>
      <c r="B363" s="11" t="s">
        <v>72</v>
      </c>
      <c r="C363" s="11" t="s">
        <v>101</v>
      </c>
      <c r="D363" s="11" t="s">
        <v>527</v>
      </c>
      <c r="E363" s="11" t="s">
        <v>104</v>
      </c>
      <c r="F363" s="11" t="s">
        <v>42</v>
      </c>
      <c r="G363" s="14"/>
      <c r="H363" s="17">
        <f>IF(SUMIFS(İndirimler!$C$2:$C$210,İndirimler!$A$2:$A$210,B363,İndirimler!$B$2:$B$210,C363)&gt;0,ROUND(G363*(1-SUMIFS(İndirimler!$C$2:$C$210,İndirimler!$A$2:$A$210,B363,İndirimler!$B$2:$B$210,C363)),2),"")</f>
        <v>0</v>
      </c>
      <c r="I363" s="20">
        <f>IF(SUMIFS(İndirimler!$D$2:$D$210,İndirimler!$A$2:$A$210,B363,İndirimler!$B$2:$B$210,C363)&gt;0,ROUND(G363*(1-SUMIFS(İndirimler!$D$2:$D$210,İndirimler!$A$2:$A$210,B363,İndirimler!$B$2:$B$210,C363)),2),"")</f>
        <v>0</v>
      </c>
      <c r="J363" s="11"/>
      <c r="K363" s="27"/>
    </row>
    <row r="364" spans="1:11">
      <c r="A364" s="55" t="s">
        <v>604</v>
      </c>
      <c r="B364" s="11" t="s">
        <v>23</v>
      </c>
      <c r="C364" s="11" t="s">
        <v>101</v>
      </c>
      <c r="D364" s="11" t="s">
        <v>527</v>
      </c>
      <c r="E364" s="11"/>
      <c r="F364" s="11" t="s">
        <v>42</v>
      </c>
      <c r="G364" s="14">
        <v>609</v>
      </c>
      <c r="H364" s="17">
        <f>IF(SUMIFS(İndirimler!$C$2:$C$210,İndirimler!$A$2:$A$210,B364,İndirimler!$B$2:$B$210,C364)&gt;0,ROUND(G364*(1-SUMIFS(İndirimler!$C$2:$C$210,İndirimler!$A$2:$A$210,B364,İndirimler!$B$2:$B$210,C364)),2),"")</f>
        <v>517.65</v>
      </c>
      <c r="I364" s="20">
        <f>IF(SUMIFS(İndirimler!$D$2:$D$210,İndirimler!$A$2:$A$210,B364,İndirimler!$B$2:$B$210,C364)&gt;0,ROUND(G364*(1-SUMIFS(İndirimler!$D$2:$D$210,İndirimler!$A$2:$A$210,B364,İndirimler!$B$2:$B$210,C364)),2),"")</f>
        <v>426.3</v>
      </c>
      <c r="J364" s="11"/>
      <c r="K364" s="27"/>
    </row>
    <row r="365" spans="1:11">
      <c r="A365" s="55" t="s">
        <v>605</v>
      </c>
      <c r="B365" s="11" t="s">
        <v>50</v>
      </c>
      <c r="C365" s="11" t="s">
        <v>101</v>
      </c>
      <c r="D365" s="11" t="s">
        <v>527</v>
      </c>
      <c r="E365" s="11" t="s">
        <v>51</v>
      </c>
      <c r="F365" s="11" t="s">
        <v>42</v>
      </c>
      <c r="G365" s="14">
        <v>520</v>
      </c>
      <c r="H365" s="17">
        <f>IF(SUMIFS(İndirimler!$C$2:$C$210,İndirimler!$A$2:$A$210,B365,İndirimler!$B$2:$B$210,C365)&gt;0,ROUND(G365*(1-SUMIFS(İndirimler!$C$2:$C$210,İndirimler!$A$2:$A$210,B365,İndirimler!$B$2:$B$210,C365)),2),"")</f>
        <v>442</v>
      </c>
      <c r="I365" s="20">
        <f>IF(SUMIFS(İndirimler!$D$2:$D$210,İndirimler!$A$2:$A$210,B365,İndirimler!$B$2:$B$210,C365)&gt;0,ROUND(G365*(1-SUMIFS(İndirimler!$D$2:$D$210,İndirimler!$A$2:$A$210,B365,İndirimler!$B$2:$B$210,C365)),2),"")</f>
        <v>364</v>
      </c>
      <c r="J365" s="11"/>
      <c r="K365" s="27"/>
    </row>
    <row r="366" spans="1:11">
      <c r="A366" s="55" t="s">
        <v>606</v>
      </c>
      <c r="B366" s="11" t="s">
        <v>55</v>
      </c>
      <c r="C366" s="11" t="s">
        <v>101</v>
      </c>
      <c r="D366" s="11" t="s">
        <v>527</v>
      </c>
      <c r="E366" s="11"/>
      <c r="F366" s="11" t="s">
        <v>16</v>
      </c>
      <c r="G366" s="14">
        <v>366</v>
      </c>
      <c r="H366" s="17">
        <f>IF(SUMIFS(İndirimler!$C$2:$C$210,İndirimler!$A$2:$A$210,B366,İndirimler!$B$2:$B$210,C366)&gt;0,ROUND(G366*(1-SUMIFS(İndirimler!$C$2:$C$210,İndirimler!$A$2:$A$210,B366,İndirimler!$B$2:$B$210,C366)),2),"")</f>
        <v>311.10000000000002</v>
      </c>
      <c r="I366" s="20">
        <f>IF(SUMIFS(İndirimler!$D$2:$D$210,İndirimler!$A$2:$A$210,B366,İndirimler!$B$2:$B$210,C366)&gt;0,ROUND(G366*(1-SUMIFS(İndirimler!$D$2:$D$210,İndirimler!$A$2:$A$210,B366,İndirimler!$B$2:$B$210,C366)),2),"")</f>
        <v>256.2</v>
      </c>
      <c r="J366" s="11"/>
      <c r="K366" s="27"/>
    </row>
    <row r="367" spans="1:11">
      <c r="A367" s="55" t="s">
        <v>607</v>
      </c>
      <c r="B367" s="11" t="s">
        <v>137</v>
      </c>
      <c r="C367" s="11" t="s">
        <v>101</v>
      </c>
      <c r="D367" s="11" t="s">
        <v>527</v>
      </c>
      <c r="E367" s="11"/>
      <c r="F367" s="11" t="s">
        <v>16</v>
      </c>
      <c r="G367" s="14">
        <v>608</v>
      </c>
      <c r="H367" s="17">
        <f>IF(SUMIFS(İndirimler!$C$2:$C$210,İndirimler!$A$2:$A$210,B367,İndirimler!$B$2:$B$210,C367)&gt;0,ROUND(G367*(1-SUMIFS(İndirimler!$C$2:$C$210,İndirimler!$A$2:$A$210,B367,İndirimler!$B$2:$B$210,C367)),2),"")</f>
        <v>516.79999999999995</v>
      </c>
      <c r="I367" s="20">
        <f>IF(SUMIFS(İndirimler!$D$2:$D$210,İndirimler!$A$2:$A$210,B367,İndirimler!$B$2:$B$210,C367)&gt;0,ROUND(G367*(1-SUMIFS(İndirimler!$D$2:$D$210,İndirimler!$A$2:$A$210,B367,İndirimler!$B$2:$B$210,C367)),2),"")</f>
        <v>425.6</v>
      </c>
      <c r="J367" s="11"/>
      <c r="K367" s="27"/>
    </row>
    <row r="368" spans="1:11">
      <c r="A368" s="55" t="s">
        <v>608</v>
      </c>
      <c r="B368" s="11" t="s">
        <v>18</v>
      </c>
      <c r="C368" s="11" t="s">
        <v>101</v>
      </c>
      <c r="D368" s="11" t="s">
        <v>527</v>
      </c>
      <c r="E368" s="11" t="s">
        <v>109</v>
      </c>
      <c r="F368" s="11" t="s">
        <v>16</v>
      </c>
      <c r="G368" s="14"/>
      <c r="H368" s="17">
        <f>IF(SUMIFS(İndirimler!$C$2:$C$210,İndirimler!$A$2:$A$210,B368,İndirimler!$B$2:$B$210,C368)&gt;0,ROUND(G368*(1-SUMIFS(İndirimler!$C$2:$C$210,İndirimler!$A$2:$A$210,B368,İndirimler!$B$2:$B$210,C368)),2),"")</f>
        <v>0</v>
      </c>
      <c r="I368" s="20">
        <f>IF(SUMIFS(İndirimler!$D$2:$D$210,İndirimler!$A$2:$A$210,B368,İndirimler!$B$2:$B$210,C368)&gt;0,ROUND(G368*(1-SUMIFS(İndirimler!$D$2:$D$210,İndirimler!$A$2:$A$210,B368,İndirimler!$B$2:$B$210,C368)),2),"")</f>
        <v>0</v>
      </c>
      <c r="J368" s="11"/>
      <c r="K368" s="27"/>
    </row>
    <row r="369" spans="1:11">
      <c r="A369" s="55" t="s">
        <v>609</v>
      </c>
      <c r="B369" s="11" t="s">
        <v>533</v>
      </c>
      <c r="C369" s="11" t="s">
        <v>101</v>
      </c>
      <c r="D369" s="11" t="s">
        <v>527</v>
      </c>
      <c r="E369" s="11"/>
      <c r="F369" s="11" t="s">
        <v>16</v>
      </c>
      <c r="G369" s="14">
        <v>499</v>
      </c>
      <c r="H369" s="17">
        <f>IF(SUMIFS(İndirimler!$C$2:$C$210,İndirimler!$A$2:$A$210,B369,İndirimler!$B$2:$B$210,C369)&gt;0,ROUND(G369*(1-SUMIFS(İndirimler!$C$2:$C$210,İndirimler!$A$2:$A$210,B369,İndirimler!$B$2:$B$210,C369)),2),"")</f>
        <v>424.15</v>
      </c>
      <c r="I369" s="20">
        <f>IF(SUMIFS(İndirimler!$D$2:$D$210,İndirimler!$A$2:$A$210,B369,İndirimler!$B$2:$B$210,C369)&gt;0,ROUND(G369*(1-SUMIFS(İndirimler!$D$2:$D$210,İndirimler!$A$2:$A$210,B369,İndirimler!$B$2:$B$210,C369)),2),"")</f>
        <v>349.3</v>
      </c>
      <c r="J369" s="11" t="s">
        <v>610</v>
      </c>
      <c r="K369" s="27"/>
    </row>
    <row r="370" spans="1:11">
      <c r="A370" s="55" t="s">
        <v>611</v>
      </c>
      <c r="B370" s="11" t="s">
        <v>63</v>
      </c>
      <c r="C370" s="11" t="s">
        <v>101</v>
      </c>
      <c r="D370" s="11" t="s">
        <v>527</v>
      </c>
      <c r="E370" s="11" t="s">
        <v>64</v>
      </c>
      <c r="F370" s="11" t="s">
        <v>16</v>
      </c>
      <c r="G370" s="14"/>
      <c r="H370" s="17">
        <f>IF(SUMIFS(İndirimler!$C$2:$C$210,İndirimler!$A$2:$A$210,B370,İndirimler!$B$2:$B$210,C370)&gt;0,ROUND(G370*(1-SUMIFS(İndirimler!$C$2:$C$210,İndirimler!$A$2:$A$210,B370,İndirimler!$B$2:$B$210,C370)),2),"")</f>
        <v>0</v>
      </c>
      <c r="I370" s="20">
        <f>IF(SUMIFS(İndirimler!$D$2:$D$210,İndirimler!$A$2:$A$210,B370,İndirimler!$B$2:$B$210,C370)&gt;0,ROUND(G370*(1-SUMIFS(İndirimler!$D$2:$D$210,İndirimler!$A$2:$A$210,B370,İndirimler!$B$2:$B$210,C370)),2),"")</f>
        <v>0</v>
      </c>
      <c r="J370" s="11" t="s">
        <v>612</v>
      </c>
      <c r="K370" s="27"/>
    </row>
    <row r="371" spans="1:11">
      <c r="A371" s="55" t="s">
        <v>613</v>
      </c>
      <c r="B371" s="11" t="s">
        <v>23</v>
      </c>
      <c r="C371" s="11" t="s">
        <v>101</v>
      </c>
      <c r="D371" s="11" t="s">
        <v>527</v>
      </c>
      <c r="E371" s="11"/>
      <c r="F371" s="11" t="s">
        <v>16</v>
      </c>
      <c r="G371" s="14">
        <v>548</v>
      </c>
      <c r="H371" s="17">
        <f>IF(SUMIFS(İndirimler!$C$2:$C$210,İndirimler!$A$2:$A$210,B371,İndirimler!$B$2:$B$210,C371)&gt;0,ROUND(G371*(1-SUMIFS(İndirimler!$C$2:$C$210,İndirimler!$A$2:$A$210,B371,İndirimler!$B$2:$B$210,C371)),2),"")</f>
        <v>465.8</v>
      </c>
      <c r="I371" s="20">
        <f>IF(SUMIFS(İndirimler!$D$2:$D$210,İndirimler!$A$2:$A$210,B371,İndirimler!$B$2:$B$210,C371)&gt;0,ROUND(G371*(1-SUMIFS(İndirimler!$D$2:$D$210,İndirimler!$A$2:$A$210,B371,İndirimler!$B$2:$B$210,C371)),2),"")</f>
        <v>383.6</v>
      </c>
      <c r="J371" s="11"/>
      <c r="K371" s="27"/>
    </row>
    <row r="372" spans="1:11">
      <c r="A372" s="55" t="s">
        <v>614</v>
      </c>
      <c r="B372" s="11" t="s">
        <v>50</v>
      </c>
      <c r="C372" s="11" t="s">
        <v>101</v>
      </c>
      <c r="D372" s="11" t="s">
        <v>527</v>
      </c>
      <c r="E372" s="11" t="s">
        <v>69</v>
      </c>
      <c r="F372" s="11" t="s">
        <v>16</v>
      </c>
      <c r="G372" s="14">
        <v>458</v>
      </c>
      <c r="H372" s="17">
        <f>IF(SUMIFS(İndirimler!$C$2:$C$210,İndirimler!$A$2:$A$210,B372,İndirimler!$B$2:$B$210,C372)&gt;0,ROUND(G372*(1-SUMIFS(İndirimler!$C$2:$C$210,İndirimler!$A$2:$A$210,B372,İndirimler!$B$2:$B$210,C372)),2),"")</f>
        <v>389.3</v>
      </c>
      <c r="I372" s="20">
        <f>IF(SUMIFS(İndirimler!$D$2:$D$210,İndirimler!$A$2:$A$210,B372,İndirimler!$B$2:$B$210,C372)&gt;0,ROUND(G372*(1-SUMIFS(İndirimler!$D$2:$D$210,İndirimler!$A$2:$A$210,B372,İndirimler!$B$2:$B$210,C372)),2),"")</f>
        <v>320.60000000000002</v>
      </c>
      <c r="J372" s="11"/>
      <c r="K372" s="27"/>
    </row>
    <row r="373" spans="1:11">
      <c r="A373" s="55" t="s">
        <v>615</v>
      </c>
      <c r="B373" s="11" t="s">
        <v>563</v>
      </c>
      <c r="C373" s="11" t="s">
        <v>101</v>
      </c>
      <c r="D373" s="11" t="s">
        <v>527</v>
      </c>
      <c r="E373" s="11"/>
      <c r="F373" s="11" t="s">
        <v>16</v>
      </c>
      <c r="G373" s="14"/>
      <c r="H373" s="17">
        <f>IF(SUMIFS(İndirimler!$C$2:$C$210,İndirimler!$A$2:$A$210,B373,İndirimler!$B$2:$B$210,C373)&gt;0,ROUND(G373*(1-SUMIFS(İndirimler!$C$2:$C$210,İndirimler!$A$2:$A$210,B373,İndirimler!$B$2:$B$210,C373)),2),"")</f>
        <v>0</v>
      </c>
      <c r="I373" s="20">
        <f>IF(SUMIFS(İndirimler!$D$2:$D$210,İndirimler!$A$2:$A$210,B373,İndirimler!$B$2:$B$210,C373)&gt;0,ROUND(G373*(1-SUMIFS(İndirimler!$D$2:$D$210,İndirimler!$A$2:$A$210,B373,İndirimler!$B$2:$B$210,C373)),2),"")</f>
        <v>0</v>
      </c>
      <c r="J373" s="11"/>
      <c r="K373" s="27"/>
    </row>
    <row r="374" spans="1:11">
      <c r="A374" s="55" t="s">
        <v>616</v>
      </c>
      <c r="B374" s="11" t="s">
        <v>38</v>
      </c>
      <c r="C374" s="11" t="s">
        <v>101</v>
      </c>
      <c r="D374" s="11" t="s">
        <v>527</v>
      </c>
      <c r="E374" s="11"/>
      <c r="F374" s="11" t="s">
        <v>16</v>
      </c>
      <c r="G374" s="14"/>
      <c r="H374" s="17">
        <f>IF(SUMIFS(İndirimler!$C$2:$C$210,İndirimler!$A$2:$A$210,B374,İndirimler!$B$2:$B$210,C374)&gt;0,ROUND(G374*(1-SUMIFS(İndirimler!$C$2:$C$210,İndirimler!$A$2:$A$210,B374,İndirimler!$B$2:$B$210,C374)),2),"")</f>
        <v>0</v>
      </c>
      <c r="I374" s="20">
        <f>IF(SUMIFS(İndirimler!$D$2:$D$210,İndirimler!$A$2:$A$210,B374,İndirimler!$B$2:$B$210,C374)&gt;0,ROUND(G374*(1-SUMIFS(İndirimler!$D$2:$D$210,İndirimler!$A$2:$A$210,B374,İndirimler!$B$2:$B$210,C374)),2),"")</f>
        <v>0</v>
      </c>
      <c r="J374" s="11"/>
      <c r="K374" s="27"/>
    </row>
    <row r="375" spans="1:11">
      <c r="A375" s="55" t="s">
        <v>617</v>
      </c>
      <c r="B375" s="11" t="s">
        <v>72</v>
      </c>
      <c r="C375" s="11" t="s">
        <v>101</v>
      </c>
      <c r="D375" s="11" t="s">
        <v>527</v>
      </c>
      <c r="E375" s="11"/>
      <c r="F375" s="11" t="s">
        <v>73</v>
      </c>
      <c r="G375" s="14"/>
      <c r="H375" s="17">
        <f>IF(SUMIFS(İndirimler!$C$2:$C$210,İndirimler!$A$2:$A$210,B375,İndirimler!$B$2:$B$210,C375)&gt;0,ROUND(G375*(1-SUMIFS(İndirimler!$C$2:$C$210,İndirimler!$A$2:$A$210,B375,İndirimler!$B$2:$B$210,C375)),2),"")</f>
        <v>0</v>
      </c>
      <c r="I375" s="20">
        <f>IF(SUMIFS(İndirimler!$D$2:$D$210,İndirimler!$A$2:$A$210,B375,İndirimler!$B$2:$B$210,C375)&gt;0,ROUND(G375*(1-SUMIFS(İndirimler!$D$2:$D$210,İndirimler!$A$2:$A$210,B375,İndirimler!$B$2:$B$210,C375)),2),"")</f>
        <v>0</v>
      </c>
      <c r="J375" s="11"/>
      <c r="K375" s="27"/>
    </row>
    <row r="376" spans="1:11">
      <c r="A376" s="55" t="s">
        <v>618</v>
      </c>
      <c r="B376" s="11" t="s">
        <v>38</v>
      </c>
      <c r="C376" s="11" t="s">
        <v>245</v>
      </c>
      <c r="D376" s="11" t="s">
        <v>527</v>
      </c>
      <c r="E376" s="11" t="s">
        <v>250</v>
      </c>
      <c r="F376" s="11" t="s">
        <v>35</v>
      </c>
      <c r="G376" s="14">
        <v>589</v>
      </c>
      <c r="H376" s="17">
        <f>IF(SUMIFS(İndirimler!$C$2:$C$210,İndirimler!$A$2:$A$210,B376,İndirimler!$B$2:$B$210,C376)&gt;0,ROUND(G376*(1-SUMIFS(İndirimler!$C$2:$C$210,İndirimler!$A$2:$A$210,B376,İndirimler!$B$2:$B$210,C376)),2),"")</f>
        <v>500.65</v>
      </c>
      <c r="I376" s="20">
        <f>IF(SUMIFS(İndirimler!$D$2:$D$210,İndirimler!$A$2:$A$210,B376,İndirimler!$B$2:$B$210,C376)&gt;0,ROUND(G376*(1-SUMIFS(İndirimler!$D$2:$D$210,İndirimler!$A$2:$A$210,B376,İndirimler!$B$2:$B$210,C376)),2),"")</f>
        <v>412.3</v>
      </c>
      <c r="J376" s="11" t="s">
        <v>619</v>
      </c>
      <c r="K376" s="27"/>
    </row>
    <row r="377" spans="1:11">
      <c r="A377" s="55" t="s">
        <v>620</v>
      </c>
      <c r="B377" s="11" t="s">
        <v>38</v>
      </c>
      <c r="C377" s="11" t="s">
        <v>245</v>
      </c>
      <c r="D377" s="11" t="s">
        <v>527</v>
      </c>
      <c r="E377" s="11" t="s">
        <v>253</v>
      </c>
      <c r="F377" s="11" t="s">
        <v>35</v>
      </c>
      <c r="G377" s="14">
        <v>589</v>
      </c>
      <c r="H377" s="17">
        <f>IF(SUMIFS(İndirimler!$C$2:$C$210,İndirimler!$A$2:$A$210,B377,İndirimler!$B$2:$B$210,C377)&gt;0,ROUND(G377*(1-SUMIFS(İndirimler!$C$2:$C$210,İndirimler!$A$2:$A$210,B377,İndirimler!$B$2:$B$210,C377)),2),"")</f>
        <v>500.65</v>
      </c>
      <c r="I377" s="20">
        <f>IF(SUMIFS(İndirimler!$D$2:$D$210,İndirimler!$A$2:$A$210,B377,İndirimler!$B$2:$B$210,C377)&gt;0,ROUND(G377*(1-SUMIFS(İndirimler!$D$2:$D$210,İndirimler!$A$2:$A$210,B377,İndirimler!$B$2:$B$210,C377)),2),"")</f>
        <v>412.3</v>
      </c>
      <c r="J377" s="11" t="s">
        <v>621</v>
      </c>
      <c r="K377" s="27"/>
    </row>
    <row r="378" spans="1:11">
      <c r="A378" s="55" t="s">
        <v>622</v>
      </c>
      <c r="B378" s="11" t="s">
        <v>50</v>
      </c>
      <c r="C378" s="11" t="s">
        <v>245</v>
      </c>
      <c r="D378" s="11" t="s">
        <v>527</v>
      </c>
      <c r="E378" s="11" t="s">
        <v>51</v>
      </c>
      <c r="F378" s="11" t="s">
        <v>42</v>
      </c>
      <c r="G378" s="14">
        <v>333</v>
      </c>
      <c r="H378" s="17">
        <f>IF(SUMIFS(İndirimler!$C$2:$C$210,İndirimler!$A$2:$A$210,B378,İndirimler!$B$2:$B$210,C378)&gt;0,ROUND(G378*(1-SUMIFS(İndirimler!$C$2:$C$210,İndirimler!$A$2:$A$210,B378,İndirimler!$B$2:$B$210,C378)),2),"")</f>
        <v>283.05</v>
      </c>
      <c r="I378" s="20">
        <f>IF(SUMIFS(İndirimler!$D$2:$D$210,İndirimler!$A$2:$A$210,B378,İndirimler!$B$2:$B$210,C378)&gt;0,ROUND(G378*(1-SUMIFS(İndirimler!$D$2:$D$210,İndirimler!$A$2:$A$210,B378,İndirimler!$B$2:$B$210,C378)),2),"")</f>
        <v>233.1</v>
      </c>
      <c r="J378" s="11"/>
      <c r="K378" s="27"/>
    </row>
    <row r="379" spans="1:11">
      <c r="A379" s="55" t="s">
        <v>623</v>
      </c>
      <c r="B379" s="11" t="s">
        <v>533</v>
      </c>
      <c r="C379" s="11" t="s">
        <v>13</v>
      </c>
      <c r="D379" s="11" t="s">
        <v>527</v>
      </c>
      <c r="E379" s="11"/>
      <c r="F379" s="11" t="s">
        <v>42</v>
      </c>
      <c r="G379" s="14">
        <v>405</v>
      </c>
      <c r="H379" s="17">
        <f>IF(SUMIFS(İndirimler!$C$2:$C$210,İndirimler!$A$2:$A$210,B379,İndirimler!$B$2:$B$210,C379)&gt;0,ROUND(G379*(1-SUMIFS(İndirimler!$C$2:$C$210,İndirimler!$A$2:$A$210,B379,İndirimler!$B$2:$B$210,C379)),2),"")</f>
        <v>344.25</v>
      </c>
      <c r="I379" s="20">
        <f>IF(SUMIFS(İndirimler!$D$2:$D$210,İndirimler!$A$2:$A$210,B379,İndirimler!$B$2:$B$210,C379)&gt;0,ROUND(G379*(1-SUMIFS(İndirimler!$D$2:$D$210,İndirimler!$A$2:$A$210,B379,İndirimler!$B$2:$B$210,C379)),2),"")</f>
        <v>283.5</v>
      </c>
      <c r="J379" s="26" t="s">
        <v>898</v>
      </c>
      <c r="K379" s="27"/>
    </row>
    <row r="380" spans="1:11">
      <c r="A380" s="55" t="s">
        <v>624</v>
      </c>
      <c r="B380" s="11" t="s">
        <v>137</v>
      </c>
      <c r="C380" s="11" t="s">
        <v>13</v>
      </c>
      <c r="D380" s="11" t="s">
        <v>527</v>
      </c>
      <c r="E380" s="11"/>
      <c r="F380" s="11" t="s">
        <v>16</v>
      </c>
      <c r="G380" s="14">
        <v>638</v>
      </c>
      <c r="H380" s="17">
        <f>IF(SUMIFS(İndirimler!$C$2:$C$210,İndirimler!$A$2:$A$210,B380,İndirimler!$B$2:$B$210,C380)&gt;0,ROUND(G380*(1-SUMIFS(İndirimler!$C$2:$C$210,İndirimler!$A$2:$A$210,B380,İndirimler!$B$2:$B$210,C380)),2),"")</f>
        <v>542.29999999999995</v>
      </c>
      <c r="I380" s="20">
        <f>IF(SUMIFS(İndirimler!$D$2:$D$210,İndirimler!$A$2:$A$210,B380,İndirimler!$B$2:$B$210,C380)&gt;0,ROUND(G380*(1-SUMIFS(İndirimler!$D$2:$D$210,İndirimler!$A$2:$A$210,B380,İndirimler!$B$2:$B$210,C380)),2),"")</f>
        <v>446.6</v>
      </c>
      <c r="J380" s="11"/>
      <c r="K380" s="27"/>
    </row>
    <row r="381" spans="1:11">
      <c r="A381" s="55" t="s">
        <v>625</v>
      </c>
      <c r="B381" s="11" t="s">
        <v>18</v>
      </c>
      <c r="C381" s="11" t="s">
        <v>13</v>
      </c>
      <c r="D381" s="11" t="s">
        <v>527</v>
      </c>
      <c r="E381" s="11"/>
      <c r="F381" s="11" t="s">
        <v>16</v>
      </c>
      <c r="G381" s="14">
        <v>479</v>
      </c>
      <c r="H381" s="17">
        <f>IF(SUMIFS(İndirimler!$C$2:$C$210,İndirimler!$A$2:$A$210,B381,İndirimler!$B$2:$B$210,C381)&gt;0,ROUND(G381*(1-SUMIFS(İndirimler!$C$2:$C$210,İndirimler!$A$2:$A$210,B381,İndirimler!$B$2:$B$210,C381)),2),"")</f>
        <v>407.15</v>
      </c>
      <c r="I381" s="20">
        <f>IF(SUMIFS(İndirimler!$D$2:$D$210,İndirimler!$A$2:$A$210,B381,İndirimler!$B$2:$B$210,C381)&gt;0,ROUND(G381*(1-SUMIFS(İndirimler!$D$2:$D$210,İndirimler!$A$2:$A$210,B381,İndirimler!$B$2:$B$210,C381)),2),"")</f>
        <v>335.3</v>
      </c>
      <c r="J381" s="11" t="s">
        <v>626</v>
      </c>
      <c r="K381" s="27"/>
    </row>
    <row r="382" spans="1:11">
      <c r="A382" s="55">
        <v>9786259674759</v>
      </c>
      <c r="B382" s="11" t="s">
        <v>533</v>
      </c>
      <c r="C382" s="11" t="s">
        <v>13</v>
      </c>
      <c r="D382" s="11" t="s">
        <v>527</v>
      </c>
      <c r="E382" s="11"/>
      <c r="F382" s="11" t="s">
        <v>16</v>
      </c>
      <c r="G382" s="14">
        <v>359</v>
      </c>
      <c r="H382" s="17">
        <f>IF(SUMIFS(İndirimler!$C$2:$C$210,İndirimler!$A$2:$A$210,B382,İndirimler!$B$2:$B$210,C382)&gt;0,ROUND(G382*(1-SUMIFS(İndirimler!$C$2:$C$210,İndirimler!$A$2:$A$210,B382,İndirimler!$B$2:$B$210,C382)),2),"")</f>
        <v>305.14999999999998</v>
      </c>
      <c r="I382" s="20">
        <f>IF(SUMIFS(İndirimler!$D$2:$D$210,İndirimler!$A$2:$A$210,B382,İndirimler!$B$2:$B$210,C382)&gt;0,ROUND(G382*(1-SUMIFS(İndirimler!$D$2:$D$210,İndirimler!$A$2:$A$210,B382,İndirimler!$B$2:$B$210,C382)),2),"")</f>
        <v>251.3</v>
      </c>
      <c r="J382" s="26" t="s">
        <v>897</v>
      </c>
      <c r="K382" s="27"/>
    </row>
    <row r="383" spans="1:11">
      <c r="A383" s="55" t="s">
        <v>627</v>
      </c>
      <c r="B383" s="11" t="s">
        <v>23</v>
      </c>
      <c r="C383" s="11" t="s">
        <v>13</v>
      </c>
      <c r="D383" s="11" t="s">
        <v>527</v>
      </c>
      <c r="E383" s="11"/>
      <c r="F383" s="11" t="s">
        <v>16</v>
      </c>
      <c r="G383" s="14">
        <v>465</v>
      </c>
      <c r="H383" s="17">
        <f>IF(SUMIFS(İndirimler!$C$2:$C$210,İndirimler!$A$2:$A$210,B383,İndirimler!$B$2:$B$210,C383)&gt;0,ROUND(G383*(1-SUMIFS(İndirimler!$C$2:$C$210,İndirimler!$A$2:$A$210,B383,İndirimler!$B$2:$B$210,C383)),2),"")</f>
        <v>395.25</v>
      </c>
      <c r="I383" s="20">
        <f>IF(SUMIFS(İndirimler!$D$2:$D$210,İndirimler!$A$2:$A$210,B383,İndirimler!$B$2:$B$210,C383)&gt;0,ROUND(G383*(1-SUMIFS(İndirimler!$D$2:$D$210,İndirimler!$A$2:$A$210,B383,İndirimler!$B$2:$B$210,C383)),2),"")</f>
        <v>325.5</v>
      </c>
      <c r="J383" s="26" t="s">
        <v>899</v>
      </c>
      <c r="K383" s="27"/>
    </row>
    <row r="384" spans="1:11">
      <c r="A384" s="55" t="s">
        <v>628</v>
      </c>
      <c r="B384" s="11" t="s">
        <v>50</v>
      </c>
      <c r="C384" s="11" t="s">
        <v>13</v>
      </c>
      <c r="D384" s="11" t="s">
        <v>527</v>
      </c>
      <c r="E384" s="11"/>
      <c r="F384" s="11" t="s">
        <v>16</v>
      </c>
      <c r="G384" s="14">
        <v>638</v>
      </c>
      <c r="H384" s="17">
        <f>IF(SUMIFS(İndirimler!$C$2:$C$210,İndirimler!$A$2:$A$210,B384,İndirimler!$B$2:$B$210,C384)&gt;0,ROUND(G384*(1-SUMIFS(İndirimler!$C$2:$C$210,İndirimler!$A$2:$A$210,B384,İndirimler!$B$2:$B$210,C384)),2),"")</f>
        <v>542.29999999999995</v>
      </c>
      <c r="I384" s="20">
        <f>IF(SUMIFS(İndirimler!$D$2:$D$210,İndirimler!$A$2:$A$210,B384,İndirimler!$B$2:$B$210,C384)&gt;0,ROUND(G384*(1-SUMIFS(İndirimler!$D$2:$D$210,İndirimler!$A$2:$A$210,B384,İndirimler!$B$2:$B$210,C384)),2),"")</f>
        <v>446.6</v>
      </c>
      <c r="J384" s="11"/>
      <c r="K384" s="27"/>
    </row>
    <row r="385" spans="1:11">
      <c r="A385" s="55" t="s">
        <v>629</v>
      </c>
      <c r="B385" s="11" t="s">
        <v>38</v>
      </c>
      <c r="C385" s="11" t="s">
        <v>13</v>
      </c>
      <c r="D385" s="11" t="s">
        <v>527</v>
      </c>
      <c r="E385" s="11" t="s">
        <v>69</v>
      </c>
      <c r="F385" s="11" t="s">
        <v>16</v>
      </c>
      <c r="G385" s="14">
        <v>395</v>
      </c>
      <c r="H385" s="17">
        <f>IF(SUMIFS(İndirimler!$C$2:$C$210,İndirimler!$A$2:$A$210,B385,İndirimler!$B$2:$B$210,C385)&gt;0,ROUND(G385*(1-SUMIFS(İndirimler!$C$2:$C$210,İndirimler!$A$2:$A$210,B385,İndirimler!$B$2:$B$210,C385)),2),"")</f>
        <v>335.75</v>
      </c>
      <c r="I385" s="20">
        <f>IF(SUMIFS(İndirimler!$D$2:$D$210,İndirimler!$A$2:$A$210,B385,İndirimler!$B$2:$B$210,C385)&gt;0,ROUND(G385*(1-SUMIFS(İndirimler!$D$2:$D$210,İndirimler!$A$2:$A$210,B385,İndirimler!$B$2:$B$210,C385)),2),"")</f>
        <v>276.5</v>
      </c>
      <c r="J385" s="11"/>
      <c r="K385" s="27"/>
    </row>
    <row r="386" spans="1:11">
      <c r="A386" s="55" t="s">
        <v>630</v>
      </c>
      <c r="B386" s="11" t="s">
        <v>32</v>
      </c>
      <c r="C386" s="11" t="s">
        <v>33</v>
      </c>
      <c r="D386" s="11" t="s">
        <v>631</v>
      </c>
      <c r="E386" s="11"/>
      <c r="F386" s="11" t="s">
        <v>35</v>
      </c>
      <c r="G386" s="14">
        <v>499</v>
      </c>
      <c r="H386" s="17">
        <f>IF(SUMIFS(İndirimler!$C$2:$C$210,İndirimler!$A$2:$A$210,B386,İndirimler!$B$2:$B$210,C386)&gt;0,ROUND(G386*(1-SUMIFS(İndirimler!$C$2:$C$210,İndirimler!$A$2:$A$210,B386,İndirimler!$B$2:$B$210,C386)),2),"")</f>
        <v>424.15</v>
      </c>
      <c r="I386" s="20">
        <f>IF(SUMIFS(İndirimler!$D$2:$D$210,İndirimler!$A$2:$A$210,B386,İndirimler!$B$2:$B$210,C386)&gt;0,ROUND(G386*(1-SUMIFS(İndirimler!$D$2:$D$210,İndirimler!$A$2:$A$210,B386,İndirimler!$B$2:$B$210,C386)),2),"")</f>
        <v>349.3</v>
      </c>
      <c r="J386" s="26" t="s">
        <v>632</v>
      </c>
      <c r="K386" s="27"/>
    </row>
    <row r="387" spans="1:11">
      <c r="A387" s="55" t="s">
        <v>633</v>
      </c>
      <c r="B387" s="11" t="s">
        <v>38</v>
      </c>
      <c r="C387" s="11" t="s">
        <v>33</v>
      </c>
      <c r="D387" s="11" t="s">
        <v>631</v>
      </c>
      <c r="E387" s="11"/>
      <c r="F387" s="11" t="s">
        <v>35</v>
      </c>
      <c r="G387" s="14">
        <v>539</v>
      </c>
      <c r="H387" s="17">
        <f>IF(SUMIFS(İndirimler!$C$2:$C$210,İndirimler!$A$2:$A$210,B387,İndirimler!$B$2:$B$210,C387)&gt;0,ROUND(G387*(1-SUMIFS(İndirimler!$C$2:$C$210,İndirimler!$A$2:$A$210,B387,İndirimler!$B$2:$B$210,C387)),2),"")</f>
        <v>458.15</v>
      </c>
      <c r="I387" s="20">
        <f>IF(SUMIFS(İndirimler!$D$2:$D$210,İndirimler!$A$2:$A$210,B387,İndirimler!$B$2:$B$210,C387)&gt;0,ROUND(G387*(1-SUMIFS(İndirimler!$D$2:$D$210,İndirimler!$A$2:$A$210,B387,İndirimler!$B$2:$B$210,C387)),2),"")</f>
        <v>377.3</v>
      </c>
      <c r="J387" s="11" t="s">
        <v>634</v>
      </c>
      <c r="K387" s="27"/>
    </row>
    <row r="388" spans="1:11">
      <c r="A388" s="55" t="s">
        <v>635</v>
      </c>
      <c r="B388" s="11" t="s">
        <v>44</v>
      </c>
      <c r="C388" s="11" t="s">
        <v>33</v>
      </c>
      <c r="D388" s="11" t="s">
        <v>631</v>
      </c>
      <c r="E388" s="11" t="s">
        <v>45</v>
      </c>
      <c r="F388" s="11" t="s">
        <v>42</v>
      </c>
      <c r="G388" s="14">
        <v>274</v>
      </c>
      <c r="H388" s="17">
        <f>IF(SUMIFS(İndirimler!$C$2:$C$210,İndirimler!$A$2:$A$210,B388,İndirimler!$B$2:$B$210,C388)&gt;0,ROUND(G388*(1-SUMIFS(İndirimler!$C$2:$C$210,İndirimler!$A$2:$A$210,B388,İndirimler!$B$2:$B$210,C388)),2),"")</f>
        <v>232.9</v>
      </c>
      <c r="I388" s="20">
        <f>IF(SUMIFS(İndirimler!$D$2:$D$210,İndirimler!$A$2:$A$210,B388,İndirimler!$B$2:$B$210,C388)&gt;0,ROUND(G388*(1-SUMIFS(İndirimler!$D$2:$D$210,İndirimler!$A$2:$A$210,B388,İndirimler!$B$2:$B$210,C388)),2),"")</f>
        <v>191.8</v>
      </c>
      <c r="J388" s="11" t="s">
        <v>636</v>
      </c>
      <c r="K388" s="27"/>
    </row>
    <row r="389" spans="1:11">
      <c r="A389" s="55" t="s">
        <v>637</v>
      </c>
      <c r="B389" s="11" t="s">
        <v>23</v>
      </c>
      <c r="C389" s="11" t="s">
        <v>33</v>
      </c>
      <c r="D389" s="11" t="s">
        <v>631</v>
      </c>
      <c r="E389" s="11"/>
      <c r="F389" s="11" t="s">
        <v>42</v>
      </c>
      <c r="G389" s="14">
        <v>548</v>
      </c>
      <c r="H389" s="17">
        <f>IF(SUMIFS(İndirimler!$C$2:$C$210,İndirimler!$A$2:$A$210,B389,İndirimler!$B$2:$B$210,C389)&gt;0,ROUND(G389*(1-SUMIFS(İndirimler!$C$2:$C$210,İndirimler!$A$2:$A$210,B389,İndirimler!$B$2:$B$210,C389)),2),"")</f>
        <v>465.8</v>
      </c>
      <c r="I389" s="20">
        <f>IF(SUMIFS(İndirimler!$D$2:$D$210,İndirimler!$A$2:$A$210,B389,İndirimler!$B$2:$B$210,C389)&gt;0,ROUND(G389*(1-SUMIFS(İndirimler!$D$2:$D$210,İndirimler!$A$2:$A$210,B389,İndirimler!$B$2:$B$210,C389)),2),"")</f>
        <v>383.6</v>
      </c>
      <c r="J389" s="11" t="s">
        <v>638</v>
      </c>
      <c r="K389" s="27"/>
    </row>
    <row r="390" spans="1:11">
      <c r="A390" s="55" t="s">
        <v>639</v>
      </c>
      <c r="B390" s="11" t="s">
        <v>55</v>
      </c>
      <c r="C390" s="11" t="s">
        <v>33</v>
      </c>
      <c r="D390" s="11" t="s">
        <v>631</v>
      </c>
      <c r="E390" s="11"/>
      <c r="F390" s="11" t="s">
        <v>16</v>
      </c>
      <c r="G390" s="14">
        <v>346</v>
      </c>
      <c r="H390" s="17">
        <f>IF(SUMIFS(İndirimler!$C$2:$C$210,İndirimler!$A$2:$A$210,B390,İndirimler!$B$2:$B$210,C390)&gt;0,ROUND(G390*(1-SUMIFS(İndirimler!$C$2:$C$210,İndirimler!$A$2:$A$210,B390,İndirimler!$B$2:$B$210,C390)),2),"")</f>
        <v>294.10000000000002</v>
      </c>
      <c r="I390" s="20">
        <f>IF(SUMIFS(İndirimler!$D$2:$D$210,İndirimler!$A$2:$A$210,B390,İndirimler!$B$2:$B$210,C390)&gt;0,ROUND(G390*(1-SUMIFS(İndirimler!$D$2:$D$210,İndirimler!$A$2:$A$210,B390,İndirimler!$B$2:$B$210,C390)),2),"")</f>
        <v>242.2</v>
      </c>
      <c r="J390" s="11" t="s">
        <v>640</v>
      </c>
      <c r="K390" s="27"/>
    </row>
    <row r="391" spans="1:11">
      <c r="A391" s="55" t="s">
        <v>641</v>
      </c>
      <c r="B391" s="11" t="s">
        <v>642</v>
      </c>
      <c r="C391" s="11" t="s">
        <v>33</v>
      </c>
      <c r="D391" s="11" t="s">
        <v>631</v>
      </c>
      <c r="E391" s="11"/>
      <c r="F391" s="11" t="s">
        <v>16</v>
      </c>
      <c r="G391" s="14">
        <v>249</v>
      </c>
      <c r="H391" s="17">
        <f>IF(SUMIFS(İndirimler!$C$2:$C$210,İndirimler!$A$2:$A$210,B391,İndirimler!$B$2:$B$210,C391)&gt;0,ROUND(G391*(1-SUMIFS(İndirimler!$C$2:$C$210,İndirimler!$A$2:$A$210,B391,İndirimler!$B$2:$B$210,C391)),2),"")</f>
        <v>211.65</v>
      </c>
      <c r="I391" s="20">
        <f>IF(SUMIFS(İndirimler!$D$2:$D$210,İndirimler!$A$2:$A$210,B391,İndirimler!$B$2:$B$210,C391)&gt;0,ROUND(G391*(1-SUMIFS(İndirimler!$D$2:$D$210,İndirimler!$A$2:$A$210,B391,İndirimler!$B$2:$B$210,C391)),2),"")</f>
        <v>174.3</v>
      </c>
      <c r="J391" s="11"/>
      <c r="K391" s="27"/>
    </row>
    <row r="392" spans="1:11">
      <c r="A392" s="55" t="s">
        <v>643</v>
      </c>
      <c r="B392" s="11" t="s">
        <v>18</v>
      </c>
      <c r="C392" s="11" t="s">
        <v>33</v>
      </c>
      <c r="D392" s="11" t="s">
        <v>631</v>
      </c>
      <c r="E392" s="11"/>
      <c r="F392" s="11" t="s">
        <v>16</v>
      </c>
      <c r="G392" s="14">
        <v>359</v>
      </c>
      <c r="H392" s="17">
        <f>IF(SUMIFS(İndirimler!$C$2:$C$210,İndirimler!$A$2:$A$210,B392,İndirimler!$B$2:$B$210,C392)&gt;0,ROUND(G392*(1-SUMIFS(İndirimler!$C$2:$C$210,İndirimler!$A$2:$A$210,B392,İndirimler!$B$2:$B$210,C392)),2),"")</f>
        <v>305.14999999999998</v>
      </c>
      <c r="I392" s="20">
        <f>IF(SUMIFS(İndirimler!$D$2:$D$210,İndirimler!$A$2:$A$210,B392,İndirimler!$B$2:$B$210,C392)&gt;0,ROUND(G392*(1-SUMIFS(İndirimler!$D$2:$D$210,İndirimler!$A$2:$A$210,B392,İndirimler!$B$2:$B$210,C392)),2),"")</f>
        <v>251.3</v>
      </c>
      <c r="J392" s="26" t="s">
        <v>644</v>
      </c>
      <c r="K392" s="27"/>
    </row>
    <row r="393" spans="1:11">
      <c r="A393" s="55" t="s">
        <v>645</v>
      </c>
      <c r="B393" s="11" t="s">
        <v>44</v>
      </c>
      <c r="C393" s="11" t="s">
        <v>33</v>
      </c>
      <c r="D393" s="11" t="s">
        <v>631</v>
      </c>
      <c r="E393" s="11" t="s">
        <v>60</v>
      </c>
      <c r="F393" s="11" t="s">
        <v>16</v>
      </c>
      <c r="G393" s="14">
        <v>274</v>
      </c>
      <c r="H393" s="17">
        <f>IF(SUMIFS(İndirimler!$C$2:$C$210,İndirimler!$A$2:$A$210,B393,İndirimler!$B$2:$B$210,C393)&gt;0,ROUND(G393*(1-SUMIFS(İndirimler!$C$2:$C$210,İndirimler!$A$2:$A$210,B393,İndirimler!$B$2:$B$210,C393)),2),"")</f>
        <v>232.9</v>
      </c>
      <c r="I393" s="20">
        <f>IF(SUMIFS(İndirimler!$D$2:$D$210,İndirimler!$A$2:$A$210,B393,İndirimler!$B$2:$B$210,C393)&gt;0,ROUND(G393*(1-SUMIFS(İndirimler!$D$2:$D$210,İndirimler!$A$2:$A$210,B393,İndirimler!$B$2:$B$210,C393)),2),"")</f>
        <v>191.8</v>
      </c>
      <c r="J393" s="11" t="s">
        <v>646</v>
      </c>
      <c r="K393" s="27"/>
    </row>
    <row r="394" spans="1:11">
      <c r="A394" s="55" t="s">
        <v>647</v>
      </c>
      <c r="B394" s="11" t="s">
        <v>63</v>
      </c>
      <c r="C394" s="11" t="s">
        <v>33</v>
      </c>
      <c r="D394" s="11" t="s">
        <v>631</v>
      </c>
      <c r="E394" s="11" t="s">
        <v>64</v>
      </c>
      <c r="F394" s="11" t="s">
        <v>16</v>
      </c>
      <c r="G394" s="14">
        <v>429</v>
      </c>
      <c r="H394" s="17">
        <f>IF(SUMIFS(İndirimler!$C$2:$C$210,İndirimler!$A$2:$A$210,B394,İndirimler!$B$2:$B$210,C394)&gt;0,ROUND(G394*(1-SUMIFS(İndirimler!$C$2:$C$210,İndirimler!$A$2:$A$210,B394,İndirimler!$B$2:$B$210,C394)),2),"")</f>
        <v>364.65</v>
      </c>
      <c r="I394" s="20">
        <f>IF(SUMIFS(İndirimler!$D$2:$D$210,İndirimler!$A$2:$A$210,B394,İndirimler!$B$2:$B$210,C394)&gt;0,ROUND(G394*(1-SUMIFS(İndirimler!$D$2:$D$210,İndirimler!$A$2:$A$210,B394,İndirimler!$B$2:$B$210,C394)),2),"")</f>
        <v>300.3</v>
      </c>
      <c r="J394" s="11" t="s">
        <v>648</v>
      </c>
      <c r="K394" s="27"/>
    </row>
    <row r="395" spans="1:11">
      <c r="A395" s="55" t="s">
        <v>649</v>
      </c>
      <c r="B395" s="11" t="s">
        <v>23</v>
      </c>
      <c r="C395" s="11" t="s">
        <v>33</v>
      </c>
      <c r="D395" s="11" t="s">
        <v>631</v>
      </c>
      <c r="E395" s="11"/>
      <c r="F395" s="11" t="s">
        <v>16</v>
      </c>
      <c r="G395" s="14">
        <v>548</v>
      </c>
      <c r="H395" s="17">
        <f>IF(SUMIFS(İndirimler!$C$2:$C$210,İndirimler!$A$2:$A$210,B395,İndirimler!$B$2:$B$210,C395)&gt;0,ROUND(G395*(1-SUMIFS(İndirimler!$C$2:$C$210,İndirimler!$A$2:$A$210,B395,İndirimler!$B$2:$B$210,C395)),2),"")</f>
        <v>465.8</v>
      </c>
      <c r="I395" s="20">
        <f>IF(SUMIFS(İndirimler!$D$2:$D$210,İndirimler!$A$2:$A$210,B395,İndirimler!$B$2:$B$210,C395)&gt;0,ROUND(G395*(1-SUMIFS(İndirimler!$D$2:$D$210,İndirimler!$A$2:$A$210,B395,İndirimler!$B$2:$B$210,C395)),2),"")</f>
        <v>383.6</v>
      </c>
      <c r="J395" s="11" t="s">
        <v>650</v>
      </c>
      <c r="K395" s="27"/>
    </row>
    <row r="396" spans="1:11">
      <c r="A396" s="55" t="s">
        <v>651</v>
      </c>
      <c r="B396" s="11" t="s">
        <v>50</v>
      </c>
      <c r="C396" s="11" t="s">
        <v>33</v>
      </c>
      <c r="D396" s="11" t="s">
        <v>631</v>
      </c>
      <c r="E396" s="11" t="s">
        <v>69</v>
      </c>
      <c r="F396" s="11" t="s">
        <v>16</v>
      </c>
      <c r="G396" s="14">
        <v>440</v>
      </c>
      <c r="H396" s="17">
        <f>IF(SUMIFS(İndirimler!$C$2:$C$210,İndirimler!$A$2:$A$210,B396,İndirimler!$B$2:$B$210,C396)&gt;0,ROUND(G396*(1-SUMIFS(İndirimler!$C$2:$C$210,İndirimler!$A$2:$A$210,B396,İndirimler!$B$2:$B$210,C396)),2),"")</f>
        <v>374</v>
      </c>
      <c r="I396" s="20">
        <f>IF(SUMIFS(İndirimler!$D$2:$D$210,İndirimler!$A$2:$A$210,B396,İndirimler!$B$2:$B$210,C396)&gt;0,ROUND(G396*(1-SUMIFS(İndirimler!$D$2:$D$210,İndirimler!$A$2:$A$210,B396,İndirimler!$B$2:$B$210,C396)),2),"")</f>
        <v>308</v>
      </c>
      <c r="J396" s="11"/>
      <c r="K396" s="27"/>
    </row>
    <row r="397" spans="1:11">
      <c r="A397" s="55" t="s">
        <v>652</v>
      </c>
      <c r="B397" s="11" t="s">
        <v>38</v>
      </c>
      <c r="C397" s="11" t="s">
        <v>33</v>
      </c>
      <c r="D397" s="11" t="s">
        <v>631</v>
      </c>
      <c r="E397" s="11" t="s">
        <v>69</v>
      </c>
      <c r="F397" s="11" t="s">
        <v>16</v>
      </c>
      <c r="G397" s="14">
        <v>295</v>
      </c>
      <c r="H397" s="17">
        <f>IF(SUMIFS(İndirimler!$C$2:$C$210,İndirimler!$A$2:$A$210,B397,İndirimler!$B$2:$B$210,C397)&gt;0,ROUND(G397*(1-SUMIFS(İndirimler!$C$2:$C$210,İndirimler!$A$2:$A$210,B397,İndirimler!$B$2:$B$210,C397)),2),"")</f>
        <v>250.75</v>
      </c>
      <c r="I397" s="20">
        <f>IF(SUMIFS(İndirimler!$D$2:$D$210,İndirimler!$A$2:$A$210,B397,İndirimler!$B$2:$B$210,C397)&gt;0,ROUND(G397*(1-SUMIFS(İndirimler!$D$2:$D$210,İndirimler!$A$2:$A$210,B397,İndirimler!$B$2:$B$210,C397)),2),"")</f>
        <v>206.5</v>
      </c>
      <c r="J397" s="11"/>
      <c r="K397" s="27"/>
    </row>
    <row r="398" spans="1:11">
      <c r="A398" s="55" t="s">
        <v>653</v>
      </c>
      <c r="B398" s="11" t="s">
        <v>72</v>
      </c>
      <c r="C398" s="11" t="s">
        <v>33</v>
      </c>
      <c r="D398" s="11" t="s">
        <v>631</v>
      </c>
      <c r="E398" s="11"/>
      <c r="F398" s="11" t="s">
        <v>73</v>
      </c>
      <c r="G398" s="14">
        <v>479</v>
      </c>
      <c r="H398" s="17">
        <f>IF(SUMIFS(İndirimler!$C$2:$C$210,İndirimler!$A$2:$A$210,B398,İndirimler!$B$2:$B$210,C398)&gt;0,ROUND(G398*(1-SUMIFS(İndirimler!$C$2:$C$210,İndirimler!$A$2:$A$210,B398,İndirimler!$B$2:$B$210,C398)),2),"")</f>
        <v>407.15</v>
      </c>
      <c r="I398" s="20">
        <f>IF(SUMIFS(İndirimler!$D$2:$D$210,İndirimler!$A$2:$A$210,B398,İndirimler!$B$2:$B$210,C398)&gt;0,ROUND(G398*(1-SUMIFS(İndirimler!$D$2:$D$210,İndirimler!$A$2:$A$210,B398,İndirimler!$B$2:$B$210,C398)),2),"")</f>
        <v>335.3</v>
      </c>
      <c r="J398" s="11"/>
      <c r="K398" s="27"/>
    </row>
    <row r="399" spans="1:11">
      <c r="A399" s="55" t="s">
        <v>654</v>
      </c>
      <c r="B399" s="11" t="s">
        <v>38</v>
      </c>
      <c r="C399" s="11" t="s">
        <v>76</v>
      </c>
      <c r="D399" s="11" t="s">
        <v>631</v>
      </c>
      <c r="E399" s="11"/>
      <c r="F399" s="11" t="s">
        <v>35</v>
      </c>
      <c r="G399" s="14">
        <v>779</v>
      </c>
      <c r="H399" s="17">
        <f>IF(SUMIFS(İndirimler!$C$2:$C$210,İndirimler!$A$2:$A$210,B399,İndirimler!$B$2:$B$210,C399)&gt;0,ROUND(G399*(1-SUMIFS(İndirimler!$C$2:$C$210,İndirimler!$A$2:$A$210,B399,İndirimler!$B$2:$B$210,C399)),2),"")</f>
        <v>662.15</v>
      </c>
      <c r="I399" s="20">
        <f>IF(SUMIFS(İndirimler!$D$2:$D$210,İndirimler!$A$2:$A$210,B399,İndirimler!$B$2:$B$210,C399)&gt;0,ROUND(G399*(1-SUMIFS(İndirimler!$D$2:$D$210,İndirimler!$A$2:$A$210,B399,İndirimler!$B$2:$B$210,C399)),2),"")</f>
        <v>545.29999999999995</v>
      </c>
      <c r="J399" s="11" t="s">
        <v>655</v>
      </c>
      <c r="K399" s="27"/>
    </row>
    <row r="400" spans="1:11">
      <c r="A400" s="55" t="s">
        <v>656</v>
      </c>
      <c r="B400" s="11" t="s">
        <v>44</v>
      </c>
      <c r="C400" s="11" t="s">
        <v>76</v>
      </c>
      <c r="D400" s="11" t="s">
        <v>631</v>
      </c>
      <c r="E400" s="11" t="s">
        <v>45</v>
      </c>
      <c r="F400" s="11" t="s">
        <v>42</v>
      </c>
      <c r="G400" s="14">
        <v>274</v>
      </c>
      <c r="H400" s="17">
        <f>IF(SUMIFS(İndirimler!$C$2:$C$210,İndirimler!$A$2:$A$210,B400,İndirimler!$B$2:$B$210,C400)&gt;0,ROUND(G400*(1-SUMIFS(İndirimler!$C$2:$C$210,İndirimler!$A$2:$A$210,B400,İndirimler!$B$2:$B$210,C400)),2),"")</f>
        <v>232.9</v>
      </c>
      <c r="I400" s="20">
        <f>IF(SUMIFS(İndirimler!$D$2:$D$210,İndirimler!$A$2:$A$210,B400,İndirimler!$B$2:$B$210,C400)&gt;0,ROUND(G400*(1-SUMIFS(İndirimler!$D$2:$D$210,İndirimler!$A$2:$A$210,B400,İndirimler!$B$2:$B$210,C400)),2),"")</f>
        <v>191.8</v>
      </c>
      <c r="J400" s="11" t="s">
        <v>657</v>
      </c>
      <c r="K400" s="27"/>
    </row>
    <row r="401" spans="1:11">
      <c r="A401" s="55" t="s">
        <v>658</v>
      </c>
      <c r="B401" s="11" t="s">
        <v>23</v>
      </c>
      <c r="C401" s="11" t="s">
        <v>76</v>
      </c>
      <c r="D401" s="11" t="s">
        <v>631</v>
      </c>
      <c r="E401" s="11"/>
      <c r="F401" s="11" t="s">
        <v>42</v>
      </c>
      <c r="G401" s="14">
        <v>608</v>
      </c>
      <c r="H401" s="17">
        <f>IF(SUMIFS(İndirimler!$C$2:$C$210,İndirimler!$A$2:$A$210,B401,İndirimler!$B$2:$B$210,C401)&gt;0,ROUND(G401*(1-SUMIFS(İndirimler!$C$2:$C$210,İndirimler!$A$2:$A$210,B401,İndirimler!$B$2:$B$210,C401)),2),"")</f>
        <v>516.79999999999995</v>
      </c>
      <c r="I401" s="20">
        <f>IF(SUMIFS(İndirimler!$D$2:$D$210,İndirimler!$A$2:$A$210,B401,İndirimler!$B$2:$B$210,C401)&gt;0,ROUND(G401*(1-SUMIFS(İndirimler!$D$2:$D$210,İndirimler!$A$2:$A$210,B401,İndirimler!$B$2:$B$210,C401)),2),"")</f>
        <v>425.6</v>
      </c>
      <c r="J401" s="11" t="s">
        <v>659</v>
      </c>
      <c r="K401" s="27"/>
    </row>
    <row r="402" spans="1:11">
      <c r="A402" s="55" t="s">
        <v>660</v>
      </c>
      <c r="B402" s="11" t="s">
        <v>55</v>
      </c>
      <c r="C402" s="11" t="s">
        <v>76</v>
      </c>
      <c r="D402" s="11" t="s">
        <v>631</v>
      </c>
      <c r="E402" s="11"/>
      <c r="F402" s="11" t="s">
        <v>16</v>
      </c>
      <c r="G402" s="14">
        <v>366</v>
      </c>
      <c r="H402" s="17">
        <f>IF(SUMIFS(İndirimler!$C$2:$C$210,İndirimler!$A$2:$A$210,B402,İndirimler!$B$2:$B$210,C402)&gt;0,ROUND(G402*(1-SUMIFS(İndirimler!$C$2:$C$210,İndirimler!$A$2:$A$210,B402,İndirimler!$B$2:$B$210,C402)),2),"")</f>
        <v>311.10000000000002</v>
      </c>
      <c r="I402" s="20">
        <f>IF(SUMIFS(İndirimler!$D$2:$D$210,İndirimler!$A$2:$A$210,B402,İndirimler!$B$2:$B$210,C402)&gt;0,ROUND(G402*(1-SUMIFS(İndirimler!$D$2:$D$210,İndirimler!$A$2:$A$210,B402,İndirimler!$B$2:$B$210,C402)),2),"")</f>
        <v>256.2</v>
      </c>
      <c r="J402" s="11" t="s">
        <v>661</v>
      </c>
      <c r="K402" s="27"/>
    </row>
    <row r="403" spans="1:11">
      <c r="A403" s="55" t="s">
        <v>662</v>
      </c>
      <c r="B403" s="11" t="s">
        <v>642</v>
      </c>
      <c r="C403" s="11" t="s">
        <v>76</v>
      </c>
      <c r="D403" s="11" t="s">
        <v>631</v>
      </c>
      <c r="E403" s="11"/>
      <c r="F403" s="11" t="s">
        <v>16</v>
      </c>
      <c r="G403" s="14">
        <v>295</v>
      </c>
      <c r="H403" s="17">
        <f>IF(SUMIFS(İndirimler!$C$2:$C$210,İndirimler!$A$2:$A$210,B403,İndirimler!$B$2:$B$210,C403)&gt;0,ROUND(G403*(1-SUMIFS(İndirimler!$C$2:$C$210,İndirimler!$A$2:$A$210,B403,İndirimler!$B$2:$B$210,C403)),2),"")</f>
        <v>250.75</v>
      </c>
      <c r="I403" s="20">
        <f>IF(SUMIFS(İndirimler!$D$2:$D$210,İndirimler!$A$2:$A$210,B403,İndirimler!$B$2:$B$210,C403)&gt;0,ROUND(G403*(1-SUMIFS(İndirimler!$D$2:$D$210,İndirimler!$A$2:$A$210,B403,İndirimler!$B$2:$B$210,C403)),2),"")</f>
        <v>206.5</v>
      </c>
      <c r="J403" s="11"/>
      <c r="K403" s="27"/>
    </row>
    <row r="404" spans="1:11">
      <c r="A404" s="55" t="s">
        <v>663</v>
      </c>
      <c r="B404" s="11" t="s">
        <v>18</v>
      </c>
      <c r="C404" s="11" t="s">
        <v>76</v>
      </c>
      <c r="D404" s="11" t="s">
        <v>631</v>
      </c>
      <c r="E404" s="11"/>
      <c r="F404" s="11" t="s">
        <v>16</v>
      </c>
      <c r="G404" s="14">
        <v>385</v>
      </c>
      <c r="H404" s="17">
        <f>IF(SUMIFS(İndirimler!$C$2:$C$210,İndirimler!$A$2:$A$210,B404,İndirimler!$B$2:$B$210,C404)&gt;0,ROUND(G404*(1-SUMIFS(İndirimler!$C$2:$C$210,İndirimler!$A$2:$A$210,B404,İndirimler!$B$2:$B$210,C404)),2),"")</f>
        <v>327.25</v>
      </c>
      <c r="I404" s="20">
        <f>IF(SUMIFS(İndirimler!$D$2:$D$210,İndirimler!$A$2:$A$210,B404,İndirimler!$B$2:$B$210,C404)&gt;0,ROUND(G404*(1-SUMIFS(İndirimler!$D$2:$D$210,İndirimler!$A$2:$A$210,B404,İndirimler!$B$2:$B$210,C404)),2),"")</f>
        <v>269.5</v>
      </c>
      <c r="J404" s="26" t="s">
        <v>664</v>
      </c>
      <c r="K404" s="27"/>
    </row>
    <row r="405" spans="1:11">
      <c r="A405" s="55" t="s">
        <v>665</v>
      </c>
      <c r="B405" s="11" t="s">
        <v>44</v>
      </c>
      <c r="C405" s="11" t="s">
        <v>76</v>
      </c>
      <c r="D405" s="11" t="s">
        <v>631</v>
      </c>
      <c r="E405" s="11" t="s">
        <v>60</v>
      </c>
      <c r="F405" s="11" t="s">
        <v>16</v>
      </c>
      <c r="G405" s="14">
        <v>274</v>
      </c>
      <c r="H405" s="17">
        <f>IF(SUMIFS(İndirimler!$C$2:$C$210,İndirimler!$A$2:$A$210,B405,İndirimler!$B$2:$B$210,C405)&gt;0,ROUND(G405*(1-SUMIFS(İndirimler!$C$2:$C$210,İndirimler!$A$2:$A$210,B405,İndirimler!$B$2:$B$210,C405)),2),"")</f>
        <v>232.9</v>
      </c>
      <c r="I405" s="20">
        <f>IF(SUMIFS(İndirimler!$D$2:$D$210,İndirimler!$A$2:$A$210,B405,İndirimler!$B$2:$B$210,C405)&gt;0,ROUND(G405*(1-SUMIFS(İndirimler!$D$2:$D$210,İndirimler!$A$2:$A$210,B405,İndirimler!$B$2:$B$210,C405)),2),"")</f>
        <v>191.8</v>
      </c>
      <c r="J405" s="11" t="s">
        <v>666</v>
      </c>
      <c r="K405" s="27"/>
    </row>
    <row r="406" spans="1:11">
      <c r="A406" s="55" t="s">
        <v>667</v>
      </c>
      <c r="B406" s="11" t="s">
        <v>63</v>
      </c>
      <c r="C406" s="11" t="s">
        <v>76</v>
      </c>
      <c r="D406" s="11" t="s">
        <v>631</v>
      </c>
      <c r="E406" s="11" t="s">
        <v>64</v>
      </c>
      <c r="F406" s="11" t="s">
        <v>16</v>
      </c>
      <c r="G406" s="14">
        <v>429</v>
      </c>
      <c r="H406" s="17">
        <f>IF(SUMIFS(İndirimler!$C$2:$C$210,İndirimler!$A$2:$A$210,B406,İndirimler!$B$2:$B$210,C406)&gt;0,ROUND(G406*(1-SUMIFS(İndirimler!$C$2:$C$210,İndirimler!$A$2:$A$210,B406,İndirimler!$B$2:$B$210,C406)),2),"")</f>
        <v>364.65</v>
      </c>
      <c r="I406" s="20">
        <f>IF(SUMIFS(İndirimler!$D$2:$D$210,İndirimler!$A$2:$A$210,B406,İndirimler!$B$2:$B$210,C406)&gt;0,ROUND(G406*(1-SUMIFS(İndirimler!$D$2:$D$210,İndirimler!$A$2:$A$210,B406,İndirimler!$B$2:$B$210,C406)),2),"")</f>
        <v>300.3</v>
      </c>
      <c r="J406" s="11" t="s">
        <v>668</v>
      </c>
      <c r="K406" s="27"/>
    </row>
    <row r="407" spans="1:11">
      <c r="A407" s="55" t="s">
        <v>669</v>
      </c>
      <c r="B407" s="11" t="s">
        <v>23</v>
      </c>
      <c r="C407" s="11" t="s">
        <v>76</v>
      </c>
      <c r="D407" s="11" t="s">
        <v>631</v>
      </c>
      <c r="E407" s="11"/>
      <c r="F407" s="11" t="s">
        <v>16</v>
      </c>
      <c r="G407" s="14">
        <v>619</v>
      </c>
      <c r="H407" s="17">
        <f>IF(SUMIFS(İndirimler!$C$2:$C$210,İndirimler!$A$2:$A$210,B407,İndirimler!$B$2:$B$210,C407)&gt;0,ROUND(G407*(1-SUMIFS(İndirimler!$C$2:$C$210,İndirimler!$A$2:$A$210,B407,İndirimler!$B$2:$B$210,C407)),2),"")</f>
        <v>526.15</v>
      </c>
      <c r="I407" s="20">
        <f>IF(SUMIFS(İndirimler!$D$2:$D$210,İndirimler!$A$2:$A$210,B407,İndirimler!$B$2:$B$210,C407)&gt;0,ROUND(G407*(1-SUMIFS(İndirimler!$D$2:$D$210,İndirimler!$A$2:$A$210,B407,İndirimler!$B$2:$B$210,C407)),2),"")</f>
        <v>433.3</v>
      </c>
      <c r="J407" s="11" t="s">
        <v>670</v>
      </c>
      <c r="K407" s="27"/>
    </row>
    <row r="408" spans="1:11">
      <c r="A408" s="55" t="s">
        <v>671</v>
      </c>
      <c r="B408" s="11" t="s">
        <v>50</v>
      </c>
      <c r="C408" s="11" t="s">
        <v>76</v>
      </c>
      <c r="D408" s="11" t="s">
        <v>631</v>
      </c>
      <c r="E408" s="11" t="s">
        <v>69</v>
      </c>
      <c r="F408" s="11" t="s">
        <v>16</v>
      </c>
      <c r="G408" s="14">
        <v>634</v>
      </c>
      <c r="H408" s="17">
        <f>IF(SUMIFS(İndirimler!$C$2:$C$210,İndirimler!$A$2:$A$210,B408,İndirimler!$B$2:$B$210,C408)&gt;0,ROUND(G408*(1-SUMIFS(İndirimler!$C$2:$C$210,İndirimler!$A$2:$A$210,B408,İndirimler!$B$2:$B$210,C408)),2),"")</f>
        <v>538.9</v>
      </c>
      <c r="I408" s="20">
        <f>IF(SUMIFS(İndirimler!$D$2:$D$210,İndirimler!$A$2:$A$210,B408,İndirimler!$B$2:$B$210,C408)&gt;0,ROUND(G408*(1-SUMIFS(İndirimler!$D$2:$D$210,İndirimler!$A$2:$A$210,B408,İndirimler!$B$2:$B$210,C408)),2),"")</f>
        <v>443.8</v>
      </c>
      <c r="J408" s="11"/>
      <c r="K408" s="27"/>
    </row>
    <row r="409" spans="1:11">
      <c r="A409" s="55" t="s">
        <v>672</v>
      </c>
      <c r="B409" s="11" t="s">
        <v>38</v>
      </c>
      <c r="C409" s="11" t="s">
        <v>76</v>
      </c>
      <c r="D409" s="11" t="s">
        <v>631</v>
      </c>
      <c r="E409" s="11" t="s">
        <v>69</v>
      </c>
      <c r="F409" s="11" t="s">
        <v>16</v>
      </c>
      <c r="G409" s="14">
        <v>295</v>
      </c>
      <c r="H409" s="17">
        <f>IF(SUMIFS(İndirimler!$C$2:$C$210,İndirimler!$A$2:$A$210,B409,İndirimler!$B$2:$B$210,C409)&gt;0,ROUND(G409*(1-SUMIFS(İndirimler!$C$2:$C$210,İndirimler!$A$2:$A$210,B409,İndirimler!$B$2:$B$210,C409)),2),"")</f>
        <v>250.75</v>
      </c>
      <c r="I409" s="20">
        <f>IF(SUMIFS(İndirimler!$D$2:$D$210,İndirimler!$A$2:$A$210,B409,İndirimler!$B$2:$B$210,C409)&gt;0,ROUND(G409*(1-SUMIFS(İndirimler!$D$2:$D$210,İndirimler!$A$2:$A$210,B409,İndirimler!$B$2:$B$210,C409)),2),"")</f>
        <v>206.5</v>
      </c>
      <c r="J409" s="11" t="s">
        <v>673</v>
      </c>
      <c r="K409" s="27"/>
    </row>
    <row r="410" spans="1:11">
      <c r="A410" s="55" t="s">
        <v>674</v>
      </c>
      <c r="B410" s="11" t="s">
        <v>72</v>
      </c>
      <c r="C410" s="11" t="s">
        <v>76</v>
      </c>
      <c r="D410" s="11" t="s">
        <v>631</v>
      </c>
      <c r="E410" s="11"/>
      <c r="F410" s="11" t="s">
        <v>73</v>
      </c>
      <c r="G410" s="14">
        <v>385</v>
      </c>
      <c r="H410" s="17">
        <f>IF(SUMIFS(İndirimler!$C$2:$C$210,İndirimler!$A$2:$A$210,B410,İndirimler!$B$2:$B$210,C410)&gt;0,ROUND(G410*(1-SUMIFS(İndirimler!$C$2:$C$210,İndirimler!$A$2:$A$210,B410,İndirimler!$B$2:$B$210,C410)),2),"")</f>
        <v>327.25</v>
      </c>
      <c r="I410" s="20">
        <f>IF(SUMIFS(İndirimler!$D$2:$D$210,İndirimler!$A$2:$A$210,B410,İndirimler!$B$2:$B$210,C410)&gt;0,ROUND(G410*(1-SUMIFS(İndirimler!$D$2:$D$210,İndirimler!$A$2:$A$210,B410,İndirimler!$B$2:$B$210,C410)),2),"")</f>
        <v>269.5</v>
      </c>
      <c r="J410" s="11"/>
      <c r="K410" s="27"/>
    </row>
    <row r="411" spans="1:11">
      <c r="A411" s="55" t="s">
        <v>675</v>
      </c>
      <c r="B411" s="11" t="s">
        <v>38</v>
      </c>
      <c r="C411" s="11" t="s">
        <v>101</v>
      </c>
      <c r="D411" s="11" t="s">
        <v>631</v>
      </c>
      <c r="E411" s="11"/>
      <c r="F411" s="11" t="s">
        <v>35</v>
      </c>
      <c r="G411" s="14"/>
      <c r="H411" s="17">
        <f>IF(SUMIFS(İndirimler!$C$2:$C$210,İndirimler!$A$2:$A$210,B411,İndirimler!$B$2:$B$210,C411)&gt;0,ROUND(G411*(1-SUMIFS(İndirimler!$C$2:$C$210,İndirimler!$A$2:$A$210,B411,İndirimler!$B$2:$B$210,C411)),2),"")</f>
        <v>0</v>
      </c>
      <c r="I411" s="20">
        <f>IF(SUMIFS(İndirimler!$D$2:$D$210,İndirimler!$A$2:$A$210,B411,İndirimler!$B$2:$B$210,C411)&gt;0,ROUND(G411*(1-SUMIFS(İndirimler!$D$2:$D$210,İndirimler!$A$2:$A$210,B411,İndirimler!$B$2:$B$210,C411)),2),"")</f>
        <v>0</v>
      </c>
      <c r="J411" s="11"/>
      <c r="K411" s="27"/>
    </row>
    <row r="412" spans="1:11">
      <c r="A412" s="55" t="s">
        <v>676</v>
      </c>
      <c r="B412" s="11" t="s">
        <v>72</v>
      </c>
      <c r="C412" s="11" t="s">
        <v>101</v>
      </c>
      <c r="D412" s="11" t="s">
        <v>631</v>
      </c>
      <c r="E412" s="11" t="s">
        <v>104</v>
      </c>
      <c r="F412" s="11" t="s">
        <v>42</v>
      </c>
      <c r="G412" s="14"/>
      <c r="H412" s="17">
        <f>IF(SUMIFS(İndirimler!$C$2:$C$210,İndirimler!$A$2:$A$210,B412,İndirimler!$B$2:$B$210,C412)&gt;0,ROUND(G412*(1-SUMIFS(İndirimler!$C$2:$C$210,İndirimler!$A$2:$A$210,B412,İndirimler!$B$2:$B$210,C412)),2),"")</f>
        <v>0</v>
      </c>
      <c r="I412" s="20">
        <f>IF(SUMIFS(İndirimler!$D$2:$D$210,İndirimler!$A$2:$A$210,B412,İndirimler!$B$2:$B$210,C412)&gt;0,ROUND(G412*(1-SUMIFS(İndirimler!$D$2:$D$210,İndirimler!$A$2:$A$210,B412,İndirimler!$B$2:$B$210,C412)),2),"")</f>
        <v>0</v>
      </c>
      <c r="J412" s="11"/>
      <c r="K412" s="27"/>
    </row>
    <row r="413" spans="1:11">
      <c r="A413" s="55" t="s">
        <v>677</v>
      </c>
      <c r="B413" s="11" t="s">
        <v>23</v>
      </c>
      <c r="C413" s="11" t="s">
        <v>101</v>
      </c>
      <c r="D413" s="11" t="s">
        <v>631</v>
      </c>
      <c r="E413" s="11"/>
      <c r="F413" s="11" t="s">
        <v>42</v>
      </c>
      <c r="G413" s="14">
        <v>610</v>
      </c>
      <c r="H413" s="17">
        <f>IF(SUMIFS(İndirimler!$C$2:$C$210,İndirimler!$A$2:$A$210,B413,İndirimler!$B$2:$B$210,C413)&gt;0,ROUND(G413*(1-SUMIFS(İndirimler!$C$2:$C$210,İndirimler!$A$2:$A$210,B413,İndirimler!$B$2:$B$210,C413)),2),"")</f>
        <v>518.5</v>
      </c>
      <c r="I413" s="20">
        <f>IF(SUMIFS(İndirimler!$D$2:$D$210,İndirimler!$A$2:$A$210,B413,İndirimler!$B$2:$B$210,C413)&gt;0,ROUND(G413*(1-SUMIFS(İndirimler!$D$2:$D$210,İndirimler!$A$2:$A$210,B413,İndirimler!$B$2:$B$210,C413)),2),"")</f>
        <v>427</v>
      </c>
      <c r="J413" s="11"/>
      <c r="K413" s="27"/>
    </row>
    <row r="414" spans="1:11">
      <c r="A414" s="55" t="s">
        <v>678</v>
      </c>
      <c r="B414" s="11" t="s">
        <v>55</v>
      </c>
      <c r="C414" s="11" t="s">
        <v>101</v>
      </c>
      <c r="D414" s="11" t="s">
        <v>631</v>
      </c>
      <c r="E414" s="11"/>
      <c r="F414" s="11" t="s">
        <v>16</v>
      </c>
      <c r="G414" s="14">
        <v>346</v>
      </c>
      <c r="H414" s="17">
        <f>IF(SUMIFS(İndirimler!$C$2:$C$210,İndirimler!$A$2:$A$210,B414,İndirimler!$B$2:$B$210,C414)&gt;0,ROUND(G414*(1-SUMIFS(İndirimler!$C$2:$C$210,İndirimler!$A$2:$A$210,B414,İndirimler!$B$2:$B$210,C414)),2),"")</f>
        <v>294.10000000000002</v>
      </c>
      <c r="I414" s="20">
        <f>IF(SUMIFS(İndirimler!$D$2:$D$210,İndirimler!$A$2:$A$210,B414,İndirimler!$B$2:$B$210,C414)&gt;0,ROUND(G414*(1-SUMIFS(İndirimler!$D$2:$D$210,İndirimler!$A$2:$A$210,B414,İndirimler!$B$2:$B$210,C414)),2),"")</f>
        <v>242.2</v>
      </c>
      <c r="J414" s="11"/>
      <c r="K414" s="27"/>
    </row>
    <row r="415" spans="1:11">
      <c r="A415" s="55" t="s">
        <v>679</v>
      </c>
      <c r="B415" s="11" t="s">
        <v>642</v>
      </c>
      <c r="C415" s="11" t="s">
        <v>101</v>
      </c>
      <c r="D415" s="11" t="s">
        <v>631</v>
      </c>
      <c r="E415" s="11"/>
      <c r="F415" s="11" t="s">
        <v>16</v>
      </c>
      <c r="G415" s="14"/>
      <c r="H415" s="17">
        <f>IF(SUMIFS(İndirimler!$C$2:$C$210,İndirimler!$A$2:$A$210,B415,İndirimler!$B$2:$B$210,C415)&gt;0,ROUND(G415*(1-SUMIFS(İndirimler!$C$2:$C$210,İndirimler!$A$2:$A$210,B415,İndirimler!$B$2:$B$210,C415)),2),"")</f>
        <v>0</v>
      </c>
      <c r="I415" s="20">
        <f>IF(SUMIFS(İndirimler!$D$2:$D$210,İndirimler!$A$2:$A$210,B415,İndirimler!$B$2:$B$210,C415)&gt;0,ROUND(G415*(1-SUMIFS(İndirimler!$D$2:$D$210,İndirimler!$A$2:$A$210,B415,İndirimler!$B$2:$B$210,C415)),2),"")</f>
        <v>0</v>
      </c>
      <c r="J415" s="11"/>
      <c r="K415" s="27"/>
    </row>
    <row r="416" spans="1:11">
      <c r="A416" s="55" t="s">
        <v>680</v>
      </c>
      <c r="B416" s="11" t="s">
        <v>18</v>
      </c>
      <c r="C416" s="11" t="s">
        <v>101</v>
      </c>
      <c r="D416" s="11" t="s">
        <v>631</v>
      </c>
      <c r="E416" s="11"/>
      <c r="F416" s="11" t="s">
        <v>16</v>
      </c>
      <c r="G416" s="14"/>
      <c r="H416" s="17">
        <f>IF(SUMIFS(İndirimler!$C$2:$C$210,İndirimler!$A$2:$A$210,B416,İndirimler!$B$2:$B$210,C416)&gt;0,ROUND(G416*(1-SUMIFS(İndirimler!$C$2:$C$210,İndirimler!$A$2:$A$210,B416,İndirimler!$B$2:$B$210,C416)),2),"")</f>
        <v>0</v>
      </c>
      <c r="I416" s="20">
        <f>IF(SUMIFS(İndirimler!$D$2:$D$210,İndirimler!$A$2:$A$210,B416,İndirimler!$B$2:$B$210,C416)&gt;0,ROUND(G416*(1-SUMIFS(İndirimler!$D$2:$D$210,İndirimler!$A$2:$A$210,B416,İndirimler!$B$2:$B$210,C416)),2),"")</f>
        <v>0</v>
      </c>
      <c r="J416" s="11"/>
      <c r="K416" s="27"/>
    </row>
    <row r="417" spans="1:11">
      <c r="A417" s="55" t="s">
        <v>681</v>
      </c>
      <c r="B417" s="11" t="s">
        <v>63</v>
      </c>
      <c r="C417" s="11" t="s">
        <v>101</v>
      </c>
      <c r="D417" s="11" t="s">
        <v>631</v>
      </c>
      <c r="E417" s="11" t="s">
        <v>64</v>
      </c>
      <c r="F417" s="11" t="s">
        <v>16</v>
      </c>
      <c r="G417" s="14"/>
      <c r="H417" s="17">
        <f>IF(SUMIFS(İndirimler!$C$2:$C$210,İndirimler!$A$2:$A$210,B417,İndirimler!$B$2:$B$210,C417)&gt;0,ROUND(G417*(1-SUMIFS(İndirimler!$C$2:$C$210,İndirimler!$A$2:$A$210,B417,İndirimler!$B$2:$B$210,C417)),2),"")</f>
        <v>0</v>
      </c>
      <c r="I417" s="20">
        <f>IF(SUMIFS(İndirimler!$D$2:$D$210,İndirimler!$A$2:$A$210,B417,İndirimler!$B$2:$B$210,C417)&gt;0,ROUND(G417*(1-SUMIFS(İndirimler!$D$2:$D$210,İndirimler!$A$2:$A$210,B417,İndirimler!$B$2:$B$210,C417)),2),"")</f>
        <v>0</v>
      </c>
      <c r="J417" s="11" t="s">
        <v>682</v>
      </c>
      <c r="K417" s="27"/>
    </row>
    <row r="418" spans="1:11">
      <c r="A418" s="55" t="s">
        <v>683</v>
      </c>
      <c r="B418" s="11" t="s">
        <v>23</v>
      </c>
      <c r="C418" s="11" t="s">
        <v>101</v>
      </c>
      <c r="D418" s="11" t="s">
        <v>631</v>
      </c>
      <c r="E418" s="11"/>
      <c r="F418" s="11" t="s">
        <v>16</v>
      </c>
      <c r="G418" s="14">
        <v>580</v>
      </c>
      <c r="H418" s="17">
        <f>IF(SUMIFS(İndirimler!$C$2:$C$210,İndirimler!$A$2:$A$210,B418,İndirimler!$B$2:$B$210,C418)&gt;0,ROUND(G418*(1-SUMIFS(İndirimler!$C$2:$C$210,İndirimler!$A$2:$A$210,B418,İndirimler!$B$2:$B$210,C418)),2),"")</f>
        <v>493</v>
      </c>
      <c r="I418" s="20">
        <f>IF(SUMIFS(İndirimler!$D$2:$D$210,İndirimler!$A$2:$A$210,B418,İndirimler!$B$2:$B$210,C418)&gt;0,ROUND(G418*(1-SUMIFS(İndirimler!$D$2:$D$210,İndirimler!$A$2:$A$210,B418,İndirimler!$B$2:$B$210,C418)),2),"")</f>
        <v>406</v>
      </c>
      <c r="J418" s="11"/>
      <c r="K418" s="27"/>
    </row>
    <row r="419" spans="1:11">
      <c r="A419" s="55" t="s">
        <v>684</v>
      </c>
      <c r="B419" s="11" t="s">
        <v>50</v>
      </c>
      <c r="C419" s="11" t="s">
        <v>101</v>
      </c>
      <c r="D419" s="11" t="s">
        <v>631</v>
      </c>
      <c r="E419" s="11" t="s">
        <v>69</v>
      </c>
      <c r="F419" s="11" t="s">
        <v>16</v>
      </c>
      <c r="G419" s="14">
        <v>510</v>
      </c>
      <c r="H419" s="17">
        <f>IF(SUMIFS(İndirimler!$C$2:$C$210,İndirimler!$A$2:$A$210,B419,İndirimler!$B$2:$B$210,C419)&gt;0,ROUND(G419*(1-SUMIFS(İndirimler!$C$2:$C$210,İndirimler!$A$2:$A$210,B419,İndirimler!$B$2:$B$210,C419)),2),"")</f>
        <v>433.5</v>
      </c>
      <c r="I419" s="20">
        <f>IF(SUMIFS(İndirimler!$D$2:$D$210,İndirimler!$A$2:$A$210,B419,İndirimler!$B$2:$B$210,C419)&gt;0,ROUND(G419*(1-SUMIFS(İndirimler!$D$2:$D$210,İndirimler!$A$2:$A$210,B419,İndirimler!$B$2:$B$210,C419)),2),"")</f>
        <v>357</v>
      </c>
      <c r="J419" s="11"/>
      <c r="K419" s="27"/>
    </row>
    <row r="420" spans="1:11">
      <c r="A420" s="55" t="s">
        <v>685</v>
      </c>
      <c r="B420" s="11" t="s">
        <v>38</v>
      </c>
      <c r="C420" s="11" t="s">
        <v>101</v>
      </c>
      <c r="D420" s="11" t="s">
        <v>631</v>
      </c>
      <c r="E420" s="11"/>
      <c r="F420" s="11" t="s">
        <v>16</v>
      </c>
      <c r="G420" s="14"/>
      <c r="H420" s="17">
        <f>IF(SUMIFS(İndirimler!$C$2:$C$210,İndirimler!$A$2:$A$210,B420,İndirimler!$B$2:$B$210,C420)&gt;0,ROUND(G420*(1-SUMIFS(İndirimler!$C$2:$C$210,İndirimler!$A$2:$A$210,B420,İndirimler!$B$2:$B$210,C420)),2),"")</f>
        <v>0</v>
      </c>
      <c r="I420" s="20">
        <f>IF(SUMIFS(İndirimler!$D$2:$D$210,İndirimler!$A$2:$A$210,B420,İndirimler!$B$2:$B$210,C420)&gt;0,ROUND(G420*(1-SUMIFS(İndirimler!$D$2:$D$210,İndirimler!$A$2:$A$210,B420,İndirimler!$B$2:$B$210,C420)),2),"")</f>
        <v>0</v>
      </c>
      <c r="J420" s="11"/>
      <c r="K420" s="27"/>
    </row>
    <row r="421" spans="1:11">
      <c r="A421" s="55" t="s">
        <v>686</v>
      </c>
      <c r="B421" s="11" t="s">
        <v>72</v>
      </c>
      <c r="C421" s="11" t="s">
        <v>101</v>
      </c>
      <c r="D421" s="11" t="s">
        <v>631</v>
      </c>
      <c r="E421" s="11"/>
      <c r="F421" s="11" t="s">
        <v>73</v>
      </c>
      <c r="G421" s="14"/>
      <c r="H421" s="17">
        <f>IF(SUMIFS(İndirimler!$C$2:$C$210,İndirimler!$A$2:$A$210,B421,İndirimler!$B$2:$B$210,C421)&gt;0,ROUND(G421*(1-SUMIFS(İndirimler!$C$2:$C$210,İndirimler!$A$2:$A$210,B421,İndirimler!$B$2:$B$210,C421)),2),"")</f>
        <v>0</v>
      </c>
      <c r="I421" s="20">
        <f>IF(SUMIFS(İndirimler!$D$2:$D$210,İndirimler!$A$2:$A$210,B421,İndirimler!$B$2:$B$210,C421)&gt;0,ROUND(G421*(1-SUMIFS(İndirimler!$D$2:$D$210,İndirimler!$A$2:$A$210,B421,İndirimler!$B$2:$B$210,C421)),2),"")</f>
        <v>0</v>
      </c>
      <c r="J421" s="11"/>
      <c r="K421" s="27"/>
    </row>
    <row r="422" spans="1:11">
      <c r="A422" s="55" t="s">
        <v>687</v>
      </c>
      <c r="B422" s="11" t="s">
        <v>18</v>
      </c>
      <c r="C422" s="11" t="s">
        <v>13</v>
      </c>
      <c r="D422" s="11" t="s">
        <v>631</v>
      </c>
      <c r="E422" s="11"/>
      <c r="F422" s="11" t="s">
        <v>16</v>
      </c>
      <c r="G422" s="14">
        <v>429</v>
      </c>
      <c r="H422" s="17">
        <f>IF(SUMIFS(İndirimler!$C$2:$C$210,İndirimler!$A$2:$A$210,B422,İndirimler!$B$2:$B$210,C422)&gt;0,ROUND(G422*(1-SUMIFS(İndirimler!$C$2:$C$210,İndirimler!$A$2:$A$210,B422,İndirimler!$B$2:$B$210,C422)),2),"")</f>
        <v>364.65</v>
      </c>
      <c r="I422" s="20">
        <f>IF(SUMIFS(İndirimler!$D$2:$D$210,İndirimler!$A$2:$A$210,B422,İndirimler!$B$2:$B$210,C422)&gt;0,ROUND(G422*(1-SUMIFS(İndirimler!$D$2:$D$210,İndirimler!$A$2:$A$210,B422,İndirimler!$B$2:$B$210,C422)),2),"")</f>
        <v>300.3</v>
      </c>
      <c r="J422" s="11" t="s">
        <v>688</v>
      </c>
      <c r="K422" s="27"/>
    </row>
    <row r="423" spans="1:11">
      <c r="A423" s="55" t="s">
        <v>689</v>
      </c>
      <c r="B423" s="11" t="s">
        <v>23</v>
      </c>
      <c r="C423" s="11" t="s">
        <v>13</v>
      </c>
      <c r="D423" s="11" t="s">
        <v>631</v>
      </c>
      <c r="E423" s="11"/>
      <c r="F423" s="11" t="s">
        <v>16</v>
      </c>
      <c r="G423" s="14">
        <v>470</v>
      </c>
      <c r="H423" s="17">
        <f>IF(SUMIFS(İndirimler!$C$2:$C$210,İndirimler!$A$2:$A$210,B423,İndirimler!$B$2:$B$210,C423)&gt;0,ROUND(G423*(1-SUMIFS(İndirimler!$C$2:$C$210,İndirimler!$A$2:$A$210,B423,İndirimler!$B$2:$B$210,C423)),2),"")</f>
        <v>399.5</v>
      </c>
      <c r="I423" s="20">
        <f>IF(SUMIFS(İndirimler!$D$2:$D$210,İndirimler!$A$2:$A$210,B423,İndirimler!$B$2:$B$210,C423)&gt;0,ROUND(G423*(1-SUMIFS(İndirimler!$D$2:$D$210,İndirimler!$A$2:$A$210,B423,İndirimler!$B$2:$B$210,C423)),2),"")</f>
        <v>329</v>
      </c>
      <c r="J423" s="11"/>
      <c r="K423" s="27"/>
    </row>
    <row r="424" spans="1:11">
      <c r="A424" s="55" t="s">
        <v>690</v>
      </c>
      <c r="B424" s="11" t="s">
        <v>32</v>
      </c>
      <c r="C424" s="11" t="s">
        <v>33</v>
      </c>
      <c r="D424" s="11" t="s">
        <v>691</v>
      </c>
      <c r="E424" s="11"/>
      <c r="F424" s="11" t="s">
        <v>35</v>
      </c>
      <c r="G424" s="14">
        <v>559</v>
      </c>
      <c r="H424" s="17">
        <f>IF(SUMIFS(İndirimler!$C$2:$C$210,İndirimler!$A$2:$A$210,B424,İndirimler!$B$2:$B$210,C424)&gt;0,ROUND(G424*(1-SUMIFS(İndirimler!$C$2:$C$210,İndirimler!$A$2:$A$210,B424,İndirimler!$B$2:$B$210,C424)),2),"")</f>
        <v>475.15</v>
      </c>
      <c r="I424" s="20">
        <f>IF(SUMIFS(İndirimler!$D$2:$D$210,İndirimler!$A$2:$A$210,B424,İndirimler!$B$2:$B$210,C424)&gt;0,ROUND(G424*(1-SUMIFS(İndirimler!$D$2:$D$210,İndirimler!$A$2:$A$210,B424,İndirimler!$B$2:$B$210,C424)),2),"")</f>
        <v>391.3</v>
      </c>
      <c r="J424" s="26" t="s">
        <v>692</v>
      </c>
      <c r="K424" s="27"/>
    </row>
    <row r="425" spans="1:11">
      <c r="A425" s="55" t="s">
        <v>693</v>
      </c>
      <c r="B425" s="11" t="s">
        <v>38</v>
      </c>
      <c r="C425" s="11" t="s">
        <v>33</v>
      </c>
      <c r="D425" s="11" t="s">
        <v>691</v>
      </c>
      <c r="E425" s="11"/>
      <c r="F425" s="11" t="s">
        <v>35</v>
      </c>
      <c r="G425" s="14">
        <v>659</v>
      </c>
      <c r="H425" s="17">
        <f>IF(SUMIFS(İndirimler!$C$2:$C$210,İndirimler!$A$2:$A$210,B425,İndirimler!$B$2:$B$210,C425)&gt;0,ROUND(G425*(1-SUMIFS(İndirimler!$C$2:$C$210,İndirimler!$A$2:$A$210,B425,İndirimler!$B$2:$B$210,C425)),2),"")</f>
        <v>560.15</v>
      </c>
      <c r="I425" s="20">
        <f>IF(SUMIFS(İndirimler!$D$2:$D$210,İndirimler!$A$2:$A$210,B425,İndirimler!$B$2:$B$210,C425)&gt;0,ROUND(G425*(1-SUMIFS(İndirimler!$D$2:$D$210,İndirimler!$A$2:$A$210,B425,İndirimler!$B$2:$B$210,C425)),2),"")</f>
        <v>461.3</v>
      </c>
      <c r="J425" s="11" t="s">
        <v>694</v>
      </c>
      <c r="K425" s="27"/>
    </row>
    <row r="426" spans="1:11">
      <c r="A426" s="55" t="s">
        <v>695</v>
      </c>
      <c r="B426" s="11" t="s">
        <v>696</v>
      </c>
      <c r="C426" s="11" t="s">
        <v>33</v>
      </c>
      <c r="D426" s="11" t="s">
        <v>691</v>
      </c>
      <c r="E426" s="11"/>
      <c r="F426" s="11" t="s">
        <v>42</v>
      </c>
      <c r="G426" s="14"/>
      <c r="H426" s="17">
        <f>IF(SUMIFS(İndirimler!$C$2:$C$210,İndirimler!$A$2:$A$210,B426,İndirimler!$B$2:$B$210,C426)&gt;0,ROUND(G426*(1-SUMIFS(İndirimler!$C$2:$C$210,İndirimler!$A$2:$A$210,B426,İndirimler!$B$2:$B$210,C426)),2),"")</f>
        <v>0</v>
      </c>
      <c r="I426" s="20">
        <f>IF(SUMIFS(İndirimler!$D$2:$D$210,İndirimler!$A$2:$A$210,B426,İndirimler!$B$2:$B$210,C426)&gt;0,ROUND(G426*(1-SUMIFS(İndirimler!$D$2:$D$210,İndirimler!$A$2:$A$210,B426,İndirimler!$B$2:$B$210,C426)),2),"")</f>
        <v>0</v>
      </c>
      <c r="J426" s="11"/>
      <c r="K426" s="27"/>
    </row>
    <row r="427" spans="1:11">
      <c r="A427" s="55" t="s">
        <v>697</v>
      </c>
      <c r="B427" s="11" t="s">
        <v>44</v>
      </c>
      <c r="C427" s="11" t="s">
        <v>33</v>
      </c>
      <c r="D427" s="11" t="s">
        <v>691</v>
      </c>
      <c r="E427" s="11" t="s">
        <v>45</v>
      </c>
      <c r="F427" s="11" t="s">
        <v>42</v>
      </c>
      <c r="G427" s="14">
        <v>376</v>
      </c>
      <c r="H427" s="17">
        <f>IF(SUMIFS(İndirimler!$C$2:$C$210,İndirimler!$A$2:$A$210,B427,İndirimler!$B$2:$B$210,C427)&gt;0,ROUND(G427*(1-SUMIFS(İndirimler!$C$2:$C$210,İndirimler!$A$2:$A$210,B427,İndirimler!$B$2:$B$210,C427)),2),"")</f>
        <v>319.60000000000002</v>
      </c>
      <c r="I427" s="20">
        <f>IF(SUMIFS(İndirimler!$D$2:$D$210,İndirimler!$A$2:$A$210,B427,İndirimler!$B$2:$B$210,C427)&gt;0,ROUND(G427*(1-SUMIFS(İndirimler!$D$2:$D$210,İndirimler!$A$2:$A$210,B427,İndirimler!$B$2:$B$210,C427)),2),"")</f>
        <v>263.2</v>
      </c>
      <c r="J427" s="11" t="s">
        <v>698</v>
      </c>
      <c r="K427" s="27"/>
    </row>
    <row r="428" spans="1:11">
      <c r="A428" s="55" t="s">
        <v>699</v>
      </c>
      <c r="B428" s="11" t="s">
        <v>23</v>
      </c>
      <c r="C428" s="11" t="s">
        <v>33</v>
      </c>
      <c r="D428" s="11" t="s">
        <v>691</v>
      </c>
      <c r="E428" s="11"/>
      <c r="F428" s="11" t="s">
        <v>42</v>
      </c>
      <c r="G428" s="14">
        <v>619</v>
      </c>
      <c r="H428" s="17">
        <f>IF(SUMIFS(İndirimler!$C$2:$C$210,İndirimler!$A$2:$A$210,B428,İndirimler!$B$2:$B$210,C428)&gt;0,ROUND(G428*(1-SUMIFS(İndirimler!$C$2:$C$210,İndirimler!$A$2:$A$210,B428,İndirimler!$B$2:$B$210,C428)),2),"")</f>
        <v>526.15</v>
      </c>
      <c r="I428" s="20">
        <f>IF(SUMIFS(İndirimler!$D$2:$D$210,İndirimler!$A$2:$A$210,B428,İndirimler!$B$2:$B$210,C428)&gt;0,ROUND(G428*(1-SUMIFS(İndirimler!$D$2:$D$210,İndirimler!$A$2:$A$210,B428,İndirimler!$B$2:$B$210,C428)),2),"")</f>
        <v>433.3</v>
      </c>
      <c r="J428" s="26" t="s">
        <v>700</v>
      </c>
      <c r="K428" s="27"/>
    </row>
    <row r="429" spans="1:11">
      <c r="A429" s="55" t="s">
        <v>701</v>
      </c>
      <c r="B429" s="11" t="s">
        <v>55</v>
      </c>
      <c r="C429" s="11" t="s">
        <v>33</v>
      </c>
      <c r="D429" s="11" t="s">
        <v>691</v>
      </c>
      <c r="E429" s="11"/>
      <c r="F429" s="11" t="s">
        <v>16</v>
      </c>
      <c r="G429" s="14">
        <v>346</v>
      </c>
      <c r="H429" s="17">
        <f>IF(SUMIFS(İndirimler!$C$2:$C$210,İndirimler!$A$2:$A$210,B429,İndirimler!$B$2:$B$210,C429)&gt;0,ROUND(G429*(1-SUMIFS(İndirimler!$C$2:$C$210,İndirimler!$A$2:$A$210,B429,İndirimler!$B$2:$B$210,C429)),2),"")</f>
        <v>294.10000000000002</v>
      </c>
      <c r="I429" s="20">
        <f>IF(SUMIFS(İndirimler!$D$2:$D$210,İndirimler!$A$2:$A$210,B429,İndirimler!$B$2:$B$210,C429)&gt;0,ROUND(G429*(1-SUMIFS(İndirimler!$D$2:$D$210,İndirimler!$A$2:$A$210,B429,İndirimler!$B$2:$B$210,C429)),2),"")</f>
        <v>242.2</v>
      </c>
      <c r="J429" s="11" t="s">
        <v>702</v>
      </c>
      <c r="K429" s="27"/>
    </row>
    <row r="430" spans="1:11">
      <c r="A430" s="55" t="s">
        <v>703</v>
      </c>
      <c r="B430" s="11" t="s">
        <v>18</v>
      </c>
      <c r="C430" s="11" t="s">
        <v>33</v>
      </c>
      <c r="D430" s="11" t="s">
        <v>691</v>
      </c>
      <c r="E430" s="11"/>
      <c r="F430" s="11" t="s">
        <v>16</v>
      </c>
      <c r="G430" s="14">
        <v>345</v>
      </c>
      <c r="H430" s="17">
        <f>IF(SUMIFS(İndirimler!$C$2:$C$210,İndirimler!$A$2:$A$210,B430,İndirimler!$B$2:$B$210,C430)&gt;0,ROUND(G430*(1-SUMIFS(İndirimler!$C$2:$C$210,İndirimler!$A$2:$A$210,B430,İndirimler!$B$2:$B$210,C430)),2),"")</f>
        <v>293.25</v>
      </c>
      <c r="I430" s="20">
        <f>IF(SUMIFS(İndirimler!$D$2:$D$210,İndirimler!$A$2:$A$210,B430,İndirimler!$B$2:$B$210,C430)&gt;0,ROUND(G430*(1-SUMIFS(İndirimler!$D$2:$D$210,İndirimler!$A$2:$A$210,B430,İndirimler!$B$2:$B$210,C430)),2),"")</f>
        <v>241.5</v>
      </c>
      <c r="J430" s="26" t="s">
        <v>704</v>
      </c>
      <c r="K430" s="27"/>
    </row>
    <row r="431" spans="1:11">
      <c r="A431" s="55" t="s">
        <v>705</v>
      </c>
      <c r="B431" s="11" t="s">
        <v>696</v>
      </c>
      <c r="C431" s="11" t="s">
        <v>33</v>
      </c>
      <c r="D431" s="11" t="s">
        <v>691</v>
      </c>
      <c r="E431" s="11"/>
      <c r="F431" s="11" t="s">
        <v>16</v>
      </c>
      <c r="G431" s="14">
        <v>345</v>
      </c>
      <c r="H431" s="17">
        <f>IF(SUMIFS(İndirimler!$C$2:$C$210,İndirimler!$A$2:$A$210,B431,İndirimler!$B$2:$B$210,C431)&gt;0,ROUND(G431*(1-SUMIFS(İndirimler!$C$2:$C$210,İndirimler!$A$2:$A$210,B431,İndirimler!$B$2:$B$210,C431)),2),"")</f>
        <v>293.25</v>
      </c>
      <c r="I431" s="20">
        <f>IF(SUMIFS(İndirimler!$D$2:$D$210,İndirimler!$A$2:$A$210,B431,İndirimler!$B$2:$B$210,C431)&gt;0,ROUND(G431*(1-SUMIFS(İndirimler!$D$2:$D$210,İndirimler!$A$2:$A$210,B431,İndirimler!$B$2:$B$210,C431)),2),"")</f>
        <v>241.5</v>
      </c>
      <c r="J431" s="11"/>
      <c r="K431" s="27"/>
    </row>
    <row r="432" spans="1:11">
      <c r="A432" s="55" t="s">
        <v>706</v>
      </c>
      <c r="B432" s="11" t="s">
        <v>44</v>
      </c>
      <c r="C432" s="11" t="s">
        <v>33</v>
      </c>
      <c r="D432" s="11" t="s">
        <v>691</v>
      </c>
      <c r="E432" s="11" t="s">
        <v>60</v>
      </c>
      <c r="F432" s="11" t="s">
        <v>16</v>
      </c>
      <c r="G432" s="14">
        <v>274</v>
      </c>
      <c r="H432" s="17">
        <f>IF(SUMIFS(İndirimler!$C$2:$C$210,İndirimler!$A$2:$A$210,B432,İndirimler!$B$2:$B$210,C432)&gt;0,ROUND(G432*(1-SUMIFS(İndirimler!$C$2:$C$210,İndirimler!$A$2:$A$210,B432,İndirimler!$B$2:$B$210,C432)),2),"")</f>
        <v>232.9</v>
      </c>
      <c r="I432" s="20">
        <f>IF(SUMIFS(İndirimler!$D$2:$D$210,İndirimler!$A$2:$A$210,B432,İndirimler!$B$2:$B$210,C432)&gt;0,ROUND(G432*(1-SUMIFS(İndirimler!$D$2:$D$210,İndirimler!$A$2:$A$210,B432,İndirimler!$B$2:$B$210,C432)),2),"")</f>
        <v>191.8</v>
      </c>
      <c r="J432" s="11" t="s">
        <v>707</v>
      </c>
      <c r="K432" s="27"/>
    </row>
    <row r="433" spans="1:11">
      <c r="A433" s="55" t="s">
        <v>708</v>
      </c>
      <c r="B433" s="11" t="s">
        <v>63</v>
      </c>
      <c r="C433" s="11" t="s">
        <v>33</v>
      </c>
      <c r="D433" s="11" t="s">
        <v>691</v>
      </c>
      <c r="E433" s="11" t="s">
        <v>64</v>
      </c>
      <c r="F433" s="11" t="s">
        <v>16</v>
      </c>
      <c r="G433" s="14">
        <v>449</v>
      </c>
      <c r="H433" s="17">
        <f>IF(SUMIFS(İndirimler!$C$2:$C$210,İndirimler!$A$2:$A$210,B433,İndirimler!$B$2:$B$210,C433)&gt;0,ROUND(G433*(1-SUMIFS(İndirimler!$C$2:$C$210,İndirimler!$A$2:$A$210,B433,İndirimler!$B$2:$B$210,C433)),2),"")</f>
        <v>381.65</v>
      </c>
      <c r="I433" s="20">
        <f>IF(SUMIFS(İndirimler!$D$2:$D$210,İndirimler!$A$2:$A$210,B433,İndirimler!$B$2:$B$210,C433)&gt;0,ROUND(G433*(1-SUMIFS(İndirimler!$D$2:$D$210,İndirimler!$A$2:$A$210,B433,İndirimler!$B$2:$B$210,C433)),2),"")</f>
        <v>314.3</v>
      </c>
      <c r="J433" s="11" t="s">
        <v>93</v>
      </c>
      <c r="K433" s="27"/>
    </row>
    <row r="434" spans="1:11">
      <c r="A434" s="55" t="s">
        <v>709</v>
      </c>
      <c r="B434" s="11" t="s">
        <v>23</v>
      </c>
      <c r="C434" s="11" t="s">
        <v>33</v>
      </c>
      <c r="D434" s="11" t="s">
        <v>691</v>
      </c>
      <c r="E434" s="11"/>
      <c r="F434" s="11" t="s">
        <v>16</v>
      </c>
      <c r="G434" s="14">
        <v>580</v>
      </c>
      <c r="H434" s="17">
        <f>IF(SUMIFS(İndirimler!$C$2:$C$210,İndirimler!$A$2:$A$210,B434,İndirimler!$B$2:$B$210,C434)&gt;0,ROUND(G434*(1-SUMIFS(İndirimler!$C$2:$C$210,İndirimler!$A$2:$A$210,B434,İndirimler!$B$2:$B$210,C434)),2),"")</f>
        <v>493</v>
      </c>
      <c r="I434" s="20">
        <f>IF(SUMIFS(İndirimler!$D$2:$D$210,İndirimler!$A$2:$A$210,B434,İndirimler!$B$2:$B$210,C434)&gt;0,ROUND(G434*(1-SUMIFS(İndirimler!$D$2:$D$210,İndirimler!$A$2:$A$210,B434,İndirimler!$B$2:$B$210,C434)),2),"")</f>
        <v>406</v>
      </c>
      <c r="J434" s="11" t="s">
        <v>710</v>
      </c>
      <c r="K434" s="27"/>
    </row>
    <row r="435" spans="1:11">
      <c r="A435" s="55" t="s">
        <v>711</v>
      </c>
      <c r="B435" s="11" t="s">
        <v>50</v>
      </c>
      <c r="C435" s="11" t="s">
        <v>33</v>
      </c>
      <c r="D435" s="11" t="s">
        <v>691</v>
      </c>
      <c r="E435" s="11" t="s">
        <v>69</v>
      </c>
      <c r="F435" s="11" t="s">
        <v>16</v>
      </c>
      <c r="G435" s="14">
        <v>563</v>
      </c>
      <c r="H435" s="17">
        <f>IF(SUMIFS(İndirimler!$C$2:$C$210,İndirimler!$A$2:$A$210,B435,İndirimler!$B$2:$B$210,C435)&gt;0,ROUND(G435*(1-SUMIFS(İndirimler!$C$2:$C$210,İndirimler!$A$2:$A$210,B435,İndirimler!$B$2:$B$210,C435)),2),"")</f>
        <v>478.55</v>
      </c>
      <c r="I435" s="20">
        <f>IF(SUMIFS(İndirimler!$D$2:$D$210,İndirimler!$A$2:$A$210,B435,İndirimler!$B$2:$B$210,C435)&gt;0,ROUND(G435*(1-SUMIFS(İndirimler!$D$2:$D$210,İndirimler!$A$2:$A$210,B435,İndirimler!$B$2:$B$210,C435)),2),"")</f>
        <v>394.1</v>
      </c>
      <c r="J435" s="11"/>
      <c r="K435" s="27"/>
    </row>
    <row r="436" spans="1:11">
      <c r="A436" s="55" t="s">
        <v>712</v>
      </c>
      <c r="B436" s="11" t="s">
        <v>38</v>
      </c>
      <c r="C436" s="11" t="s">
        <v>33</v>
      </c>
      <c r="D436" s="11" t="s">
        <v>691</v>
      </c>
      <c r="E436" s="11" t="s">
        <v>69</v>
      </c>
      <c r="F436" s="11" t="s">
        <v>16</v>
      </c>
      <c r="G436" s="14">
        <v>385</v>
      </c>
      <c r="H436" s="17">
        <f>IF(SUMIFS(İndirimler!$C$2:$C$210,İndirimler!$A$2:$A$210,B436,İndirimler!$B$2:$B$210,C436)&gt;0,ROUND(G436*(1-SUMIFS(İndirimler!$C$2:$C$210,İndirimler!$A$2:$A$210,B436,İndirimler!$B$2:$B$210,C436)),2),"")</f>
        <v>327.25</v>
      </c>
      <c r="I436" s="20">
        <f>IF(SUMIFS(İndirimler!$D$2:$D$210,İndirimler!$A$2:$A$210,B436,İndirimler!$B$2:$B$210,C436)&gt;0,ROUND(G436*(1-SUMIFS(İndirimler!$D$2:$D$210,İndirimler!$A$2:$A$210,B436,İndirimler!$B$2:$B$210,C436)),2),"")</f>
        <v>269.5</v>
      </c>
      <c r="J436" s="11" t="s">
        <v>713</v>
      </c>
      <c r="K436" s="27"/>
    </row>
    <row r="437" spans="1:11">
      <c r="A437" s="55" t="s">
        <v>714</v>
      </c>
      <c r="B437" s="11" t="s">
        <v>72</v>
      </c>
      <c r="C437" s="11" t="s">
        <v>33</v>
      </c>
      <c r="D437" s="11" t="s">
        <v>691</v>
      </c>
      <c r="E437" s="11"/>
      <c r="F437" s="11" t="s">
        <v>73</v>
      </c>
      <c r="G437" s="14">
        <v>455</v>
      </c>
      <c r="H437" s="17">
        <f>IF(SUMIFS(İndirimler!$C$2:$C$210,İndirimler!$A$2:$A$210,B437,İndirimler!$B$2:$B$210,C437)&gt;0,ROUND(G437*(1-SUMIFS(İndirimler!$C$2:$C$210,İndirimler!$A$2:$A$210,B437,İndirimler!$B$2:$B$210,C437)),2),"")</f>
        <v>386.75</v>
      </c>
      <c r="I437" s="20">
        <f>IF(SUMIFS(İndirimler!$D$2:$D$210,İndirimler!$A$2:$A$210,B437,İndirimler!$B$2:$B$210,C437)&gt;0,ROUND(G437*(1-SUMIFS(İndirimler!$D$2:$D$210,İndirimler!$A$2:$A$210,B437,İndirimler!$B$2:$B$210,C437)),2),"")</f>
        <v>318.5</v>
      </c>
      <c r="J437" s="11"/>
      <c r="K437" s="27"/>
    </row>
    <row r="438" spans="1:11">
      <c r="A438" s="55" t="s">
        <v>715</v>
      </c>
      <c r="B438" s="11" t="s">
        <v>32</v>
      </c>
      <c r="C438" s="11" t="s">
        <v>76</v>
      </c>
      <c r="D438" s="11" t="s">
        <v>691</v>
      </c>
      <c r="E438" s="11"/>
      <c r="F438" s="11" t="s">
        <v>35</v>
      </c>
      <c r="G438" s="14">
        <v>415</v>
      </c>
      <c r="H438" s="17">
        <f>IF(SUMIFS(İndirimler!$C$2:$C$210,İndirimler!$A$2:$A$210,B438,İndirimler!$B$2:$B$210,C438)&gt;0,ROUND(G438*(1-SUMIFS(İndirimler!$C$2:$C$210,İndirimler!$A$2:$A$210,B438,İndirimler!$B$2:$B$210,C438)),2),"")</f>
        <v>352.75</v>
      </c>
      <c r="I438" s="20">
        <f>IF(SUMIFS(İndirimler!$D$2:$D$210,İndirimler!$A$2:$A$210,B438,İndirimler!$B$2:$B$210,C438)&gt;0,ROUND(G438*(1-SUMIFS(İndirimler!$D$2:$D$210,İndirimler!$A$2:$A$210,B438,İndirimler!$B$2:$B$210,C438)),2),"")</f>
        <v>290.5</v>
      </c>
      <c r="J438" s="26" t="s">
        <v>716</v>
      </c>
      <c r="K438" s="27"/>
    </row>
    <row r="439" spans="1:11">
      <c r="A439" s="55" t="s">
        <v>717</v>
      </c>
      <c r="B439" s="11" t="s">
        <v>38</v>
      </c>
      <c r="C439" s="11" t="s">
        <v>76</v>
      </c>
      <c r="D439" s="11" t="s">
        <v>691</v>
      </c>
      <c r="E439" s="11"/>
      <c r="F439" s="11" t="s">
        <v>35</v>
      </c>
      <c r="G439" s="14">
        <v>589</v>
      </c>
      <c r="H439" s="17">
        <f>IF(SUMIFS(İndirimler!$C$2:$C$210,İndirimler!$A$2:$A$210,B439,İndirimler!$B$2:$B$210,C439)&gt;0,ROUND(G439*(1-SUMIFS(İndirimler!$C$2:$C$210,İndirimler!$A$2:$A$210,B439,İndirimler!$B$2:$B$210,C439)),2),"")</f>
        <v>500.65</v>
      </c>
      <c r="I439" s="20">
        <f>IF(SUMIFS(İndirimler!$D$2:$D$210,İndirimler!$A$2:$A$210,B439,İndirimler!$B$2:$B$210,C439)&gt;0,ROUND(G439*(1-SUMIFS(İndirimler!$D$2:$D$210,İndirimler!$A$2:$A$210,B439,İndirimler!$B$2:$B$210,C439)),2),"")</f>
        <v>412.3</v>
      </c>
      <c r="J439" s="11" t="s">
        <v>718</v>
      </c>
      <c r="K439" s="27"/>
    </row>
    <row r="440" spans="1:11">
      <c r="A440" s="55" t="s">
        <v>719</v>
      </c>
      <c r="B440" s="11" t="s">
        <v>696</v>
      </c>
      <c r="C440" s="11" t="s">
        <v>76</v>
      </c>
      <c r="D440" s="11" t="s">
        <v>691</v>
      </c>
      <c r="E440" s="11"/>
      <c r="F440" s="11" t="s">
        <v>42</v>
      </c>
      <c r="G440" s="14"/>
      <c r="H440" s="17">
        <f>IF(SUMIFS(İndirimler!$C$2:$C$210,İndirimler!$A$2:$A$210,B440,İndirimler!$B$2:$B$210,C440)&gt;0,ROUND(G440*(1-SUMIFS(İndirimler!$C$2:$C$210,İndirimler!$A$2:$A$210,B440,İndirimler!$B$2:$B$210,C440)),2),"")</f>
        <v>0</v>
      </c>
      <c r="I440" s="20">
        <f>IF(SUMIFS(İndirimler!$D$2:$D$210,İndirimler!$A$2:$A$210,B440,İndirimler!$B$2:$B$210,C440)&gt;0,ROUND(G440*(1-SUMIFS(İndirimler!$D$2:$D$210,İndirimler!$A$2:$A$210,B440,İndirimler!$B$2:$B$210,C440)),2),"")</f>
        <v>0</v>
      </c>
      <c r="J440" s="11"/>
      <c r="K440" s="27"/>
    </row>
    <row r="441" spans="1:11">
      <c r="A441" s="55" t="s">
        <v>720</v>
      </c>
      <c r="B441" s="11" t="s">
        <v>44</v>
      </c>
      <c r="C441" s="11" t="s">
        <v>76</v>
      </c>
      <c r="D441" s="11" t="s">
        <v>691</v>
      </c>
      <c r="E441" s="11" t="s">
        <v>45</v>
      </c>
      <c r="F441" s="11" t="s">
        <v>42</v>
      </c>
      <c r="G441" s="14">
        <v>322</v>
      </c>
      <c r="H441" s="17">
        <f>IF(SUMIFS(İndirimler!$C$2:$C$210,İndirimler!$A$2:$A$210,B441,İndirimler!$B$2:$B$210,C441)&gt;0,ROUND(G441*(1-SUMIFS(İndirimler!$C$2:$C$210,İndirimler!$A$2:$A$210,B441,İndirimler!$B$2:$B$210,C441)),2),"")</f>
        <v>273.7</v>
      </c>
      <c r="I441" s="20">
        <f>IF(SUMIFS(İndirimler!$D$2:$D$210,İndirimler!$A$2:$A$210,B441,İndirimler!$B$2:$B$210,C441)&gt;0,ROUND(G441*(1-SUMIFS(İndirimler!$D$2:$D$210,İndirimler!$A$2:$A$210,B441,İndirimler!$B$2:$B$210,C441)),2),"")</f>
        <v>225.4</v>
      </c>
      <c r="J441" s="11" t="s">
        <v>721</v>
      </c>
      <c r="K441" s="27"/>
    </row>
    <row r="442" spans="1:11">
      <c r="A442" s="55" t="s">
        <v>722</v>
      </c>
      <c r="B442" s="11" t="s">
        <v>23</v>
      </c>
      <c r="C442" s="11" t="s">
        <v>76</v>
      </c>
      <c r="D442" s="11" t="s">
        <v>691</v>
      </c>
      <c r="E442" s="11"/>
      <c r="F442" s="11" t="s">
        <v>42</v>
      </c>
      <c r="G442" s="14">
        <v>628</v>
      </c>
      <c r="H442" s="17">
        <f>IF(SUMIFS(İndirimler!$C$2:$C$210,İndirimler!$A$2:$A$210,B442,İndirimler!$B$2:$B$210,C442)&gt;0,ROUND(G442*(1-SUMIFS(İndirimler!$C$2:$C$210,İndirimler!$A$2:$A$210,B442,İndirimler!$B$2:$B$210,C442)),2),"")</f>
        <v>533.79999999999995</v>
      </c>
      <c r="I442" s="20">
        <f>IF(SUMIFS(İndirimler!$D$2:$D$210,İndirimler!$A$2:$A$210,B442,İndirimler!$B$2:$B$210,C442)&gt;0,ROUND(G442*(1-SUMIFS(İndirimler!$D$2:$D$210,İndirimler!$A$2:$A$210,B442,İndirimler!$B$2:$B$210,C442)),2),"")</f>
        <v>439.6</v>
      </c>
      <c r="J442" s="11" t="s">
        <v>723</v>
      </c>
      <c r="K442" s="27"/>
    </row>
    <row r="443" spans="1:11">
      <c r="A443" s="55" t="s">
        <v>724</v>
      </c>
      <c r="B443" s="11" t="s">
        <v>55</v>
      </c>
      <c r="C443" s="11" t="s">
        <v>76</v>
      </c>
      <c r="D443" s="11" t="s">
        <v>691</v>
      </c>
      <c r="E443" s="11"/>
      <c r="F443" s="11" t="s">
        <v>16</v>
      </c>
      <c r="G443" s="14">
        <v>328</v>
      </c>
      <c r="H443" s="17">
        <f>IF(SUMIFS(İndirimler!$C$2:$C$210,İndirimler!$A$2:$A$210,B443,İndirimler!$B$2:$B$210,C443)&gt;0,ROUND(G443*(1-SUMIFS(İndirimler!$C$2:$C$210,İndirimler!$A$2:$A$210,B443,İndirimler!$B$2:$B$210,C443)),2),"")</f>
        <v>278.8</v>
      </c>
      <c r="I443" s="20">
        <f>IF(SUMIFS(İndirimler!$D$2:$D$210,İndirimler!$A$2:$A$210,B443,İndirimler!$B$2:$B$210,C443)&gt;0,ROUND(G443*(1-SUMIFS(İndirimler!$D$2:$D$210,İndirimler!$A$2:$A$210,B443,İndirimler!$B$2:$B$210,C443)),2),"")</f>
        <v>229.6</v>
      </c>
      <c r="J443" s="11" t="s">
        <v>725</v>
      </c>
      <c r="K443" s="27"/>
    </row>
    <row r="444" spans="1:11">
      <c r="A444" s="55" t="s">
        <v>726</v>
      </c>
      <c r="B444" s="11" t="s">
        <v>18</v>
      </c>
      <c r="C444" s="11" t="s">
        <v>76</v>
      </c>
      <c r="D444" s="11" t="s">
        <v>691</v>
      </c>
      <c r="E444" s="11"/>
      <c r="F444" s="11" t="s">
        <v>16</v>
      </c>
      <c r="G444" s="14">
        <v>295</v>
      </c>
      <c r="H444" s="17">
        <f>IF(SUMIFS(İndirimler!$C$2:$C$210,İndirimler!$A$2:$A$210,B444,İndirimler!$B$2:$B$210,C444)&gt;0,ROUND(G444*(1-SUMIFS(İndirimler!$C$2:$C$210,İndirimler!$A$2:$A$210,B444,İndirimler!$B$2:$B$210,C444)),2),"")</f>
        <v>250.75</v>
      </c>
      <c r="I444" s="20">
        <f>IF(SUMIFS(İndirimler!$D$2:$D$210,İndirimler!$A$2:$A$210,B444,İndirimler!$B$2:$B$210,C444)&gt;0,ROUND(G444*(1-SUMIFS(İndirimler!$D$2:$D$210,İndirimler!$A$2:$A$210,B444,İndirimler!$B$2:$B$210,C444)),2),"")</f>
        <v>206.5</v>
      </c>
      <c r="J444" s="11"/>
      <c r="K444" s="27"/>
    </row>
    <row r="445" spans="1:11">
      <c r="A445" s="55" t="s">
        <v>727</v>
      </c>
      <c r="B445" s="11" t="s">
        <v>696</v>
      </c>
      <c r="C445" s="11" t="s">
        <v>76</v>
      </c>
      <c r="D445" s="11" t="s">
        <v>691</v>
      </c>
      <c r="E445" s="11"/>
      <c r="F445" s="11" t="s">
        <v>16</v>
      </c>
      <c r="G445" s="14">
        <v>359</v>
      </c>
      <c r="H445" s="17">
        <f>IF(SUMIFS(İndirimler!$C$2:$C$210,İndirimler!$A$2:$A$210,B445,İndirimler!$B$2:$B$210,C445)&gt;0,ROUND(G445*(1-SUMIFS(İndirimler!$C$2:$C$210,İndirimler!$A$2:$A$210,B445,İndirimler!$B$2:$B$210,C445)),2),"")</f>
        <v>305.14999999999998</v>
      </c>
      <c r="I445" s="20">
        <f>IF(SUMIFS(İndirimler!$D$2:$D$210,İndirimler!$A$2:$A$210,B445,İndirimler!$B$2:$B$210,C445)&gt;0,ROUND(G445*(1-SUMIFS(İndirimler!$D$2:$D$210,İndirimler!$A$2:$A$210,B445,İndirimler!$B$2:$B$210,C445)),2),"")</f>
        <v>251.3</v>
      </c>
      <c r="J445" s="11"/>
      <c r="K445" s="27"/>
    </row>
    <row r="446" spans="1:11">
      <c r="A446" s="55" t="s">
        <v>728</v>
      </c>
      <c r="B446" s="11" t="s">
        <v>44</v>
      </c>
      <c r="C446" s="11" t="s">
        <v>76</v>
      </c>
      <c r="D446" s="11" t="s">
        <v>691</v>
      </c>
      <c r="E446" s="11" t="s">
        <v>60</v>
      </c>
      <c r="F446" s="11" t="s">
        <v>16</v>
      </c>
      <c r="G446" s="14">
        <v>274</v>
      </c>
      <c r="H446" s="17">
        <f>IF(SUMIFS(İndirimler!$C$2:$C$210,İndirimler!$A$2:$A$210,B446,İndirimler!$B$2:$B$210,C446)&gt;0,ROUND(G446*(1-SUMIFS(İndirimler!$C$2:$C$210,İndirimler!$A$2:$A$210,B446,İndirimler!$B$2:$B$210,C446)),2),"")</f>
        <v>232.9</v>
      </c>
      <c r="I446" s="20">
        <f>IF(SUMIFS(İndirimler!$D$2:$D$210,İndirimler!$A$2:$A$210,B446,İndirimler!$B$2:$B$210,C446)&gt;0,ROUND(G446*(1-SUMIFS(İndirimler!$D$2:$D$210,İndirimler!$A$2:$A$210,B446,İndirimler!$B$2:$B$210,C446)),2),"")</f>
        <v>191.8</v>
      </c>
      <c r="J446" s="11" t="s">
        <v>729</v>
      </c>
      <c r="K446" s="27"/>
    </row>
    <row r="447" spans="1:11">
      <c r="A447" s="55" t="s">
        <v>730</v>
      </c>
      <c r="B447" s="11" t="s">
        <v>63</v>
      </c>
      <c r="C447" s="11" t="s">
        <v>76</v>
      </c>
      <c r="D447" s="11" t="s">
        <v>691</v>
      </c>
      <c r="E447" s="11" t="s">
        <v>64</v>
      </c>
      <c r="F447" s="11" t="s">
        <v>16</v>
      </c>
      <c r="G447" s="14">
        <v>405</v>
      </c>
      <c r="H447" s="17">
        <f>IF(SUMIFS(İndirimler!$C$2:$C$210,İndirimler!$A$2:$A$210,B447,İndirimler!$B$2:$B$210,C447)&gt;0,ROUND(G447*(1-SUMIFS(İndirimler!$C$2:$C$210,İndirimler!$A$2:$A$210,B447,İndirimler!$B$2:$B$210,C447)),2),"")</f>
        <v>344.25</v>
      </c>
      <c r="I447" s="20">
        <f>IF(SUMIFS(İndirimler!$D$2:$D$210,İndirimler!$A$2:$A$210,B447,İndirimler!$B$2:$B$210,C447)&gt;0,ROUND(G447*(1-SUMIFS(İndirimler!$D$2:$D$210,İndirimler!$A$2:$A$210,B447,İndirimler!$B$2:$B$210,C447)),2),"")</f>
        <v>283.5</v>
      </c>
      <c r="J447" s="11" t="s">
        <v>731</v>
      </c>
      <c r="K447" s="27"/>
    </row>
    <row r="448" spans="1:11">
      <c r="A448" s="55" t="s">
        <v>732</v>
      </c>
      <c r="B448" s="11" t="s">
        <v>23</v>
      </c>
      <c r="C448" s="11" t="s">
        <v>76</v>
      </c>
      <c r="D448" s="11" t="s">
        <v>691</v>
      </c>
      <c r="E448" s="11"/>
      <c r="F448" s="11" t="s">
        <v>16</v>
      </c>
      <c r="G448" s="14">
        <v>622</v>
      </c>
      <c r="H448" s="17">
        <f>IF(SUMIFS(İndirimler!$C$2:$C$210,İndirimler!$A$2:$A$210,B448,İndirimler!$B$2:$B$210,C448)&gt;0,ROUND(G448*(1-SUMIFS(İndirimler!$C$2:$C$210,İndirimler!$A$2:$A$210,B448,İndirimler!$B$2:$B$210,C448)),2),"")</f>
        <v>528.70000000000005</v>
      </c>
      <c r="I448" s="20">
        <f>IF(SUMIFS(İndirimler!$D$2:$D$210,İndirimler!$A$2:$A$210,B448,İndirimler!$B$2:$B$210,C448)&gt;0,ROUND(G448*(1-SUMIFS(İndirimler!$D$2:$D$210,İndirimler!$A$2:$A$210,B448,İndirimler!$B$2:$B$210,C448)),2),"")</f>
        <v>435.4</v>
      </c>
      <c r="J448" s="11" t="s">
        <v>733</v>
      </c>
      <c r="K448" s="27"/>
    </row>
    <row r="449" spans="1:11">
      <c r="A449" s="55" t="s">
        <v>734</v>
      </c>
      <c r="B449" s="11" t="s">
        <v>50</v>
      </c>
      <c r="C449" s="11" t="s">
        <v>76</v>
      </c>
      <c r="D449" s="11" t="s">
        <v>691</v>
      </c>
      <c r="E449" s="11" t="s">
        <v>69</v>
      </c>
      <c r="F449" s="11" t="s">
        <v>16</v>
      </c>
      <c r="G449" s="14">
        <v>475</v>
      </c>
      <c r="H449" s="17">
        <f>IF(SUMIFS(İndirimler!$C$2:$C$210,İndirimler!$A$2:$A$210,B449,İndirimler!$B$2:$B$210,C449)&gt;0,ROUND(G449*(1-SUMIFS(İndirimler!$C$2:$C$210,İndirimler!$A$2:$A$210,B449,İndirimler!$B$2:$B$210,C449)),2),"")</f>
        <v>403.75</v>
      </c>
      <c r="I449" s="20">
        <f>IF(SUMIFS(İndirimler!$D$2:$D$210,İndirimler!$A$2:$A$210,B449,İndirimler!$B$2:$B$210,C449)&gt;0,ROUND(G449*(1-SUMIFS(İndirimler!$D$2:$D$210,İndirimler!$A$2:$A$210,B449,İndirimler!$B$2:$B$210,C449)),2),"")</f>
        <v>332.5</v>
      </c>
      <c r="J449" s="11"/>
      <c r="K449" s="27"/>
    </row>
    <row r="450" spans="1:11">
      <c r="A450" s="55" t="s">
        <v>735</v>
      </c>
      <c r="B450" s="11" t="s">
        <v>38</v>
      </c>
      <c r="C450" s="11" t="s">
        <v>76</v>
      </c>
      <c r="D450" s="11" t="s">
        <v>691</v>
      </c>
      <c r="E450" s="11" t="s">
        <v>69</v>
      </c>
      <c r="F450" s="11" t="s">
        <v>16</v>
      </c>
      <c r="G450" s="14">
        <v>409</v>
      </c>
      <c r="H450" s="17">
        <f>IF(SUMIFS(İndirimler!$C$2:$C$210,İndirimler!$A$2:$A$210,B450,İndirimler!$B$2:$B$210,C450)&gt;0,ROUND(G450*(1-SUMIFS(İndirimler!$C$2:$C$210,İndirimler!$A$2:$A$210,B450,İndirimler!$B$2:$B$210,C450)),2),"")</f>
        <v>347.65</v>
      </c>
      <c r="I450" s="20">
        <f>IF(SUMIFS(İndirimler!$D$2:$D$210,İndirimler!$A$2:$A$210,B450,İndirimler!$B$2:$B$210,C450)&gt;0,ROUND(G450*(1-SUMIFS(İndirimler!$D$2:$D$210,İndirimler!$A$2:$A$210,B450,İndirimler!$B$2:$B$210,C450)),2),"")</f>
        <v>286.3</v>
      </c>
      <c r="J450" s="11" t="s">
        <v>736</v>
      </c>
      <c r="K450" s="27"/>
    </row>
    <row r="451" spans="1:11">
      <c r="A451" s="55" t="s">
        <v>737</v>
      </c>
      <c r="B451" s="11" t="s">
        <v>72</v>
      </c>
      <c r="C451" s="11" t="s">
        <v>76</v>
      </c>
      <c r="D451" s="11" t="s">
        <v>691</v>
      </c>
      <c r="E451" s="11"/>
      <c r="F451" s="11" t="s">
        <v>73</v>
      </c>
      <c r="G451" s="14">
        <v>345</v>
      </c>
      <c r="H451" s="17">
        <f>IF(SUMIFS(İndirimler!$C$2:$C$210,İndirimler!$A$2:$A$210,B451,İndirimler!$B$2:$B$210,C451)&gt;0,ROUND(G451*(1-SUMIFS(İndirimler!$C$2:$C$210,İndirimler!$A$2:$A$210,B451,İndirimler!$B$2:$B$210,C451)),2),"")</f>
        <v>293.25</v>
      </c>
      <c r="I451" s="20">
        <f>IF(SUMIFS(İndirimler!$D$2:$D$210,İndirimler!$A$2:$A$210,B451,İndirimler!$B$2:$B$210,C451)&gt;0,ROUND(G451*(1-SUMIFS(İndirimler!$D$2:$D$210,İndirimler!$A$2:$A$210,B451,İndirimler!$B$2:$B$210,C451)),2),"")</f>
        <v>241.5</v>
      </c>
      <c r="J451" s="11"/>
      <c r="K451" s="27"/>
    </row>
    <row r="452" spans="1:11">
      <c r="A452" s="55" t="s">
        <v>738</v>
      </c>
      <c r="B452" s="11" t="s">
        <v>38</v>
      </c>
      <c r="C452" s="11" t="s">
        <v>101</v>
      </c>
      <c r="D452" s="11" t="s">
        <v>691</v>
      </c>
      <c r="E452" s="11"/>
      <c r="F452" s="11" t="s">
        <v>35</v>
      </c>
      <c r="G452" s="14"/>
      <c r="H452" s="17">
        <f>IF(SUMIFS(İndirimler!$C$2:$C$210,İndirimler!$A$2:$A$210,B452,İndirimler!$B$2:$B$210,C452)&gt;0,ROUND(G452*(1-SUMIFS(İndirimler!$C$2:$C$210,İndirimler!$A$2:$A$210,B452,İndirimler!$B$2:$B$210,C452)),2),"")</f>
        <v>0</v>
      </c>
      <c r="I452" s="20">
        <f>IF(SUMIFS(İndirimler!$D$2:$D$210,İndirimler!$A$2:$A$210,B452,İndirimler!$B$2:$B$210,C452)&gt;0,ROUND(G452*(1-SUMIFS(İndirimler!$D$2:$D$210,İndirimler!$A$2:$A$210,B452,İndirimler!$B$2:$B$210,C452)),2),"")</f>
        <v>0</v>
      </c>
      <c r="J452" s="11"/>
      <c r="K452" s="27"/>
    </row>
    <row r="453" spans="1:11">
      <c r="A453" s="55" t="s">
        <v>739</v>
      </c>
      <c r="B453" s="11" t="s">
        <v>696</v>
      </c>
      <c r="C453" s="11" t="s">
        <v>101</v>
      </c>
      <c r="D453" s="11" t="s">
        <v>691</v>
      </c>
      <c r="E453" s="11"/>
      <c r="F453" s="11" t="s">
        <v>42</v>
      </c>
      <c r="G453" s="14"/>
      <c r="H453" s="17">
        <f>IF(SUMIFS(İndirimler!$C$2:$C$210,İndirimler!$A$2:$A$210,B453,İndirimler!$B$2:$B$210,C453)&gt;0,ROUND(G453*(1-SUMIFS(İndirimler!$C$2:$C$210,İndirimler!$A$2:$A$210,B453,İndirimler!$B$2:$B$210,C453)),2),"")</f>
        <v>0</v>
      </c>
      <c r="I453" s="20">
        <f>IF(SUMIFS(İndirimler!$D$2:$D$210,İndirimler!$A$2:$A$210,B453,İndirimler!$B$2:$B$210,C453)&gt;0,ROUND(G453*(1-SUMIFS(İndirimler!$D$2:$D$210,İndirimler!$A$2:$A$210,B453,İndirimler!$B$2:$B$210,C453)),2),"")</f>
        <v>0</v>
      </c>
      <c r="J453" s="11"/>
      <c r="K453" s="27"/>
    </row>
    <row r="454" spans="1:11">
      <c r="A454" s="55" t="s">
        <v>740</v>
      </c>
      <c r="B454" s="11" t="s">
        <v>72</v>
      </c>
      <c r="C454" s="11" t="s">
        <v>101</v>
      </c>
      <c r="D454" s="11" t="s">
        <v>691</v>
      </c>
      <c r="E454" s="11" t="s">
        <v>104</v>
      </c>
      <c r="F454" s="11" t="s">
        <v>42</v>
      </c>
      <c r="G454" s="14"/>
      <c r="H454" s="17">
        <f>IF(SUMIFS(İndirimler!$C$2:$C$210,İndirimler!$A$2:$A$210,B454,İndirimler!$B$2:$B$210,C454)&gt;0,ROUND(G454*(1-SUMIFS(İndirimler!$C$2:$C$210,İndirimler!$A$2:$A$210,B454,İndirimler!$B$2:$B$210,C454)),2),"")</f>
        <v>0</v>
      </c>
      <c r="I454" s="20">
        <f>IF(SUMIFS(İndirimler!$D$2:$D$210,İndirimler!$A$2:$A$210,B454,İndirimler!$B$2:$B$210,C454)&gt;0,ROUND(G454*(1-SUMIFS(İndirimler!$D$2:$D$210,İndirimler!$A$2:$A$210,B454,İndirimler!$B$2:$B$210,C454)),2),"")</f>
        <v>0</v>
      </c>
      <c r="J454" s="11"/>
      <c r="K454" s="27"/>
    </row>
    <row r="455" spans="1:11">
      <c r="A455" s="55" t="s">
        <v>741</v>
      </c>
      <c r="B455" s="11" t="s">
        <v>23</v>
      </c>
      <c r="C455" s="11" t="s">
        <v>101</v>
      </c>
      <c r="D455" s="11" t="s">
        <v>691</v>
      </c>
      <c r="E455" s="11"/>
      <c r="F455" s="11" t="s">
        <v>42</v>
      </c>
      <c r="G455" s="14">
        <v>622</v>
      </c>
      <c r="H455" s="17">
        <f>IF(SUMIFS(İndirimler!$C$2:$C$210,İndirimler!$A$2:$A$210,B455,İndirimler!$B$2:$B$210,C455)&gt;0,ROUND(G455*(1-SUMIFS(İndirimler!$C$2:$C$210,İndirimler!$A$2:$A$210,B455,İndirimler!$B$2:$B$210,C455)),2),"")</f>
        <v>528.70000000000005</v>
      </c>
      <c r="I455" s="20">
        <f>IF(SUMIFS(İndirimler!$D$2:$D$210,İndirimler!$A$2:$A$210,B455,İndirimler!$B$2:$B$210,C455)&gt;0,ROUND(G455*(1-SUMIFS(İndirimler!$D$2:$D$210,İndirimler!$A$2:$A$210,B455,İndirimler!$B$2:$B$210,C455)),2),"")</f>
        <v>435.4</v>
      </c>
      <c r="J455" s="11"/>
      <c r="K455" s="27"/>
    </row>
    <row r="456" spans="1:11">
      <c r="A456" s="55" t="s">
        <v>742</v>
      </c>
      <c r="B456" s="11" t="s">
        <v>55</v>
      </c>
      <c r="C456" s="11" t="s">
        <v>101</v>
      </c>
      <c r="D456" s="11" t="s">
        <v>691</v>
      </c>
      <c r="E456" s="11"/>
      <c r="F456" s="11" t="s">
        <v>16</v>
      </c>
      <c r="G456" s="14">
        <v>346</v>
      </c>
      <c r="H456" s="17">
        <f>IF(SUMIFS(İndirimler!$C$2:$C$210,İndirimler!$A$2:$A$210,B456,İndirimler!$B$2:$B$210,C456)&gt;0,ROUND(G456*(1-SUMIFS(İndirimler!$C$2:$C$210,İndirimler!$A$2:$A$210,B456,İndirimler!$B$2:$B$210,C456)),2),"")</f>
        <v>294.10000000000002</v>
      </c>
      <c r="I456" s="20">
        <f>IF(SUMIFS(İndirimler!$D$2:$D$210,İndirimler!$A$2:$A$210,B456,İndirimler!$B$2:$B$210,C456)&gt;0,ROUND(G456*(1-SUMIFS(İndirimler!$D$2:$D$210,İndirimler!$A$2:$A$210,B456,İndirimler!$B$2:$B$210,C456)),2),"")</f>
        <v>242.2</v>
      </c>
      <c r="J456" s="11"/>
      <c r="K456" s="27"/>
    </row>
    <row r="457" spans="1:11">
      <c r="A457" s="55" t="s">
        <v>743</v>
      </c>
      <c r="B457" s="11" t="s">
        <v>18</v>
      </c>
      <c r="C457" s="11" t="s">
        <v>101</v>
      </c>
      <c r="D457" s="11" t="s">
        <v>691</v>
      </c>
      <c r="E457" s="11" t="s">
        <v>109</v>
      </c>
      <c r="F457" s="11" t="s">
        <v>16</v>
      </c>
      <c r="G457" s="14">
        <v>375</v>
      </c>
      <c r="H457" s="17">
        <f>IF(SUMIFS(İndirimler!$C$2:$C$210,İndirimler!$A$2:$A$210,B457,İndirimler!$B$2:$B$210,C457)&gt;0,ROUND(G457*(1-SUMIFS(İndirimler!$C$2:$C$210,İndirimler!$A$2:$A$210,B457,İndirimler!$B$2:$B$210,C457)),2),"")</f>
        <v>318.75</v>
      </c>
      <c r="I457" s="20">
        <f>IF(SUMIFS(İndirimler!$D$2:$D$210,İndirimler!$A$2:$A$210,B457,İndirimler!$B$2:$B$210,C457)&gt;0,ROUND(G457*(1-SUMIFS(İndirimler!$D$2:$D$210,İndirimler!$A$2:$A$210,B457,İndirimler!$B$2:$B$210,C457)),2),"")</f>
        <v>262.5</v>
      </c>
      <c r="J457" s="26" t="s">
        <v>744</v>
      </c>
      <c r="K457" s="27"/>
    </row>
    <row r="458" spans="1:11">
      <c r="A458" s="55" t="s">
        <v>745</v>
      </c>
      <c r="B458" s="11" t="s">
        <v>696</v>
      </c>
      <c r="C458" s="11" t="s">
        <v>101</v>
      </c>
      <c r="D458" s="11" t="s">
        <v>691</v>
      </c>
      <c r="E458" s="11"/>
      <c r="F458" s="11" t="s">
        <v>16</v>
      </c>
      <c r="G458" s="14"/>
      <c r="H458" s="17">
        <f>IF(SUMIFS(İndirimler!$C$2:$C$210,İndirimler!$A$2:$A$210,B458,İndirimler!$B$2:$B$210,C458)&gt;0,ROUND(G458*(1-SUMIFS(İndirimler!$C$2:$C$210,İndirimler!$A$2:$A$210,B458,İndirimler!$B$2:$B$210,C458)),2),"")</f>
        <v>0</v>
      </c>
      <c r="I458" s="20">
        <f>IF(SUMIFS(İndirimler!$D$2:$D$210,İndirimler!$A$2:$A$210,B458,İndirimler!$B$2:$B$210,C458)&gt;0,ROUND(G458*(1-SUMIFS(İndirimler!$D$2:$D$210,İndirimler!$A$2:$A$210,B458,İndirimler!$B$2:$B$210,C458)),2),"")</f>
        <v>0</v>
      </c>
      <c r="J458" s="11"/>
      <c r="K458" s="27"/>
    </row>
    <row r="459" spans="1:11">
      <c r="A459" s="55" t="s">
        <v>746</v>
      </c>
      <c r="B459" s="11" t="s">
        <v>63</v>
      </c>
      <c r="C459" s="11" t="s">
        <v>101</v>
      </c>
      <c r="D459" s="11" t="s">
        <v>691</v>
      </c>
      <c r="E459" s="11" t="s">
        <v>64</v>
      </c>
      <c r="F459" s="11" t="s">
        <v>16</v>
      </c>
      <c r="G459" s="14"/>
      <c r="H459" s="17">
        <f>IF(SUMIFS(İndirimler!$C$2:$C$210,İndirimler!$A$2:$A$210,B459,İndirimler!$B$2:$B$210,C459)&gt;0,ROUND(G459*(1-SUMIFS(İndirimler!$C$2:$C$210,İndirimler!$A$2:$A$210,B459,İndirimler!$B$2:$B$210,C459)),2),"")</f>
        <v>0</v>
      </c>
      <c r="I459" s="20">
        <f>IF(SUMIFS(İndirimler!$D$2:$D$210,İndirimler!$A$2:$A$210,B459,İndirimler!$B$2:$B$210,C459)&gt;0,ROUND(G459*(1-SUMIFS(İndirimler!$D$2:$D$210,İndirimler!$A$2:$A$210,B459,İndirimler!$B$2:$B$210,C459)),2),"")</f>
        <v>0</v>
      </c>
      <c r="J459" s="11" t="s">
        <v>747</v>
      </c>
      <c r="K459" s="27"/>
    </row>
    <row r="460" spans="1:11">
      <c r="A460" s="55" t="s">
        <v>748</v>
      </c>
      <c r="B460" s="11" t="s">
        <v>23</v>
      </c>
      <c r="C460" s="11" t="s">
        <v>101</v>
      </c>
      <c r="D460" s="11" t="s">
        <v>691</v>
      </c>
      <c r="E460" s="11"/>
      <c r="F460" s="11" t="s">
        <v>16</v>
      </c>
      <c r="G460" s="14">
        <v>620</v>
      </c>
      <c r="H460" s="17">
        <f>IF(SUMIFS(İndirimler!$C$2:$C$210,İndirimler!$A$2:$A$210,B460,İndirimler!$B$2:$B$210,C460)&gt;0,ROUND(G460*(1-SUMIFS(İndirimler!$C$2:$C$210,İndirimler!$A$2:$A$210,B460,İndirimler!$B$2:$B$210,C460)),2),"")</f>
        <v>527</v>
      </c>
      <c r="I460" s="20">
        <f>IF(SUMIFS(İndirimler!$D$2:$D$210,İndirimler!$A$2:$A$210,B460,İndirimler!$B$2:$B$210,C460)&gt;0,ROUND(G460*(1-SUMIFS(İndirimler!$D$2:$D$210,İndirimler!$A$2:$A$210,B460,İndirimler!$B$2:$B$210,C460)),2),"")</f>
        <v>434</v>
      </c>
      <c r="J460" s="11"/>
      <c r="K460" s="27"/>
    </row>
    <row r="461" spans="1:11">
      <c r="A461" s="55" t="s">
        <v>749</v>
      </c>
      <c r="B461" s="11" t="s">
        <v>50</v>
      </c>
      <c r="C461" s="11" t="s">
        <v>101</v>
      </c>
      <c r="D461" s="11" t="s">
        <v>691</v>
      </c>
      <c r="E461" s="11" t="s">
        <v>69</v>
      </c>
      <c r="F461" s="11" t="s">
        <v>16</v>
      </c>
      <c r="G461" s="14">
        <v>598</v>
      </c>
      <c r="H461" s="17">
        <f>IF(SUMIFS(İndirimler!$C$2:$C$210,İndirimler!$A$2:$A$210,B461,İndirimler!$B$2:$B$210,C461)&gt;0,ROUND(G461*(1-SUMIFS(İndirimler!$C$2:$C$210,İndirimler!$A$2:$A$210,B461,İndirimler!$B$2:$B$210,C461)),2),"")</f>
        <v>508.3</v>
      </c>
      <c r="I461" s="20">
        <f>IF(SUMIFS(İndirimler!$D$2:$D$210,İndirimler!$A$2:$A$210,B461,İndirimler!$B$2:$B$210,C461)&gt;0,ROUND(G461*(1-SUMIFS(İndirimler!$D$2:$D$210,İndirimler!$A$2:$A$210,B461,İndirimler!$B$2:$B$210,C461)),2),"")</f>
        <v>418.6</v>
      </c>
      <c r="J461" s="11"/>
      <c r="K461" s="27"/>
    </row>
    <row r="462" spans="1:11">
      <c r="A462" s="55" t="s">
        <v>750</v>
      </c>
      <c r="B462" s="11" t="s">
        <v>38</v>
      </c>
      <c r="C462" s="11" t="s">
        <v>101</v>
      </c>
      <c r="D462" s="11" t="s">
        <v>691</v>
      </c>
      <c r="E462" s="11"/>
      <c r="F462" s="11" t="s">
        <v>16</v>
      </c>
      <c r="G462" s="14"/>
      <c r="H462" s="17">
        <f>IF(SUMIFS(İndirimler!$C$2:$C$210,İndirimler!$A$2:$A$210,B462,İndirimler!$B$2:$B$210,C462)&gt;0,ROUND(G462*(1-SUMIFS(İndirimler!$C$2:$C$210,İndirimler!$A$2:$A$210,B462,İndirimler!$B$2:$B$210,C462)),2),"")</f>
        <v>0</v>
      </c>
      <c r="I462" s="20">
        <f>IF(SUMIFS(İndirimler!$D$2:$D$210,İndirimler!$A$2:$A$210,B462,İndirimler!$B$2:$B$210,C462)&gt;0,ROUND(G462*(1-SUMIFS(İndirimler!$D$2:$D$210,İndirimler!$A$2:$A$210,B462,İndirimler!$B$2:$B$210,C462)),2),"")</f>
        <v>0</v>
      </c>
      <c r="J462" s="11"/>
      <c r="K462" s="27"/>
    </row>
    <row r="463" spans="1:11">
      <c r="A463" s="55" t="s">
        <v>751</v>
      </c>
      <c r="B463" s="11" t="s">
        <v>72</v>
      </c>
      <c r="C463" s="11" t="s">
        <v>101</v>
      </c>
      <c r="D463" s="11" t="s">
        <v>691</v>
      </c>
      <c r="E463" s="11"/>
      <c r="F463" s="11" t="s">
        <v>73</v>
      </c>
      <c r="G463" s="14"/>
      <c r="H463" s="17">
        <f>IF(SUMIFS(İndirimler!$C$2:$C$210,İndirimler!$A$2:$A$210,B463,İndirimler!$B$2:$B$210,C463)&gt;0,ROUND(G463*(1-SUMIFS(İndirimler!$C$2:$C$210,İndirimler!$A$2:$A$210,B463,İndirimler!$B$2:$B$210,C463)),2),"")</f>
        <v>0</v>
      </c>
      <c r="I463" s="20">
        <f>IF(SUMIFS(İndirimler!$D$2:$D$210,İndirimler!$A$2:$A$210,B463,İndirimler!$B$2:$B$210,C463)&gt;0,ROUND(G463*(1-SUMIFS(İndirimler!$D$2:$D$210,İndirimler!$A$2:$A$210,B463,İndirimler!$B$2:$B$210,C463)),2),"")</f>
        <v>0</v>
      </c>
      <c r="J463" s="11"/>
      <c r="K463" s="27"/>
    </row>
    <row r="464" spans="1:11">
      <c r="A464" s="55" t="s">
        <v>752</v>
      </c>
      <c r="B464" s="11" t="s">
        <v>18</v>
      </c>
      <c r="C464" s="11" t="s">
        <v>13</v>
      </c>
      <c r="D464" s="11" t="s">
        <v>691</v>
      </c>
      <c r="E464" s="11"/>
      <c r="F464" s="11" t="s">
        <v>16</v>
      </c>
      <c r="G464" s="14">
        <v>459</v>
      </c>
      <c r="H464" s="17">
        <f>IF(SUMIFS(İndirimler!$C$2:$C$210,İndirimler!$A$2:$A$210,B464,İndirimler!$B$2:$B$210,C464)&gt;0,ROUND(G464*(1-SUMIFS(İndirimler!$C$2:$C$210,İndirimler!$A$2:$A$210,B464,İndirimler!$B$2:$B$210,C464)),2),"")</f>
        <v>390.15</v>
      </c>
      <c r="I464" s="20">
        <f>IF(SUMIFS(İndirimler!$D$2:$D$210,İndirimler!$A$2:$A$210,B464,İndirimler!$B$2:$B$210,C464)&gt;0,ROUND(G464*(1-SUMIFS(İndirimler!$D$2:$D$210,İndirimler!$A$2:$A$210,B464,İndirimler!$B$2:$B$210,C464)),2),"")</f>
        <v>321.3</v>
      </c>
      <c r="J464" s="11" t="s">
        <v>753</v>
      </c>
      <c r="K464" s="27"/>
    </row>
    <row r="465" spans="1:11">
      <c r="A465" s="55" t="s">
        <v>754</v>
      </c>
      <c r="B465" s="11" t="s">
        <v>696</v>
      </c>
      <c r="C465" s="11" t="s">
        <v>13</v>
      </c>
      <c r="D465" s="11" t="s">
        <v>691</v>
      </c>
      <c r="E465" s="11"/>
      <c r="F465" s="11" t="s">
        <v>16</v>
      </c>
      <c r="G465" s="14">
        <v>429</v>
      </c>
      <c r="H465" s="17">
        <f>IF(SUMIFS(İndirimler!$C$2:$C$210,İndirimler!$A$2:$A$210,B465,İndirimler!$B$2:$B$210,C465)&gt;0,ROUND(G465*(1-SUMIFS(İndirimler!$C$2:$C$210,İndirimler!$A$2:$A$210,B465,İndirimler!$B$2:$B$210,C465)),2),"")</f>
        <v>364.65</v>
      </c>
      <c r="I465" s="20">
        <f>IF(SUMIFS(İndirimler!$D$2:$D$210,İndirimler!$A$2:$A$210,B465,İndirimler!$B$2:$B$210,C465)&gt;0,ROUND(G465*(1-SUMIFS(İndirimler!$D$2:$D$210,İndirimler!$A$2:$A$210,B465,İndirimler!$B$2:$B$210,C465)),2),"")</f>
        <v>300.3</v>
      </c>
      <c r="J465" s="11"/>
      <c r="K465" s="27"/>
    </row>
    <row r="466" spans="1:11">
      <c r="A466" s="55" t="s">
        <v>755</v>
      </c>
      <c r="B466" s="11" t="s">
        <v>23</v>
      </c>
      <c r="C466" s="11" t="s">
        <v>13</v>
      </c>
      <c r="D466" s="11" t="s">
        <v>691</v>
      </c>
      <c r="E466" s="11"/>
      <c r="F466" s="11" t="s">
        <v>16</v>
      </c>
      <c r="G466" s="14">
        <v>470</v>
      </c>
      <c r="H466" s="17">
        <f>IF(SUMIFS(İndirimler!$C$2:$C$210,İndirimler!$A$2:$A$210,B466,İndirimler!$B$2:$B$210,C466)&gt;0,ROUND(G466*(1-SUMIFS(İndirimler!$C$2:$C$210,İndirimler!$A$2:$A$210,B466,İndirimler!$B$2:$B$210,C466)),2),"")</f>
        <v>399.5</v>
      </c>
      <c r="I466" s="20">
        <f>IF(SUMIFS(İndirimler!$D$2:$D$210,İndirimler!$A$2:$A$210,B466,İndirimler!$B$2:$B$210,C466)&gt;0,ROUND(G466*(1-SUMIFS(İndirimler!$D$2:$D$210,İndirimler!$A$2:$A$210,B466,İndirimler!$B$2:$B$210,C466)),2),"")</f>
        <v>329</v>
      </c>
      <c r="J466" s="11"/>
      <c r="K466" s="27"/>
    </row>
    <row r="467" spans="1:11">
      <c r="A467" s="55" t="s">
        <v>756</v>
      </c>
      <c r="B467" s="11" t="s">
        <v>44</v>
      </c>
      <c r="C467" s="11" t="s">
        <v>76</v>
      </c>
      <c r="D467" s="11" t="s">
        <v>757</v>
      </c>
      <c r="E467" s="11" t="s">
        <v>45</v>
      </c>
      <c r="F467" s="11" t="s">
        <v>42</v>
      </c>
      <c r="G467" s="14">
        <v>274</v>
      </c>
      <c r="H467" s="17">
        <f>IF(SUMIFS(İndirimler!$C$2:$C$210,İndirimler!$A$2:$A$210,B467,İndirimler!$B$2:$B$210,C467)&gt;0,ROUND(G467*(1-SUMIFS(İndirimler!$C$2:$C$210,İndirimler!$A$2:$A$210,B467,İndirimler!$B$2:$B$210,C467)),2),"")</f>
        <v>232.9</v>
      </c>
      <c r="I467" s="20">
        <f>IF(SUMIFS(İndirimler!$D$2:$D$210,İndirimler!$A$2:$A$210,B467,İndirimler!$B$2:$B$210,C467)&gt;0,ROUND(G467*(1-SUMIFS(İndirimler!$D$2:$D$210,İndirimler!$A$2:$A$210,B467,İndirimler!$B$2:$B$210,C467)),2),"")</f>
        <v>191.8</v>
      </c>
      <c r="J467" s="11" t="s">
        <v>758</v>
      </c>
      <c r="K467" s="27"/>
    </row>
    <row r="468" spans="1:11">
      <c r="A468" s="55" t="s">
        <v>759</v>
      </c>
      <c r="B468" s="11" t="s">
        <v>55</v>
      </c>
      <c r="C468" s="11" t="s">
        <v>76</v>
      </c>
      <c r="D468" s="11" t="s">
        <v>757</v>
      </c>
      <c r="E468" s="11"/>
      <c r="F468" s="11" t="s">
        <v>16</v>
      </c>
      <c r="G468" s="14">
        <v>278</v>
      </c>
      <c r="H468" s="17">
        <f>IF(SUMIFS(İndirimler!$C$2:$C$210,İndirimler!$A$2:$A$210,B468,İndirimler!$B$2:$B$210,C468)&gt;0,ROUND(G468*(1-SUMIFS(İndirimler!$C$2:$C$210,İndirimler!$A$2:$A$210,B468,İndirimler!$B$2:$B$210,C468)),2),"")</f>
        <v>236.3</v>
      </c>
      <c r="I468" s="20">
        <f>IF(SUMIFS(İndirimler!$D$2:$D$210,İndirimler!$A$2:$A$210,B468,İndirimler!$B$2:$B$210,C468)&gt;0,ROUND(G468*(1-SUMIFS(İndirimler!$D$2:$D$210,İndirimler!$A$2:$A$210,B468,İndirimler!$B$2:$B$210,C468)),2),"")</f>
        <v>194.6</v>
      </c>
      <c r="J468" s="11" t="s">
        <v>760</v>
      </c>
      <c r="K468" s="27"/>
    </row>
    <row r="469" spans="1:11">
      <c r="A469" s="55" t="s">
        <v>761</v>
      </c>
      <c r="B469" s="11" t="s">
        <v>18</v>
      </c>
      <c r="C469" s="11" t="s">
        <v>76</v>
      </c>
      <c r="D469" s="11" t="s">
        <v>757</v>
      </c>
      <c r="E469" s="11"/>
      <c r="F469" s="11" t="s">
        <v>16</v>
      </c>
      <c r="G469" s="14">
        <v>269</v>
      </c>
      <c r="H469" s="17">
        <f>IF(SUMIFS(İndirimler!$C$2:$C$210,İndirimler!$A$2:$A$210,B469,İndirimler!$B$2:$B$210,C469)&gt;0,ROUND(G469*(1-SUMIFS(İndirimler!$C$2:$C$210,İndirimler!$A$2:$A$210,B469,İndirimler!$B$2:$B$210,C469)),2),"")</f>
        <v>228.65</v>
      </c>
      <c r="I469" s="20">
        <f>IF(SUMIFS(İndirimler!$D$2:$D$210,İndirimler!$A$2:$A$210,B469,İndirimler!$B$2:$B$210,C469)&gt;0,ROUND(G469*(1-SUMIFS(İndirimler!$D$2:$D$210,İndirimler!$A$2:$A$210,B469,İndirimler!$B$2:$B$210,C469)),2),"")</f>
        <v>188.3</v>
      </c>
      <c r="J469" s="26" t="s">
        <v>762</v>
      </c>
      <c r="K469" s="27"/>
    </row>
    <row r="470" spans="1:11">
      <c r="A470" s="55" t="s">
        <v>763</v>
      </c>
      <c r="B470" s="11" t="s">
        <v>44</v>
      </c>
      <c r="C470" s="11" t="s">
        <v>76</v>
      </c>
      <c r="D470" s="11" t="s">
        <v>757</v>
      </c>
      <c r="E470" s="11" t="s">
        <v>60</v>
      </c>
      <c r="F470" s="11" t="s">
        <v>16</v>
      </c>
      <c r="G470" s="14">
        <v>274</v>
      </c>
      <c r="H470" s="17">
        <f>IF(SUMIFS(İndirimler!$C$2:$C$210,İndirimler!$A$2:$A$210,B470,İndirimler!$B$2:$B$210,C470)&gt;0,ROUND(G470*(1-SUMIFS(İndirimler!$C$2:$C$210,İndirimler!$A$2:$A$210,B470,İndirimler!$B$2:$B$210,C470)),2),"")</f>
        <v>232.9</v>
      </c>
      <c r="I470" s="20">
        <f>IF(SUMIFS(İndirimler!$D$2:$D$210,İndirimler!$A$2:$A$210,B470,İndirimler!$B$2:$B$210,C470)&gt;0,ROUND(G470*(1-SUMIFS(İndirimler!$D$2:$D$210,İndirimler!$A$2:$A$210,B470,İndirimler!$B$2:$B$210,C470)),2),"")</f>
        <v>191.8</v>
      </c>
      <c r="J470" s="11" t="s">
        <v>764</v>
      </c>
      <c r="K470" s="27"/>
    </row>
    <row r="471" spans="1:11">
      <c r="A471" s="55" t="s">
        <v>765</v>
      </c>
      <c r="B471" s="11" t="s">
        <v>50</v>
      </c>
      <c r="C471" s="11" t="s">
        <v>76</v>
      </c>
      <c r="D471" s="11" t="s">
        <v>757</v>
      </c>
      <c r="E471" s="11" t="s">
        <v>69</v>
      </c>
      <c r="F471" s="11" t="s">
        <v>16</v>
      </c>
      <c r="G471" s="14">
        <v>563</v>
      </c>
      <c r="H471" s="17">
        <f>IF(SUMIFS(İndirimler!$C$2:$C$210,İndirimler!$A$2:$A$210,B471,İndirimler!$B$2:$B$210,C471)&gt;0,ROUND(G471*(1-SUMIFS(İndirimler!$C$2:$C$210,İndirimler!$A$2:$A$210,B471,İndirimler!$B$2:$B$210,C471)),2),"")</f>
        <v>478.55</v>
      </c>
      <c r="I471" s="20">
        <f>IF(SUMIFS(İndirimler!$D$2:$D$210,İndirimler!$A$2:$A$210,B471,İndirimler!$B$2:$B$210,C471)&gt;0,ROUND(G471*(1-SUMIFS(İndirimler!$D$2:$D$210,İndirimler!$A$2:$A$210,B471,İndirimler!$B$2:$B$210,C471)),2),"")</f>
        <v>394.1</v>
      </c>
      <c r="J471" s="11"/>
      <c r="K471" s="27"/>
    </row>
    <row r="472" spans="1:11">
      <c r="A472" s="55" t="s">
        <v>766</v>
      </c>
      <c r="B472" s="11" t="s">
        <v>38</v>
      </c>
      <c r="C472" s="11" t="s">
        <v>76</v>
      </c>
      <c r="D472" s="11" t="s">
        <v>757</v>
      </c>
      <c r="E472" s="11" t="s">
        <v>69</v>
      </c>
      <c r="F472" s="11" t="s">
        <v>16</v>
      </c>
      <c r="G472" s="14">
        <v>345</v>
      </c>
      <c r="H472" s="17">
        <f>IF(SUMIFS(İndirimler!$C$2:$C$210,İndirimler!$A$2:$A$210,B472,İndirimler!$B$2:$B$210,C472)&gt;0,ROUND(G472*(1-SUMIFS(İndirimler!$C$2:$C$210,İndirimler!$A$2:$A$210,B472,İndirimler!$B$2:$B$210,C472)),2),"")</f>
        <v>293.25</v>
      </c>
      <c r="I472" s="20">
        <f>IF(SUMIFS(İndirimler!$D$2:$D$210,İndirimler!$A$2:$A$210,B472,İndirimler!$B$2:$B$210,C472)&gt;0,ROUND(G472*(1-SUMIFS(İndirimler!$D$2:$D$210,İndirimler!$A$2:$A$210,B472,İndirimler!$B$2:$B$210,C472)),2),"")</f>
        <v>241.5</v>
      </c>
      <c r="J472" s="11" t="s">
        <v>767</v>
      </c>
      <c r="K472" s="27"/>
    </row>
    <row r="473" spans="1:11">
      <c r="A473" s="55" t="s">
        <v>768</v>
      </c>
      <c r="B473" s="11" t="s">
        <v>72</v>
      </c>
      <c r="C473" s="11" t="s">
        <v>101</v>
      </c>
      <c r="D473" s="11" t="s">
        <v>757</v>
      </c>
      <c r="E473" s="11" t="s">
        <v>104</v>
      </c>
      <c r="F473" s="11" t="s">
        <v>42</v>
      </c>
      <c r="G473" s="14"/>
      <c r="H473" s="17">
        <f>IF(SUMIFS(İndirimler!$C$2:$C$210,İndirimler!$A$2:$A$210,B473,İndirimler!$B$2:$B$210,C473)&gt;0,ROUND(G473*(1-SUMIFS(İndirimler!$C$2:$C$210,İndirimler!$A$2:$A$210,B473,İndirimler!$B$2:$B$210,C473)),2),"")</f>
        <v>0</v>
      </c>
      <c r="I473" s="20">
        <f>IF(SUMIFS(İndirimler!$D$2:$D$210,İndirimler!$A$2:$A$210,B473,İndirimler!$B$2:$B$210,C473)&gt;0,ROUND(G473*(1-SUMIFS(İndirimler!$D$2:$D$210,İndirimler!$A$2:$A$210,B473,İndirimler!$B$2:$B$210,C473)),2),"")</f>
        <v>0</v>
      </c>
      <c r="J473" s="11"/>
      <c r="K473" s="27"/>
    </row>
    <row r="474" spans="1:11">
      <c r="A474" s="55" t="s">
        <v>769</v>
      </c>
      <c r="B474" s="11" t="s">
        <v>23</v>
      </c>
      <c r="C474" s="11" t="s">
        <v>101</v>
      </c>
      <c r="D474" s="11" t="s">
        <v>757</v>
      </c>
      <c r="E474" s="11"/>
      <c r="F474" s="11" t="s">
        <v>42</v>
      </c>
      <c r="G474" s="14">
        <v>424</v>
      </c>
      <c r="H474" s="17">
        <f>IF(SUMIFS(İndirimler!$C$2:$C$210,İndirimler!$A$2:$A$210,B474,İndirimler!$B$2:$B$210,C474)&gt;0,ROUND(G474*(1-SUMIFS(İndirimler!$C$2:$C$210,İndirimler!$A$2:$A$210,B474,İndirimler!$B$2:$B$210,C474)),2),"")</f>
        <v>360.4</v>
      </c>
      <c r="I474" s="20">
        <f>IF(SUMIFS(İndirimler!$D$2:$D$210,İndirimler!$A$2:$A$210,B474,İndirimler!$B$2:$B$210,C474)&gt;0,ROUND(G474*(1-SUMIFS(İndirimler!$D$2:$D$210,İndirimler!$A$2:$A$210,B474,İndirimler!$B$2:$B$210,C474)),2),"")</f>
        <v>296.8</v>
      </c>
      <c r="J474" s="11"/>
      <c r="K474" s="27"/>
    </row>
    <row r="475" spans="1:11">
      <c r="A475" s="55" t="s">
        <v>770</v>
      </c>
      <c r="B475" s="11" t="s">
        <v>55</v>
      </c>
      <c r="C475" s="11" t="s">
        <v>101</v>
      </c>
      <c r="D475" s="11" t="s">
        <v>757</v>
      </c>
      <c r="E475" s="11"/>
      <c r="F475" s="11" t="s">
        <v>16</v>
      </c>
      <c r="G475" s="14">
        <v>256</v>
      </c>
      <c r="H475" s="17">
        <f>IF(SUMIFS(İndirimler!$C$2:$C$210,İndirimler!$A$2:$A$210,B475,İndirimler!$B$2:$B$210,C475)&gt;0,ROUND(G475*(1-SUMIFS(İndirimler!$C$2:$C$210,İndirimler!$A$2:$A$210,B475,İndirimler!$B$2:$B$210,C475)),2),"")</f>
        <v>217.6</v>
      </c>
      <c r="I475" s="20">
        <f>IF(SUMIFS(İndirimler!$D$2:$D$210,İndirimler!$A$2:$A$210,B475,İndirimler!$B$2:$B$210,C475)&gt;0,ROUND(G475*(1-SUMIFS(İndirimler!$D$2:$D$210,İndirimler!$A$2:$A$210,B475,İndirimler!$B$2:$B$210,C475)),2),"")</f>
        <v>179.2</v>
      </c>
      <c r="J475" s="11"/>
      <c r="K475" s="27"/>
    </row>
    <row r="476" spans="1:11">
      <c r="A476" s="55" t="s">
        <v>771</v>
      </c>
      <c r="B476" s="11" t="s">
        <v>18</v>
      </c>
      <c r="C476" s="11" t="s">
        <v>101</v>
      </c>
      <c r="D476" s="11" t="s">
        <v>757</v>
      </c>
      <c r="E476" s="11"/>
      <c r="F476" s="11" t="s">
        <v>16</v>
      </c>
      <c r="G476" s="14"/>
      <c r="H476" s="17">
        <f>IF(SUMIFS(İndirimler!$C$2:$C$210,İndirimler!$A$2:$A$210,B476,İndirimler!$B$2:$B$210,C476)&gt;0,ROUND(G476*(1-SUMIFS(İndirimler!$C$2:$C$210,İndirimler!$A$2:$A$210,B476,İndirimler!$B$2:$B$210,C476)),2),"")</f>
        <v>0</v>
      </c>
      <c r="I476" s="20">
        <f>IF(SUMIFS(İndirimler!$D$2:$D$210,İndirimler!$A$2:$A$210,B476,İndirimler!$B$2:$B$210,C476)&gt;0,ROUND(G476*(1-SUMIFS(İndirimler!$D$2:$D$210,İndirimler!$A$2:$A$210,B476,İndirimler!$B$2:$B$210,C476)),2),"")</f>
        <v>0</v>
      </c>
      <c r="J476" s="11"/>
      <c r="K476" s="27"/>
    </row>
    <row r="477" spans="1:11">
      <c r="A477" s="55" t="s">
        <v>772</v>
      </c>
      <c r="B477" s="11" t="s">
        <v>50</v>
      </c>
      <c r="C477" s="11" t="s">
        <v>101</v>
      </c>
      <c r="D477" s="11" t="s">
        <v>757</v>
      </c>
      <c r="E477" s="11" t="s">
        <v>69</v>
      </c>
      <c r="F477" s="11" t="s">
        <v>16</v>
      </c>
      <c r="G477" s="14">
        <v>493</v>
      </c>
      <c r="H477" s="17">
        <f>IF(SUMIFS(İndirimler!$C$2:$C$210,İndirimler!$A$2:$A$210,B477,İndirimler!$B$2:$B$210,C477)&gt;0,ROUND(G477*(1-SUMIFS(İndirimler!$C$2:$C$210,İndirimler!$A$2:$A$210,B477,İndirimler!$B$2:$B$210,C477)),2),"")</f>
        <v>419.05</v>
      </c>
      <c r="I477" s="20">
        <f>IF(SUMIFS(İndirimler!$D$2:$D$210,İndirimler!$A$2:$A$210,B477,İndirimler!$B$2:$B$210,C477)&gt;0,ROUND(G477*(1-SUMIFS(İndirimler!$D$2:$D$210,İndirimler!$A$2:$A$210,B477,İndirimler!$B$2:$B$210,C477)),2),"")</f>
        <v>345.1</v>
      </c>
      <c r="J477" s="11"/>
      <c r="K477" s="27"/>
    </row>
    <row r="478" spans="1:11">
      <c r="A478" s="55" t="s">
        <v>773</v>
      </c>
      <c r="B478" s="11" t="s">
        <v>38</v>
      </c>
      <c r="C478" s="11" t="s">
        <v>101</v>
      </c>
      <c r="D478" s="11" t="s">
        <v>757</v>
      </c>
      <c r="E478" s="11"/>
      <c r="F478" s="11" t="s">
        <v>16</v>
      </c>
      <c r="G478" s="14"/>
      <c r="H478" s="17">
        <f>IF(SUMIFS(İndirimler!$C$2:$C$210,İndirimler!$A$2:$A$210,B478,İndirimler!$B$2:$B$210,C478)&gt;0,ROUND(G478*(1-SUMIFS(İndirimler!$C$2:$C$210,İndirimler!$A$2:$A$210,B478,İndirimler!$B$2:$B$210,C478)),2),"")</f>
        <v>0</v>
      </c>
      <c r="I478" s="20">
        <f>IF(SUMIFS(İndirimler!$D$2:$D$210,İndirimler!$A$2:$A$210,B478,İndirimler!$B$2:$B$210,C478)&gt;0,ROUND(G478*(1-SUMIFS(İndirimler!$D$2:$D$210,İndirimler!$A$2:$A$210,B478,İndirimler!$B$2:$B$210,C478)),2),"")</f>
        <v>0</v>
      </c>
      <c r="J478" s="11"/>
      <c r="K478" s="27"/>
    </row>
    <row r="479" spans="1:11">
      <c r="A479" s="55" t="s">
        <v>774</v>
      </c>
      <c r="B479" s="11" t="s">
        <v>72</v>
      </c>
      <c r="C479" s="11" t="s">
        <v>101</v>
      </c>
      <c r="D479" s="11" t="s">
        <v>757</v>
      </c>
      <c r="E479" s="11"/>
      <c r="F479" s="11" t="s">
        <v>73</v>
      </c>
      <c r="G479" s="14"/>
      <c r="H479" s="17">
        <f>IF(SUMIFS(İndirimler!$C$2:$C$210,İndirimler!$A$2:$A$210,B479,İndirimler!$B$2:$B$210,C479)&gt;0,ROUND(G479*(1-SUMIFS(İndirimler!$C$2:$C$210,İndirimler!$A$2:$A$210,B479,İndirimler!$B$2:$B$210,C479)),2),"")</f>
        <v>0</v>
      </c>
      <c r="I479" s="20">
        <f>IF(SUMIFS(İndirimler!$D$2:$D$210,İndirimler!$A$2:$A$210,B479,İndirimler!$B$2:$B$210,C479)&gt;0,ROUND(G479*(1-SUMIFS(İndirimler!$D$2:$D$210,İndirimler!$A$2:$A$210,B479,İndirimler!$B$2:$B$210,C479)),2),"")</f>
        <v>0</v>
      </c>
      <c r="J479" s="11"/>
      <c r="K479" s="27"/>
    </row>
    <row r="480" spans="1:11">
      <c r="A480" s="55" t="s">
        <v>775</v>
      </c>
      <c r="B480" s="11" t="s">
        <v>63</v>
      </c>
      <c r="C480" s="11" t="s">
        <v>13</v>
      </c>
      <c r="D480" s="11" t="s">
        <v>776</v>
      </c>
      <c r="E480" s="11"/>
      <c r="F480" s="11" t="s">
        <v>16</v>
      </c>
      <c r="G480" s="14">
        <v>429</v>
      </c>
      <c r="H480" s="17">
        <f>IF(SUMIFS(İndirimler!$C$2:$C$210,İndirimler!$A$2:$A$210,B480,İndirimler!$B$2:$B$210,C480)&gt;0,ROUND(G480*(1-SUMIFS(İndirimler!$C$2:$C$210,İndirimler!$A$2:$A$210,B480,İndirimler!$B$2:$B$210,C480)),2),"")</f>
        <v>364.65</v>
      </c>
      <c r="I480" s="20">
        <f>IF(SUMIFS(İndirimler!$D$2:$D$210,İndirimler!$A$2:$A$210,B480,İndirimler!$B$2:$B$210,C480)&gt;0,ROUND(G480*(1-SUMIFS(İndirimler!$D$2:$D$210,İndirimler!$A$2:$A$210,B480,İndirimler!$B$2:$B$210,C480)),2),"")</f>
        <v>300.3</v>
      </c>
      <c r="J480" s="11"/>
      <c r="K480" s="27"/>
    </row>
    <row r="481" spans="1:11">
      <c r="A481" s="55" t="s">
        <v>777</v>
      </c>
      <c r="B481" s="11" t="s">
        <v>778</v>
      </c>
      <c r="C481" s="11" t="s">
        <v>33</v>
      </c>
      <c r="D481" s="11" t="s">
        <v>779</v>
      </c>
      <c r="E481" s="11"/>
      <c r="F481" s="11" t="s">
        <v>42</v>
      </c>
      <c r="G481" s="14"/>
      <c r="H481" s="17">
        <f>IF(SUMIFS(İndirimler!$C$2:$C$210,İndirimler!$A$2:$A$210,B481,İndirimler!$B$2:$B$210,C481)&gt;0,ROUND(G481*(1-SUMIFS(İndirimler!$C$2:$C$210,İndirimler!$A$2:$A$210,B481,İndirimler!$B$2:$B$210,C481)),2),"")</f>
        <v>0</v>
      </c>
      <c r="I481" s="20">
        <f>IF(SUMIFS(İndirimler!$D$2:$D$210,İndirimler!$A$2:$A$210,B481,İndirimler!$B$2:$B$210,C481)&gt;0,ROUND(G481*(1-SUMIFS(İndirimler!$D$2:$D$210,İndirimler!$A$2:$A$210,B481,İndirimler!$B$2:$B$210,C481)),2),"")</f>
        <v>0</v>
      </c>
      <c r="J481" s="11"/>
      <c r="K481" s="27"/>
    </row>
    <row r="482" spans="1:11">
      <c r="A482" s="55" t="s">
        <v>780</v>
      </c>
      <c r="B482" s="11" t="s">
        <v>778</v>
      </c>
      <c r="C482" s="11" t="s">
        <v>33</v>
      </c>
      <c r="D482" s="11" t="s">
        <v>779</v>
      </c>
      <c r="E482" s="11"/>
      <c r="F482" s="11" t="s">
        <v>16</v>
      </c>
      <c r="G482" s="14"/>
      <c r="H482" s="17">
        <f>IF(SUMIFS(İndirimler!$C$2:$C$210,İndirimler!$A$2:$A$210,B482,İndirimler!$B$2:$B$210,C482)&gt;0,ROUND(G482*(1-SUMIFS(İndirimler!$C$2:$C$210,İndirimler!$A$2:$A$210,B482,İndirimler!$B$2:$B$210,C482)),2),"")</f>
        <v>0</v>
      </c>
      <c r="I482" s="20">
        <f>IF(SUMIFS(İndirimler!$D$2:$D$210,İndirimler!$A$2:$A$210,B482,İndirimler!$B$2:$B$210,C482)&gt;0,ROUND(G482*(1-SUMIFS(İndirimler!$D$2:$D$210,İndirimler!$A$2:$A$210,B482,İndirimler!$B$2:$B$210,C482)),2),"")</f>
        <v>0</v>
      </c>
      <c r="J482" s="11"/>
      <c r="K482" s="27"/>
    </row>
    <row r="483" spans="1:11">
      <c r="A483" s="55" t="s">
        <v>781</v>
      </c>
      <c r="B483" s="11" t="s">
        <v>18</v>
      </c>
      <c r="C483" s="11" t="s">
        <v>33</v>
      </c>
      <c r="D483" s="11" t="s">
        <v>779</v>
      </c>
      <c r="E483" s="11"/>
      <c r="F483" s="11" t="s">
        <v>782</v>
      </c>
      <c r="G483" s="14">
        <v>159</v>
      </c>
      <c r="H483" s="17">
        <f>IF(SUMIFS(İndirimler!$C$2:$C$210,İndirimler!$A$2:$A$210,B483,İndirimler!$B$2:$B$210,C483)&gt;0,ROUND(G483*(1-SUMIFS(İndirimler!$C$2:$C$210,İndirimler!$A$2:$A$210,B483,İndirimler!$B$2:$B$210,C483)),2),"")</f>
        <v>135.15</v>
      </c>
      <c r="I483" s="20">
        <f>IF(SUMIFS(İndirimler!$D$2:$D$210,İndirimler!$A$2:$A$210,B483,İndirimler!$B$2:$B$210,C483)&gt;0,ROUND(G483*(1-SUMIFS(İndirimler!$D$2:$D$210,İndirimler!$A$2:$A$210,B483,İndirimler!$B$2:$B$210,C483)),2),"")</f>
        <v>111.3</v>
      </c>
      <c r="J483" s="11"/>
      <c r="K483" s="27"/>
    </row>
    <row r="484" spans="1:11">
      <c r="A484" s="55" t="s">
        <v>783</v>
      </c>
      <c r="B484" s="11" t="s">
        <v>778</v>
      </c>
      <c r="C484" s="11" t="s">
        <v>76</v>
      </c>
      <c r="D484" s="11" t="s">
        <v>779</v>
      </c>
      <c r="E484" s="11"/>
      <c r="F484" s="11" t="s">
        <v>42</v>
      </c>
      <c r="G484" s="14"/>
      <c r="H484" s="17">
        <f>IF(SUMIFS(İndirimler!$C$2:$C$210,İndirimler!$A$2:$A$210,B484,İndirimler!$B$2:$B$210,C484)&gt;0,ROUND(G484*(1-SUMIFS(İndirimler!$C$2:$C$210,İndirimler!$A$2:$A$210,B484,İndirimler!$B$2:$B$210,C484)),2),"")</f>
        <v>0</v>
      </c>
      <c r="I484" s="20">
        <f>IF(SUMIFS(İndirimler!$D$2:$D$210,İndirimler!$A$2:$A$210,B484,İndirimler!$B$2:$B$210,C484)&gt;0,ROUND(G484*(1-SUMIFS(İndirimler!$D$2:$D$210,İndirimler!$A$2:$A$210,B484,İndirimler!$B$2:$B$210,C484)),2),"")</f>
        <v>0</v>
      </c>
      <c r="J484" s="11"/>
      <c r="K484" s="27"/>
    </row>
    <row r="485" spans="1:11">
      <c r="A485" s="55" t="s">
        <v>784</v>
      </c>
      <c r="B485" s="11" t="s">
        <v>778</v>
      </c>
      <c r="C485" s="11" t="s">
        <v>76</v>
      </c>
      <c r="D485" s="11" t="s">
        <v>779</v>
      </c>
      <c r="E485" s="11"/>
      <c r="F485" s="11" t="s">
        <v>16</v>
      </c>
      <c r="G485" s="14"/>
      <c r="H485" s="17">
        <f>IF(SUMIFS(İndirimler!$C$2:$C$210,İndirimler!$A$2:$A$210,B485,İndirimler!$B$2:$B$210,C485)&gt;0,ROUND(G485*(1-SUMIFS(İndirimler!$C$2:$C$210,İndirimler!$A$2:$A$210,B485,İndirimler!$B$2:$B$210,C485)),2),"")</f>
        <v>0</v>
      </c>
      <c r="I485" s="20">
        <f>IF(SUMIFS(İndirimler!$D$2:$D$210,İndirimler!$A$2:$A$210,B485,İndirimler!$B$2:$B$210,C485)&gt;0,ROUND(G485*(1-SUMIFS(İndirimler!$D$2:$D$210,İndirimler!$A$2:$A$210,B485,İndirimler!$B$2:$B$210,C485)),2),"")</f>
        <v>0</v>
      </c>
      <c r="J485" s="11"/>
      <c r="K485" s="27"/>
    </row>
    <row r="486" spans="1:11">
      <c r="A486" s="55" t="s">
        <v>785</v>
      </c>
      <c r="B486" s="11" t="s">
        <v>50</v>
      </c>
      <c r="C486" s="11" t="s">
        <v>33</v>
      </c>
      <c r="D486" s="11" t="s">
        <v>786</v>
      </c>
      <c r="E486" s="11" t="s">
        <v>69</v>
      </c>
      <c r="F486" s="11" t="s">
        <v>16</v>
      </c>
      <c r="G486" s="14">
        <v>282</v>
      </c>
      <c r="H486" s="17">
        <f>IF(SUMIFS(İndirimler!$C$2:$C$210,İndirimler!$A$2:$A$210,B486,İndirimler!$B$2:$B$210,C486)&gt;0,ROUND(G486*(1-SUMIFS(İndirimler!$C$2:$C$210,İndirimler!$A$2:$A$210,B486,İndirimler!$B$2:$B$210,C486)),2),"")</f>
        <v>239.7</v>
      </c>
      <c r="I486" s="20">
        <f>IF(SUMIFS(İndirimler!$D$2:$D$210,İndirimler!$A$2:$A$210,B486,İndirimler!$B$2:$B$210,C486)&gt;0,ROUND(G486*(1-SUMIFS(İndirimler!$D$2:$D$210,İndirimler!$A$2:$A$210,B486,İndirimler!$B$2:$B$210,C486)),2),"")</f>
        <v>197.4</v>
      </c>
      <c r="J486" s="11"/>
      <c r="K486" s="27"/>
    </row>
    <row r="487" spans="1:11">
      <c r="A487" s="56" t="s">
        <v>787</v>
      </c>
      <c r="B487" s="12" t="s">
        <v>50</v>
      </c>
      <c r="C487" s="12" t="s">
        <v>76</v>
      </c>
      <c r="D487" s="12" t="s">
        <v>786</v>
      </c>
      <c r="E487" s="12" t="s">
        <v>69</v>
      </c>
      <c r="F487" s="12" t="s">
        <v>16</v>
      </c>
      <c r="G487" s="15">
        <v>282</v>
      </c>
      <c r="H487" s="18">
        <f>IF(SUMIFS(İndirimler!$C$2:$C$210,İndirimler!$A$2:$A$210,B487,İndirimler!$B$2:$B$210,C487)&gt;0,ROUND(G487*(1-SUMIFS(İndirimler!$C$2:$C$210,İndirimler!$A$2:$A$210,B487,İndirimler!$B$2:$B$210,C487)),2),"")</f>
        <v>239.7</v>
      </c>
      <c r="I487" s="21">
        <f>IF(SUMIFS(İndirimler!$D$2:$D$210,İndirimler!$A$2:$A$210,B487,İndirimler!$B$2:$B$210,C487)&gt;0,ROUND(G487*(1-SUMIFS(İndirimler!$D$2:$D$210,İndirimler!$A$2:$A$210,B487,İndirimler!$B$2:$B$210,C487)),2),"")</f>
        <v>197.4</v>
      </c>
      <c r="J487" s="12"/>
      <c r="K487" s="27"/>
    </row>
    <row r="488" spans="1:11">
      <c r="A488" s="50">
        <v>9786255984661</v>
      </c>
      <c r="B488" t="s">
        <v>861</v>
      </c>
      <c r="C488" t="s">
        <v>825</v>
      </c>
      <c r="D488" t="s">
        <v>120</v>
      </c>
      <c r="F488" t="s">
        <v>42</v>
      </c>
      <c r="G488">
        <v>564</v>
      </c>
      <c r="H488" s="18">
        <f>IF(SUMIFS(İndirimler!$C$2:$C$210,İndirimler!$A$2:$A$210,B488,İndirimler!$B$2:$B$210,C488)&gt;0,ROUND(G488*(1-SUMIFS(İndirimler!$C$2:$C$210,İndirimler!$A$2:$A$210,B488,İndirimler!$B$2:$B$210,C488)),2),"")</f>
        <v>479.4</v>
      </c>
      <c r="I488" s="21">
        <f>IF(SUMIFS(İndirimler!$D$2:$D$210,İndirimler!$A$2:$A$210,B488,İndirimler!$B$2:$B$210,C488)&gt;0,ROUND(G488*(1-SUMIFS(İndirimler!$D$2:$D$210,İndirimler!$A$2:$A$210,B488,İndirimler!$B$2:$B$210,C488)),2),"")</f>
        <v>394.8</v>
      </c>
    </row>
    <row r="489" spans="1:11">
      <c r="A489" s="50">
        <v>9786255984685</v>
      </c>
      <c r="B489" t="s">
        <v>861</v>
      </c>
      <c r="C489" t="s">
        <v>825</v>
      </c>
      <c r="D489" t="s">
        <v>14</v>
      </c>
      <c r="F489" t="s">
        <v>42</v>
      </c>
      <c r="G489">
        <v>492</v>
      </c>
      <c r="H489" s="18">
        <f>IF(SUMIFS(İndirimler!$C$2:$C$210,İndirimler!$A$2:$A$210,B489,İndirimler!$B$2:$B$210,C489)&gt;0,ROUND(G489*(1-SUMIFS(İndirimler!$C$2:$C$210,İndirimler!$A$2:$A$210,B489,İndirimler!$B$2:$B$210,C489)),2),"")</f>
        <v>418.2</v>
      </c>
      <c r="I489" s="21">
        <f>IF(SUMIFS(İndirimler!$D$2:$D$210,İndirimler!$A$2:$A$210,B489,İndirimler!$B$2:$B$210,C489)&gt;0,ROUND(G489*(1-SUMIFS(İndirimler!$D$2:$D$210,İndirimler!$A$2:$A$210,B489,İndirimler!$B$2:$B$210,C489)),2),"")</f>
        <v>344.4</v>
      </c>
    </row>
    <row r="490" spans="1:11">
      <c r="A490" s="50">
        <v>9786255984654</v>
      </c>
      <c r="B490" t="s">
        <v>861</v>
      </c>
      <c r="C490" t="s">
        <v>825</v>
      </c>
      <c r="D490" t="s">
        <v>862</v>
      </c>
      <c r="F490" t="s">
        <v>42</v>
      </c>
      <c r="G490">
        <v>516</v>
      </c>
      <c r="H490" s="18">
        <f>IF(SUMIFS(İndirimler!$C$2:$C$210,İndirimler!$A$2:$A$210,B490,İndirimler!$B$2:$B$210,C490)&gt;0,ROUND(G490*(1-SUMIFS(İndirimler!$C$2:$C$210,İndirimler!$A$2:$A$210,B490,İndirimler!$B$2:$B$210,C490)),2),"")</f>
        <v>438.6</v>
      </c>
      <c r="I490" s="21">
        <f>IF(SUMIFS(İndirimler!$D$2:$D$210,İndirimler!$A$2:$A$210,B490,İndirimler!$B$2:$B$210,C490)&gt;0,ROUND(G490*(1-SUMIFS(İndirimler!$D$2:$D$210,İndirimler!$A$2:$A$210,B490,İndirimler!$B$2:$B$210,C490)),2),"")</f>
        <v>361.2</v>
      </c>
    </row>
    <row r="491" spans="1:11">
      <c r="A491" s="50">
        <v>9786255984708</v>
      </c>
      <c r="B491" t="s">
        <v>861</v>
      </c>
      <c r="C491" t="s">
        <v>825</v>
      </c>
      <c r="D491" t="s">
        <v>863</v>
      </c>
      <c r="F491" t="s">
        <v>42</v>
      </c>
      <c r="G491">
        <v>468</v>
      </c>
      <c r="H491" s="18">
        <f>IF(SUMIFS(İndirimler!$C$2:$C$210,İndirimler!$A$2:$A$210,B491,İndirimler!$B$2:$B$210,C491)&gt;0,ROUND(G491*(1-SUMIFS(İndirimler!$C$2:$C$210,İndirimler!$A$2:$A$210,B491,İndirimler!$B$2:$B$210,C491)),2),"")</f>
        <v>397.8</v>
      </c>
      <c r="I491" s="21">
        <f>IF(SUMIFS(İndirimler!$D$2:$D$210,İndirimler!$A$2:$A$210,B491,İndirimler!$B$2:$B$210,C491)&gt;0,ROUND(G491*(1-SUMIFS(İndirimler!$D$2:$D$210,İndirimler!$A$2:$A$210,B491,İndirimler!$B$2:$B$210,C491)),2),"")</f>
        <v>327.60000000000002</v>
      </c>
    </row>
    <row r="492" spans="1:11">
      <c r="A492" s="50">
        <v>9786255984678</v>
      </c>
      <c r="B492" t="s">
        <v>861</v>
      </c>
      <c r="C492" t="s">
        <v>825</v>
      </c>
      <c r="D492" t="s">
        <v>786</v>
      </c>
      <c r="F492" t="s">
        <v>42</v>
      </c>
      <c r="G492">
        <v>420</v>
      </c>
      <c r="H492" s="18">
        <f>IF(SUMIFS(İndirimler!$C$2:$C$210,İndirimler!$A$2:$A$210,B492,İndirimler!$B$2:$B$210,C492)&gt;0,ROUND(G492*(1-SUMIFS(İndirimler!$C$2:$C$210,İndirimler!$A$2:$A$210,B492,İndirimler!$B$2:$B$210,C492)),2),"")</f>
        <v>357</v>
      </c>
      <c r="I492" s="21">
        <f>IF(SUMIFS(İndirimler!$D$2:$D$210,İndirimler!$A$2:$A$210,B492,İndirimler!$B$2:$B$210,C492)&gt;0,ROUND(G492*(1-SUMIFS(İndirimler!$D$2:$D$210,İndirimler!$A$2:$A$210,B492,İndirimler!$B$2:$B$210,C492)),2),"")</f>
        <v>294</v>
      </c>
    </row>
    <row r="493" spans="1:11">
      <c r="A493" s="50">
        <v>9786255984746</v>
      </c>
      <c r="B493" t="s">
        <v>861</v>
      </c>
      <c r="C493" t="s">
        <v>825</v>
      </c>
      <c r="D493" t="s">
        <v>120</v>
      </c>
      <c r="F493" t="s">
        <v>16</v>
      </c>
      <c r="G493">
        <v>444</v>
      </c>
      <c r="H493" s="18">
        <f>IF(SUMIFS(İndirimler!$C$2:$C$210,İndirimler!$A$2:$A$210,B493,İndirimler!$B$2:$B$210,C493)&gt;0,ROUND(G493*(1-SUMIFS(İndirimler!$C$2:$C$210,İndirimler!$A$2:$A$210,B493,İndirimler!$B$2:$B$210,C493)),2),"")</f>
        <v>377.4</v>
      </c>
      <c r="I493" s="21">
        <f>IF(SUMIFS(İndirimler!$D$2:$D$210,İndirimler!$A$2:$A$210,B493,İndirimler!$B$2:$B$210,C493)&gt;0,ROUND(G493*(1-SUMIFS(İndirimler!$D$2:$D$210,İndirimler!$A$2:$A$210,B493,İndirimler!$B$2:$B$210,C493)),2),"")</f>
        <v>310.8</v>
      </c>
    </row>
    <row r="494" spans="1:11">
      <c r="A494" s="50">
        <v>9786255984845</v>
      </c>
      <c r="B494" t="s">
        <v>861</v>
      </c>
      <c r="C494" t="s">
        <v>825</v>
      </c>
      <c r="D494" t="s">
        <v>14</v>
      </c>
      <c r="F494" t="s">
        <v>16</v>
      </c>
      <c r="G494">
        <v>504</v>
      </c>
      <c r="H494" s="18">
        <f>IF(SUMIFS(İndirimler!$C$2:$C$210,İndirimler!$A$2:$A$210,B494,İndirimler!$B$2:$B$210,C494)&gt;0,ROUND(G494*(1-SUMIFS(İndirimler!$C$2:$C$210,İndirimler!$A$2:$A$210,B494,İndirimler!$B$2:$B$210,C494)),2),"")</f>
        <v>428.4</v>
      </c>
      <c r="I494" s="21">
        <f>IF(SUMIFS(İndirimler!$D$2:$D$210,İndirimler!$A$2:$A$210,B494,İndirimler!$B$2:$B$210,C494)&gt;0,ROUND(G494*(1-SUMIFS(İndirimler!$D$2:$D$210,İndirimler!$A$2:$A$210,B494,İndirimler!$B$2:$B$210,C494)),2),"")</f>
        <v>352.8</v>
      </c>
    </row>
    <row r="495" spans="1:11">
      <c r="A495" s="50">
        <v>9786255984890</v>
      </c>
      <c r="B495" t="s">
        <v>861</v>
      </c>
      <c r="C495" t="s">
        <v>825</v>
      </c>
      <c r="D495" t="s">
        <v>862</v>
      </c>
      <c r="F495" t="s">
        <v>16</v>
      </c>
      <c r="G495">
        <v>444</v>
      </c>
      <c r="H495" s="18">
        <f>IF(SUMIFS(İndirimler!$C$2:$C$210,İndirimler!$A$2:$A$210,B495,İndirimler!$B$2:$B$210,C495)&gt;0,ROUND(G495*(1-SUMIFS(İndirimler!$C$2:$C$210,İndirimler!$A$2:$A$210,B495,İndirimler!$B$2:$B$210,C495)),2),"")</f>
        <v>377.4</v>
      </c>
      <c r="I495" s="21">
        <f>IF(SUMIFS(İndirimler!$D$2:$D$210,İndirimler!$A$2:$A$210,B495,İndirimler!$B$2:$B$210,C495)&gt;0,ROUND(G495*(1-SUMIFS(İndirimler!$D$2:$D$210,İndirimler!$A$2:$A$210,B495,İndirimler!$B$2:$B$210,C495)),2),"")</f>
        <v>310.8</v>
      </c>
    </row>
    <row r="496" spans="1:11">
      <c r="A496" s="50">
        <v>9786255676047</v>
      </c>
      <c r="B496" t="s">
        <v>861</v>
      </c>
      <c r="C496" t="s">
        <v>825</v>
      </c>
      <c r="D496" t="s">
        <v>863</v>
      </c>
      <c r="F496" t="s">
        <v>16</v>
      </c>
      <c r="G496">
        <v>384</v>
      </c>
      <c r="H496" s="18">
        <f>IF(SUMIFS(İndirimler!$C$2:$C$210,İndirimler!$A$2:$A$210,B496,İndirimler!$B$2:$B$210,C496)&gt;0,ROUND(G496*(1-SUMIFS(İndirimler!$C$2:$C$210,İndirimler!$A$2:$A$210,B496,İndirimler!$B$2:$B$210,C496)),2),"")</f>
        <v>326.39999999999998</v>
      </c>
      <c r="I496" s="21">
        <f>IF(SUMIFS(İndirimler!$D$2:$D$210,İndirimler!$A$2:$A$210,B496,İndirimler!$B$2:$B$210,C496)&gt;0,ROUND(G496*(1-SUMIFS(İndirimler!$D$2:$D$210,İndirimler!$A$2:$A$210,B496,İndirimler!$B$2:$B$210,C496)),2),"")</f>
        <v>268.8</v>
      </c>
    </row>
    <row r="497" spans="1:9">
      <c r="A497" s="50">
        <v>9786255984937</v>
      </c>
      <c r="B497" t="s">
        <v>861</v>
      </c>
      <c r="C497" t="s">
        <v>825</v>
      </c>
      <c r="D497" t="s">
        <v>786</v>
      </c>
      <c r="F497" t="s">
        <v>16</v>
      </c>
      <c r="G497">
        <v>408</v>
      </c>
      <c r="H497" s="18">
        <f>IF(SUMIFS(İndirimler!$C$2:$C$210,İndirimler!$A$2:$A$210,B497,İndirimler!$B$2:$B$210,C497)&gt;0,ROUND(G497*(1-SUMIFS(İndirimler!$C$2:$C$210,İndirimler!$A$2:$A$210,B497,İndirimler!$B$2:$B$210,C497)),2),"")</f>
        <v>346.8</v>
      </c>
      <c r="I497" s="21">
        <f>IF(SUMIFS(İndirimler!$D$2:$D$210,İndirimler!$A$2:$A$210,B497,İndirimler!$B$2:$B$210,C497)&gt;0,ROUND(G497*(1-SUMIFS(İndirimler!$D$2:$D$210,İndirimler!$A$2:$A$210,B497,İndirimler!$B$2:$B$210,C497)),2),"")</f>
        <v>285.60000000000002</v>
      </c>
    </row>
    <row r="498" spans="1:9">
      <c r="A498" s="50">
        <v>9786255676115</v>
      </c>
      <c r="B498" t="s">
        <v>861</v>
      </c>
      <c r="C498" t="s">
        <v>830</v>
      </c>
      <c r="D498" t="s">
        <v>120</v>
      </c>
      <c r="F498" t="s">
        <v>42</v>
      </c>
      <c r="G498">
        <v>492</v>
      </c>
      <c r="H498" s="18">
        <f>IF(SUMIFS(İndirimler!$C$2:$C$210,İndirimler!$A$2:$A$210,B498,İndirimler!$B$2:$B$210,C498)&gt;0,ROUND(G498*(1-SUMIFS(İndirimler!$C$2:$C$210,İndirimler!$A$2:$A$210,B498,İndirimler!$B$2:$B$210,C498)),2),"")</f>
        <v>418.2</v>
      </c>
      <c r="I498" s="21">
        <f>IF(SUMIFS(İndirimler!$D$2:$D$210,İndirimler!$A$2:$A$210,B498,İndirimler!$B$2:$B$210,C498)&gt;0,ROUND(G498*(1-SUMIFS(İndirimler!$D$2:$D$210,İndirimler!$A$2:$A$210,B498,İndirimler!$B$2:$B$210,C498)),2),"")</f>
        <v>344.4</v>
      </c>
    </row>
    <row r="499" spans="1:9">
      <c r="A499" s="50">
        <v>9786255676221</v>
      </c>
      <c r="B499" t="s">
        <v>861</v>
      </c>
      <c r="C499" t="s">
        <v>830</v>
      </c>
      <c r="D499" t="s">
        <v>14</v>
      </c>
      <c r="F499" t="s">
        <v>42</v>
      </c>
      <c r="G499">
        <v>516</v>
      </c>
      <c r="H499" s="18">
        <f>IF(SUMIFS(İndirimler!$C$2:$C$210,İndirimler!$A$2:$A$210,B499,İndirimler!$B$2:$B$210,C499)&gt;0,ROUND(G499*(1-SUMIFS(İndirimler!$C$2:$C$210,İndirimler!$A$2:$A$210,B499,İndirimler!$B$2:$B$210,C499)),2),"")</f>
        <v>438.6</v>
      </c>
      <c r="I499" s="21">
        <f>IF(SUMIFS(İndirimler!$D$2:$D$210,İndirimler!$A$2:$A$210,B499,İndirimler!$B$2:$B$210,C499)&gt;0,ROUND(G499*(1-SUMIFS(İndirimler!$D$2:$D$210,İndirimler!$A$2:$A$210,B499,İndirimler!$B$2:$B$210,C499)),2),"")</f>
        <v>361.2</v>
      </c>
    </row>
    <row r="500" spans="1:9">
      <c r="A500" s="50">
        <v>9786255676061</v>
      </c>
      <c r="B500" t="s">
        <v>861</v>
      </c>
      <c r="C500" t="s">
        <v>830</v>
      </c>
      <c r="D500" t="s">
        <v>862</v>
      </c>
      <c r="F500" t="s">
        <v>42</v>
      </c>
      <c r="G500">
        <v>516</v>
      </c>
      <c r="H500" s="18">
        <f>IF(SUMIFS(İndirimler!$C$2:$C$210,İndirimler!$A$2:$A$210,B500,İndirimler!$B$2:$B$210,C500)&gt;0,ROUND(G500*(1-SUMIFS(İndirimler!$C$2:$C$210,İndirimler!$A$2:$A$210,B500,İndirimler!$B$2:$B$210,C500)),2),"")</f>
        <v>438.6</v>
      </c>
      <c r="I500" s="21">
        <f>IF(SUMIFS(İndirimler!$D$2:$D$210,İndirimler!$A$2:$A$210,B500,İndirimler!$B$2:$B$210,C500)&gt;0,ROUND(G500*(1-SUMIFS(İndirimler!$D$2:$D$210,İndirimler!$A$2:$A$210,B500,İndirimler!$B$2:$B$210,C500)),2),"")</f>
        <v>361.2</v>
      </c>
    </row>
    <row r="501" spans="1:9">
      <c r="A501" s="50">
        <v>9786255676276</v>
      </c>
      <c r="B501" t="s">
        <v>861</v>
      </c>
      <c r="C501" t="s">
        <v>830</v>
      </c>
      <c r="D501" t="s">
        <v>863</v>
      </c>
      <c r="F501" t="s">
        <v>42</v>
      </c>
      <c r="G501">
        <v>516</v>
      </c>
      <c r="H501" s="18">
        <f>IF(SUMIFS(İndirimler!$C$2:$C$210,İndirimler!$A$2:$A$210,B501,İndirimler!$B$2:$B$210,C501)&gt;0,ROUND(G501*(1-SUMIFS(İndirimler!$C$2:$C$210,İndirimler!$A$2:$A$210,B501,İndirimler!$B$2:$B$210,C501)),2),"")</f>
        <v>438.6</v>
      </c>
      <c r="I501" s="21">
        <f>IF(SUMIFS(İndirimler!$D$2:$D$210,İndirimler!$A$2:$A$210,B501,İndirimler!$B$2:$B$210,C501)&gt;0,ROUND(G501*(1-SUMIFS(İndirimler!$D$2:$D$210,İndirimler!$A$2:$A$210,B501,İndirimler!$B$2:$B$210,C501)),2),"")</f>
        <v>361.2</v>
      </c>
    </row>
    <row r="502" spans="1:9">
      <c r="A502" s="50">
        <v>9786255676214</v>
      </c>
      <c r="B502" t="s">
        <v>861</v>
      </c>
      <c r="C502" t="s">
        <v>830</v>
      </c>
      <c r="D502" t="s">
        <v>786</v>
      </c>
      <c r="F502" t="s">
        <v>42</v>
      </c>
      <c r="G502">
        <v>396</v>
      </c>
      <c r="H502" s="18">
        <f>IF(SUMIFS(İndirimler!$C$2:$C$210,İndirimler!$A$2:$A$210,B502,İndirimler!$B$2:$B$210,C502)&gt;0,ROUND(G502*(1-SUMIFS(İndirimler!$C$2:$C$210,İndirimler!$A$2:$A$210,B502,İndirimler!$B$2:$B$210,C502)),2),"")</f>
        <v>336.6</v>
      </c>
      <c r="I502" s="21">
        <f>IF(SUMIFS(İndirimler!$D$2:$D$210,İndirimler!$A$2:$A$210,B502,İndirimler!$B$2:$B$210,C502)&gt;0,ROUND(G502*(1-SUMIFS(İndirimler!$D$2:$D$210,İndirimler!$A$2:$A$210,B502,İndirimler!$B$2:$B$210,C502)),2),"")</f>
        <v>277.2</v>
      </c>
    </row>
    <row r="503" spans="1:9">
      <c r="A503" s="50">
        <v>9786255676467</v>
      </c>
      <c r="B503" t="s">
        <v>861</v>
      </c>
      <c r="C503" t="s">
        <v>830</v>
      </c>
      <c r="D503" t="s">
        <v>120</v>
      </c>
      <c r="F503" t="s">
        <v>16</v>
      </c>
      <c r="G503">
        <v>504</v>
      </c>
      <c r="H503" s="18">
        <f>IF(SUMIFS(İndirimler!$C$2:$C$210,İndirimler!$A$2:$A$210,B503,İndirimler!$B$2:$B$210,C503)&gt;0,ROUND(G503*(1-SUMIFS(İndirimler!$C$2:$C$210,İndirimler!$A$2:$A$210,B503,İndirimler!$B$2:$B$210,C503)),2),"")</f>
        <v>428.4</v>
      </c>
      <c r="I503" s="21">
        <f>IF(SUMIFS(İndirimler!$D$2:$D$210,İndirimler!$A$2:$A$210,B503,İndirimler!$B$2:$B$210,C503)&gt;0,ROUND(G503*(1-SUMIFS(İndirimler!$D$2:$D$210,İndirimler!$A$2:$A$210,B503,İndirimler!$B$2:$B$210,C503)),2),"")</f>
        <v>352.8</v>
      </c>
    </row>
    <row r="504" spans="1:9">
      <c r="A504" s="50">
        <v>9786255676566</v>
      </c>
      <c r="B504" t="s">
        <v>861</v>
      </c>
      <c r="C504" t="s">
        <v>830</v>
      </c>
      <c r="D504" t="s">
        <v>14</v>
      </c>
      <c r="F504" t="s">
        <v>16</v>
      </c>
      <c r="G504">
        <v>504</v>
      </c>
      <c r="H504" s="18">
        <f>IF(SUMIFS(İndirimler!$C$2:$C$210,İndirimler!$A$2:$A$210,B504,İndirimler!$B$2:$B$210,C504)&gt;0,ROUND(G504*(1-SUMIFS(İndirimler!$C$2:$C$210,İndirimler!$A$2:$A$210,B504,İndirimler!$B$2:$B$210,C504)),2),"")</f>
        <v>428.4</v>
      </c>
      <c r="I504" s="21">
        <f>IF(SUMIFS(İndirimler!$D$2:$D$210,İndirimler!$A$2:$A$210,B504,İndirimler!$B$2:$B$210,C504)&gt;0,ROUND(G504*(1-SUMIFS(İndirimler!$D$2:$D$210,İndirimler!$A$2:$A$210,B504,İndirimler!$B$2:$B$210,C504)),2),"")</f>
        <v>352.8</v>
      </c>
    </row>
    <row r="505" spans="1:9">
      <c r="A505" s="50">
        <v>9786255676511</v>
      </c>
      <c r="B505" t="s">
        <v>861</v>
      </c>
      <c r="C505" t="s">
        <v>830</v>
      </c>
      <c r="D505" t="s">
        <v>862</v>
      </c>
      <c r="F505" t="s">
        <v>16</v>
      </c>
      <c r="G505">
        <v>444</v>
      </c>
      <c r="H505" s="18">
        <f>IF(SUMIFS(İndirimler!$C$2:$C$210,İndirimler!$A$2:$A$210,B505,İndirimler!$B$2:$B$210,C505)&gt;0,ROUND(G505*(1-SUMIFS(İndirimler!$C$2:$C$210,İndirimler!$A$2:$A$210,B505,İndirimler!$B$2:$B$210,C505)),2),"")</f>
        <v>377.4</v>
      </c>
      <c r="I505" s="21">
        <f>IF(SUMIFS(İndirimler!$D$2:$D$210,İndirimler!$A$2:$A$210,B505,İndirimler!$B$2:$B$210,C505)&gt;0,ROUND(G505*(1-SUMIFS(İndirimler!$D$2:$D$210,İndirimler!$A$2:$A$210,B505,İndirimler!$B$2:$B$210,C505)),2),"")</f>
        <v>310.8</v>
      </c>
    </row>
    <row r="506" spans="1:9">
      <c r="A506" s="50">
        <v>9786255676610</v>
      </c>
      <c r="B506" t="s">
        <v>861</v>
      </c>
      <c r="C506" t="s">
        <v>830</v>
      </c>
      <c r="D506" t="s">
        <v>863</v>
      </c>
      <c r="F506" t="s">
        <v>16</v>
      </c>
      <c r="G506">
        <v>504</v>
      </c>
      <c r="H506" s="18">
        <f>IF(SUMIFS(İndirimler!$C$2:$C$210,İndirimler!$A$2:$A$210,B506,İndirimler!$B$2:$B$210,C506)&gt;0,ROUND(G506*(1-SUMIFS(İndirimler!$C$2:$C$210,İndirimler!$A$2:$A$210,B506,İndirimler!$B$2:$B$210,C506)),2),"")</f>
        <v>428.4</v>
      </c>
      <c r="I506" s="21">
        <f>IF(SUMIFS(İndirimler!$D$2:$D$210,İndirimler!$A$2:$A$210,B506,İndirimler!$B$2:$B$210,C506)&gt;0,ROUND(G506*(1-SUMIFS(İndirimler!$D$2:$D$210,İndirimler!$A$2:$A$210,B506,İndirimler!$B$2:$B$210,C506)),2),"")</f>
        <v>352.8</v>
      </c>
    </row>
    <row r="507" spans="1:9">
      <c r="A507" s="50">
        <v>9786255676405</v>
      </c>
      <c r="B507" t="s">
        <v>861</v>
      </c>
      <c r="C507" t="s">
        <v>830</v>
      </c>
      <c r="D507" t="s">
        <v>786</v>
      </c>
      <c r="F507" t="s">
        <v>16</v>
      </c>
      <c r="G507">
        <v>384</v>
      </c>
      <c r="H507" s="18">
        <f>IF(SUMIFS(İndirimler!$C$2:$C$210,İndirimler!$A$2:$A$210,B507,İndirimler!$B$2:$B$210,C507)&gt;0,ROUND(G507*(1-SUMIFS(İndirimler!$C$2:$C$210,İndirimler!$A$2:$A$210,B507,İndirimler!$B$2:$B$210,C507)),2),"")</f>
        <v>326.39999999999998</v>
      </c>
      <c r="I507" s="21">
        <f>IF(SUMIFS(İndirimler!$D$2:$D$210,İndirimler!$A$2:$A$210,B507,İndirimler!$B$2:$B$210,C507)&gt;0,ROUND(G507*(1-SUMIFS(İndirimler!$D$2:$D$210,İndirimler!$A$2:$A$210,B507,İndirimler!$B$2:$B$210,C507)),2),"")</f>
        <v>268.8</v>
      </c>
    </row>
    <row r="508" spans="1:9">
      <c r="A508" s="50">
        <v>9786255676795</v>
      </c>
      <c r="B508" t="s">
        <v>861</v>
      </c>
      <c r="C508" t="s">
        <v>832</v>
      </c>
      <c r="D508" t="s">
        <v>120</v>
      </c>
      <c r="F508" t="s">
        <v>42</v>
      </c>
      <c r="G508">
        <v>576</v>
      </c>
      <c r="H508" s="18">
        <f>IF(SUMIFS(İndirimler!$C$2:$C$210,İndirimler!$A$2:$A$210,B508,İndirimler!$B$2:$B$210,C508)&gt;0,ROUND(G508*(1-SUMIFS(İndirimler!$C$2:$C$210,İndirimler!$A$2:$A$210,B508,İndirimler!$B$2:$B$210,C508)),2),"")</f>
        <v>489.6</v>
      </c>
      <c r="I508" s="21">
        <f>IF(SUMIFS(İndirimler!$D$2:$D$210,İndirimler!$A$2:$A$210,B508,İndirimler!$B$2:$B$210,C508)&gt;0,ROUND(G508*(1-SUMIFS(İndirimler!$D$2:$D$210,İndirimler!$A$2:$A$210,B508,İndirimler!$B$2:$B$210,C508)),2),"")</f>
        <v>403.2</v>
      </c>
    </row>
    <row r="509" spans="1:9">
      <c r="A509" s="50">
        <v>9786255676788</v>
      </c>
      <c r="B509" t="s">
        <v>861</v>
      </c>
      <c r="C509" t="s">
        <v>832</v>
      </c>
      <c r="D509" t="s">
        <v>14</v>
      </c>
      <c r="F509" t="s">
        <v>42</v>
      </c>
      <c r="G509">
        <v>420</v>
      </c>
      <c r="H509" s="18">
        <f>IF(SUMIFS(İndirimler!$C$2:$C$210,İndirimler!$A$2:$A$210,B509,İndirimler!$B$2:$B$210,C509)&gt;0,ROUND(G509*(1-SUMIFS(İndirimler!$C$2:$C$210,İndirimler!$A$2:$A$210,B509,İndirimler!$B$2:$B$210,C509)),2),"")</f>
        <v>357</v>
      </c>
      <c r="I509" s="21">
        <f>IF(SUMIFS(İndirimler!$D$2:$D$210,İndirimler!$A$2:$A$210,B509,İndirimler!$B$2:$B$210,C509)&gt;0,ROUND(G509*(1-SUMIFS(İndirimler!$D$2:$D$210,İndirimler!$A$2:$A$210,B509,İndirimler!$B$2:$B$210,C509)),2),"")</f>
        <v>294</v>
      </c>
    </row>
    <row r="510" spans="1:9">
      <c r="A510" s="50">
        <v>9786255676801</v>
      </c>
      <c r="B510" t="s">
        <v>861</v>
      </c>
      <c r="C510" t="s">
        <v>832</v>
      </c>
      <c r="D510" t="s">
        <v>862</v>
      </c>
      <c r="F510" t="s">
        <v>42</v>
      </c>
      <c r="G510">
        <v>504</v>
      </c>
      <c r="H510" s="18">
        <f>IF(SUMIFS(İndirimler!$C$2:$C$210,İndirimler!$A$2:$A$210,B510,İndirimler!$B$2:$B$210,C510)&gt;0,ROUND(G510*(1-SUMIFS(İndirimler!$C$2:$C$210,İndirimler!$A$2:$A$210,B510,İndirimler!$B$2:$B$210,C510)),2),"")</f>
        <v>428.4</v>
      </c>
      <c r="I510" s="21">
        <f>IF(SUMIFS(İndirimler!$D$2:$D$210,İndirimler!$A$2:$A$210,B510,İndirimler!$B$2:$B$210,C510)&gt;0,ROUND(G510*(1-SUMIFS(İndirimler!$D$2:$D$210,İndirimler!$A$2:$A$210,B510,İndirimler!$B$2:$B$210,C510)),2),"")</f>
        <v>352.8</v>
      </c>
    </row>
    <row r="511" spans="1:9">
      <c r="A511" s="50">
        <v>9786255676818</v>
      </c>
      <c r="B511" t="s">
        <v>861</v>
      </c>
      <c r="C511" t="s">
        <v>832</v>
      </c>
      <c r="D511" t="s">
        <v>863</v>
      </c>
      <c r="F511" t="s">
        <v>42</v>
      </c>
      <c r="G511">
        <v>528</v>
      </c>
      <c r="H511" s="18">
        <f>IF(SUMIFS(İndirimler!$C$2:$C$210,İndirimler!$A$2:$A$210,B511,İndirimler!$B$2:$B$210,C511)&gt;0,ROUND(G511*(1-SUMIFS(İndirimler!$C$2:$C$210,İndirimler!$A$2:$A$210,B511,İndirimler!$B$2:$B$210,C511)),2),"")</f>
        <v>448.8</v>
      </c>
      <c r="I511" s="21">
        <f>IF(SUMIFS(İndirimler!$D$2:$D$210,İndirimler!$A$2:$A$210,B511,İndirimler!$B$2:$B$210,C511)&gt;0,ROUND(G511*(1-SUMIFS(İndirimler!$D$2:$D$210,İndirimler!$A$2:$A$210,B511,İndirimler!$B$2:$B$210,C511)),2),"")</f>
        <v>369.6</v>
      </c>
    </row>
    <row r="512" spans="1:9">
      <c r="A512" s="50" t="s">
        <v>864</v>
      </c>
      <c r="B512" t="s">
        <v>861</v>
      </c>
      <c r="C512" t="s">
        <v>832</v>
      </c>
      <c r="D512" t="s">
        <v>786</v>
      </c>
      <c r="F512" t="s">
        <v>42</v>
      </c>
      <c r="G512">
        <v>504</v>
      </c>
      <c r="H512" s="18">
        <f>IF(SUMIFS(İndirimler!$C$2:$C$210,İndirimler!$A$2:$A$210,B512,İndirimler!$B$2:$B$210,C512)&gt;0,ROUND(G512*(1-SUMIFS(İndirimler!$C$2:$C$210,İndirimler!$A$2:$A$210,B512,İndirimler!$B$2:$B$210,C512)),2),"")</f>
        <v>428.4</v>
      </c>
      <c r="I512" s="21">
        <f>IF(SUMIFS(İndirimler!$D$2:$D$210,İndirimler!$A$2:$A$210,B512,İndirimler!$B$2:$B$210,C512)&gt;0,ROUND(G512*(1-SUMIFS(İndirimler!$D$2:$D$210,İndirimler!$A$2:$A$210,B512,İndirimler!$B$2:$B$210,C512)),2),"")</f>
        <v>352.8</v>
      </c>
    </row>
    <row r="513" spans="1:9">
      <c r="A513" s="50">
        <v>9786255676696</v>
      </c>
      <c r="B513" t="s">
        <v>861</v>
      </c>
      <c r="C513" t="s">
        <v>832</v>
      </c>
      <c r="D513" t="s">
        <v>120</v>
      </c>
      <c r="F513" t="s">
        <v>16</v>
      </c>
      <c r="G513">
        <v>576</v>
      </c>
      <c r="H513" s="18">
        <f>IF(SUMIFS(İndirimler!$C$2:$C$210,İndirimler!$A$2:$A$210,B513,İndirimler!$B$2:$B$210,C513)&gt;0,ROUND(G513*(1-SUMIFS(İndirimler!$C$2:$C$210,İndirimler!$A$2:$A$210,B513,İndirimler!$B$2:$B$210,C513)),2),"")</f>
        <v>489.6</v>
      </c>
      <c r="I513" s="21">
        <f>IF(SUMIFS(İndirimler!$D$2:$D$210,İndirimler!$A$2:$A$210,B513,İndirimler!$B$2:$B$210,C513)&gt;0,ROUND(G513*(1-SUMIFS(İndirimler!$D$2:$D$210,İndirimler!$A$2:$A$210,B513,İndirimler!$B$2:$B$210,C513)),2),"")</f>
        <v>403.2</v>
      </c>
    </row>
    <row r="514" spans="1:9">
      <c r="A514" s="50">
        <v>9786255676757</v>
      </c>
      <c r="B514" t="s">
        <v>861</v>
      </c>
      <c r="C514" t="s">
        <v>832</v>
      </c>
      <c r="D514" t="s">
        <v>14</v>
      </c>
      <c r="F514" t="s">
        <v>16</v>
      </c>
      <c r="G514">
        <v>492</v>
      </c>
      <c r="H514" s="18">
        <f>IF(SUMIFS(İndirimler!$C$2:$C$210,İndirimler!$A$2:$A$210,B514,İndirimler!$B$2:$B$210,C514)&gt;0,ROUND(G514*(1-SUMIFS(İndirimler!$C$2:$C$210,İndirimler!$A$2:$A$210,B514,İndirimler!$B$2:$B$210,C514)),2),"")</f>
        <v>418.2</v>
      </c>
      <c r="I514" s="21">
        <f>IF(SUMIFS(İndirimler!$D$2:$D$210,İndirimler!$A$2:$A$210,B514,İndirimler!$B$2:$B$210,C514)&gt;0,ROUND(G514*(1-SUMIFS(İndirimler!$D$2:$D$210,İndirimler!$A$2:$A$210,B514,İndirimler!$B$2:$B$210,C514)),2),"")</f>
        <v>344.4</v>
      </c>
    </row>
    <row r="515" spans="1:9">
      <c r="A515" s="50">
        <v>9786255676726</v>
      </c>
      <c r="B515" t="s">
        <v>861</v>
      </c>
      <c r="C515" t="s">
        <v>832</v>
      </c>
      <c r="D515" t="s">
        <v>862</v>
      </c>
      <c r="F515" t="s">
        <v>16</v>
      </c>
      <c r="G515">
        <v>540</v>
      </c>
      <c r="H515" s="18">
        <f>IF(SUMIFS(İndirimler!$C$2:$C$210,İndirimler!$A$2:$A$210,B515,İndirimler!$B$2:$B$210,C515)&gt;0,ROUND(G515*(1-SUMIFS(İndirimler!$C$2:$C$210,İndirimler!$A$2:$A$210,B515,İndirimler!$B$2:$B$210,C515)),2),"")</f>
        <v>459</v>
      </c>
      <c r="I515" s="21">
        <f>IF(SUMIFS(İndirimler!$D$2:$D$210,İndirimler!$A$2:$A$210,B515,İndirimler!$B$2:$B$210,C515)&gt;0,ROUND(G515*(1-SUMIFS(İndirimler!$D$2:$D$210,İndirimler!$A$2:$A$210,B515,İndirimler!$B$2:$B$210,C515)),2),"")</f>
        <v>378</v>
      </c>
    </row>
    <row r="516" spans="1:9">
      <c r="A516" s="50">
        <v>9786255676665</v>
      </c>
      <c r="B516" t="s">
        <v>861</v>
      </c>
      <c r="C516" t="s">
        <v>832</v>
      </c>
      <c r="D516" t="s">
        <v>863</v>
      </c>
      <c r="F516" t="s">
        <v>16</v>
      </c>
      <c r="G516">
        <v>432</v>
      </c>
      <c r="H516" s="18">
        <f>IF(SUMIFS(İndirimler!$C$2:$C$210,İndirimler!$A$2:$A$210,B516,İndirimler!$B$2:$B$210,C516)&gt;0,ROUND(G516*(1-SUMIFS(İndirimler!$C$2:$C$210,İndirimler!$A$2:$A$210,B516,İndirimler!$B$2:$B$210,C516)),2),"")</f>
        <v>367.2</v>
      </c>
      <c r="I516" s="21">
        <f>IF(SUMIFS(İndirimler!$D$2:$D$210,İndirimler!$A$2:$A$210,B516,İndirimler!$B$2:$B$210,C516)&gt;0,ROUND(G516*(1-SUMIFS(İndirimler!$D$2:$D$210,İndirimler!$A$2:$A$210,B516,İndirimler!$B$2:$B$210,C516)),2),"")</f>
        <v>302.39999999999998</v>
      </c>
    </row>
    <row r="517" spans="1:9">
      <c r="A517" s="50" t="s">
        <v>864</v>
      </c>
      <c r="B517" t="s">
        <v>861</v>
      </c>
      <c r="C517" t="s">
        <v>832</v>
      </c>
      <c r="D517" t="s">
        <v>786</v>
      </c>
      <c r="F517" t="s">
        <v>16</v>
      </c>
      <c r="G517">
        <v>396</v>
      </c>
      <c r="H517" s="18">
        <f>IF(SUMIFS(İndirimler!$C$2:$C$210,İndirimler!$A$2:$A$210,B517,İndirimler!$B$2:$B$210,C517)&gt;0,ROUND(G517*(1-SUMIFS(İndirimler!$C$2:$C$210,İndirimler!$A$2:$A$210,B517,İndirimler!$B$2:$B$210,C517)),2),"")</f>
        <v>336.6</v>
      </c>
      <c r="I517" s="21">
        <f>IF(SUMIFS(İndirimler!$D$2:$D$210,İndirimler!$A$2:$A$210,B517,İndirimler!$B$2:$B$210,C517)&gt;0,ROUND(G517*(1-SUMIFS(İndirimler!$D$2:$D$210,İndirimler!$A$2:$A$210,B517,İndirimler!$B$2:$B$210,C517)),2),"")</f>
        <v>277.2</v>
      </c>
    </row>
    <row r="518" spans="1:9">
      <c r="A518" s="50">
        <v>9786255984456</v>
      </c>
      <c r="B518" t="s">
        <v>861</v>
      </c>
      <c r="C518" t="s">
        <v>833</v>
      </c>
      <c r="D518" t="s">
        <v>120</v>
      </c>
      <c r="F518" t="s">
        <v>42</v>
      </c>
      <c r="G518">
        <v>576</v>
      </c>
      <c r="H518" s="18">
        <f>IF(SUMIFS(İndirimler!$C$2:$C$210,İndirimler!$A$2:$A$210,B518,İndirimler!$B$2:$B$210,C518)&gt;0,ROUND(G518*(1-SUMIFS(İndirimler!$C$2:$C$210,İndirimler!$A$2:$A$210,B518,İndirimler!$B$2:$B$210,C518)),2),"")</f>
        <v>489.6</v>
      </c>
      <c r="I518" s="21">
        <f>IF(SUMIFS(İndirimler!$D$2:$D$210,İndirimler!$A$2:$A$210,B518,İndirimler!$B$2:$B$210,C518)&gt;0,ROUND(G518*(1-SUMIFS(İndirimler!$D$2:$D$210,İndirimler!$A$2:$A$210,B518,İndirimler!$B$2:$B$210,C518)),2),"")</f>
        <v>403.2</v>
      </c>
    </row>
    <row r="519" spans="1:9">
      <c r="A519" s="50">
        <v>9786255984487</v>
      </c>
      <c r="B519" t="s">
        <v>861</v>
      </c>
      <c r="C519" t="s">
        <v>833</v>
      </c>
      <c r="D519" t="s">
        <v>14</v>
      </c>
      <c r="F519" t="s">
        <v>42</v>
      </c>
      <c r="G519">
        <v>420</v>
      </c>
      <c r="H519" s="18">
        <f>IF(SUMIFS(İndirimler!$C$2:$C$210,İndirimler!$A$2:$A$210,B519,İndirimler!$B$2:$B$210,C519)&gt;0,ROUND(G519*(1-SUMIFS(İndirimler!$C$2:$C$210,İndirimler!$A$2:$A$210,B519,İndirimler!$B$2:$B$210,C519)),2),"")</f>
        <v>357</v>
      </c>
      <c r="I519" s="21">
        <f>IF(SUMIFS(İndirimler!$D$2:$D$210,İndirimler!$A$2:$A$210,B519,İndirimler!$B$2:$B$210,C519)&gt;0,ROUND(G519*(1-SUMIFS(İndirimler!$D$2:$D$210,İndirimler!$A$2:$A$210,B519,İndirimler!$B$2:$B$210,C519)),2),"")</f>
        <v>294</v>
      </c>
    </row>
    <row r="520" spans="1:9">
      <c r="A520" s="50">
        <v>9786255984494</v>
      </c>
      <c r="B520" t="s">
        <v>861</v>
      </c>
      <c r="C520" t="s">
        <v>833</v>
      </c>
      <c r="D520" t="s">
        <v>862</v>
      </c>
      <c r="F520" t="s">
        <v>42</v>
      </c>
      <c r="G520">
        <v>504</v>
      </c>
      <c r="H520" s="18">
        <f>IF(SUMIFS(İndirimler!$C$2:$C$210,İndirimler!$A$2:$A$210,B520,İndirimler!$B$2:$B$210,C520)&gt;0,ROUND(G520*(1-SUMIFS(İndirimler!$C$2:$C$210,İndirimler!$A$2:$A$210,B520,İndirimler!$B$2:$B$210,C520)),2),"")</f>
        <v>428.4</v>
      </c>
      <c r="I520" s="21">
        <f>IF(SUMIFS(İndirimler!$D$2:$D$210,İndirimler!$A$2:$A$210,B520,İndirimler!$B$2:$B$210,C520)&gt;0,ROUND(G520*(1-SUMIFS(İndirimler!$D$2:$D$210,İndirimler!$A$2:$A$210,B520,İndirimler!$B$2:$B$210,C520)),2),"")</f>
        <v>352.8</v>
      </c>
    </row>
    <row r="521" spans="1:9">
      <c r="A521" s="50">
        <v>9786255984449</v>
      </c>
      <c r="B521" t="s">
        <v>861</v>
      </c>
      <c r="C521" t="s">
        <v>833</v>
      </c>
      <c r="D521" t="s">
        <v>865</v>
      </c>
      <c r="F521" t="s">
        <v>42</v>
      </c>
      <c r="G521">
        <v>528</v>
      </c>
      <c r="H521" s="18">
        <f>IF(SUMIFS(İndirimler!$C$2:$C$210,İndirimler!$A$2:$A$210,B521,İndirimler!$B$2:$B$210,C521)&gt;0,ROUND(G521*(1-SUMIFS(İndirimler!$C$2:$C$210,İndirimler!$A$2:$A$210,B521,İndirimler!$B$2:$B$210,C521)),2),"")</f>
        <v>448.8</v>
      </c>
      <c r="I521" s="21">
        <f>IF(SUMIFS(İndirimler!$D$2:$D$210,İndirimler!$A$2:$A$210,B521,İndirimler!$B$2:$B$210,C521)&gt;0,ROUND(G521*(1-SUMIFS(İndirimler!$D$2:$D$210,İndirimler!$A$2:$A$210,B521,İndirimler!$B$2:$B$210,C521)),2),"")</f>
        <v>369.6</v>
      </c>
    </row>
    <row r="522" spans="1:9">
      <c r="A522" s="50">
        <v>9786255984463</v>
      </c>
      <c r="B522" t="s">
        <v>861</v>
      </c>
      <c r="C522" t="s">
        <v>833</v>
      </c>
      <c r="D522" t="s">
        <v>866</v>
      </c>
      <c r="F522" t="s">
        <v>42</v>
      </c>
      <c r="G522">
        <v>504</v>
      </c>
      <c r="H522" s="18">
        <f>IF(SUMIFS(İndirimler!$C$2:$C$210,İndirimler!$A$2:$A$210,B522,İndirimler!$B$2:$B$210,C522)&gt;0,ROUND(G522*(1-SUMIFS(İndirimler!$C$2:$C$210,İndirimler!$A$2:$A$210,B522,İndirimler!$B$2:$B$210,C522)),2),"")</f>
        <v>428.4</v>
      </c>
      <c r="I522" s="21">
        <f>IF(SUMIFS(İndirimler!$D$2:$D$210,İndirimler!$A$2:$A$210,B522,İndirimler!$B$2:$B$210,C522)&gt;0,ROUND(G522*(1-SUMIFS(İndirimler!$D$2:$D$210,İndirimler!$A$2:$A$210,B522,İndirimler!$B$2:$B$210,C522)),2),"")</f>
        <v>352.8</v>
      </c>
    </row>
    <row r="523" spans="1:9">
      <c r="A523" s="50">
        <v>9786255984470</v>
      </c>
      <c r="B523" t="s">
        <v>861</v>
      </c>
      <c r="C523" t="s">
        <v>833</v>
      </c>
      <c r="D523" t="s">
        <v>786</v>
      </c>
      <c r="F523" t="s">
        <v>42</v>
      </c>
      <c r="G523">
        <v>504</v>
      </c>
      <c r="H523" s="18">
        <f>IF(SUMIFS(İndirimler!$C$2:$C$210,İndirimler!$A$2:$A$210,B523,İndirimler!$B$2:$B$210,C523)&gt;0,ROUND(G523*(1-SUMIFS(İndirimler!$C$2:$C$210,İndirimler!$A$2:$A$210,B523,İndirimler!$B$2:$B$210,C523)),2),"")</f>
        <v>428.4</v>
      </c>
      <c r="I523" s="21">
        <f>IF(SUMIFS(İndirimler!$D$2:$D$210,İndirimler!$A$2:$A$210,B523,İndirimler!$B$2:$B$210,C523)&gt;0,ROUND(G523*(1-SUMIFS(İndirimler!$D$2:$D$210,İndirimler!$A$2:$A$210,B523,İndirimler!$B$2:$B$210,C523)),2),"")</f>
        <v>352.8</v>
      </c>
    </row>
    <row r="524" spans="1:9">
      <c r="A524" s="50">
        <v>9786259783246</v>
      </c>
      <c r="B524" t="s">
        <v>861</v>
      </c>
      <c r="C524" t="s">
        <v>833</v>
      </c>
      <c r="D524" t="s">
        <v>120</v>
      </c>
      <c r="F524" t="s">
        <v>16</v>
      </c>
      <c r="G524">
        <v>576</v>
      </c>
      <c r="H524" s="18">
        <f>IF(SUMIFS(İndirimler!$C$2:$C$210,İndirimler!$A$2:$A$210,B524,İndirimler!$B$2:$B$210,C524)&gt;0,ROUND(G524*(1-SUMIFS(İndirimler!$C$2:$C$210,İndirimler!$A$2:$A$210,B524,İndirimler!$B$2:$B$210,C524)),2),"")</f>
        <v>489.6</v>
      </c>
      <c r="I524" s="21">
        <f>IF(SUMIFS(İndirimler!$D$2:$D$210,İndirimler!$A$2:$A$210,B524,İndirimler!$B$2:$B$210,C524)&gt;0,ROUND(G524*(1-SUMIFS(İndirimler!$D$2:$D$210,İndirimler!$A$2:$A$210,B524,İndirimler!$B$2:$B$210,C524)),2),"")</f>
        <v>403.2</v>
      </c>
    </row>
    <row r="525" spans="1:9">
      <c r="A525" s="50">
        <v>9786259783222</v>
      </c>
      <c r="B525" t="s">
        <v>861</v>
      </c>
      <c r="C525" t="s">
        <v>833</v>
      </c>
      <c r="D525" t="s">
        <v>14</v>
      </c>
      <c r="F525" t="s">
        <v>16</v>
      </c>
      <c r="G525">
        <v>492</v>
      </c>
      <c r="H525" s="18">
        <f>IF(SUMIFS(İndirimler!$C$2:$C$210,İndirimler!$A$2:$A$210,B525,İndirimler!$B$2:$B$210,C525)&gt;0,ROUND(G525*(1-SUMIFS(İndirimler!$C$2:$C$210,İndirimler!$A$2:$A$210,B525,İndirimler!$B$2:$B$210,C525)),2),"")</f>
        <v>418.2</v>
      </c>
      <c r="I525" s="21">
        <f>IF(SUMIFS(İndirimler!$D$2:$D$210,İndirimler!$A$2:$A$210,B525,İndirimler!$B$2:$B$210,C525)&gt;0,ROUND(G525*(1-SUMIFS(İndirimler!$D$2:$D$210,İndirimler!$A$2:$A$210,B525,İndirimler!$B$2:$B$210,C525)),2),"")</f>
        <v>344.4</v>
      </c>
    </row>
    <row r="526" spans="1:9">
      <c r="A526" s="50">
        <v>9786259783277</v>
      </c>
      <c r="B526" t="s">
        <v>861</v>
      </c>
      <c r="C526" t="s">
        <v>833</v>
      </c>
      <c r="D526" t="s">
        <v>862</v>
      </c>
      <c r="F526" t="s">
        <v>16</v>
      </c>
      <c r="G526">
        <v>540</v>
      </c>
      <c r="H526" s="18">
        <f>IF(SUMIFS(İndirimler!$C$2:$C$210,İndirimler!$A$2:$A$210,B526,İndirimler!$B$2:$B$210,C526)&gt;0,ROUND(G526*(1-SUMIFS(İndirimler!$C$2:$C$210,İndirimler!$A$2:$A$210,B526,İndirimler!$B$2:$B$210,C526)),2),"")</f>
        <v>459</v>
      </c>
      <c r="I526" s="21">
        <f>IF(SUMIFS(İndirimler!$D$2:$D$210,İndirimler!$A$2:$A$210,B526,İndirimler!$B$2:$B$210,C526)&gt;0,ROUND(G526*(1-SUMIFS(İndirimler!$D$2:$D$210,İndirimler!$A$2:$A$210,B526,İndirimler!$B$2:$B$210,C526)),2),"")</f>
        <v>378</v>
      </c>
    </row>
    <row r="527" spans="1:9">
      <c r="A527" s="50">
        <v>9786259783260</v>
      </c>
      <c r="B527" t="s">
        <v>861</v>
      </c>
      <c r="C527" t="s">
        <v>833</v>
      </c>
      <c r="D527" t="s">
        <v>865</v>
      </c>
      <c r="F527" t="s">
        <v>16</v>
      </c>
      <c r="G527">
        <v>432</v>
      </c>
      <c r="H527" s="18">
        <f>IF(SUMIFS(İndirimler!$C$2:$C$210,İndirimler!$A$2:$A$210,B527,İndirimler!$B$2:$B$210,C527)&gt;0,ROUND(G527*(1-SUMIFS(İndirimler!$C$2:$C$210,İndirimler!$A$2:$A$210,B527,İndirimler!$B$2:$B$210,C527)),2),"")</f>
        <v>367.2</v>
      </c>
      <c r="I527" s="21">
        <f>IF(SUMIFS(İndirimler!$D$2:$D$210,İndirimler!$A$2:$A$210,B527,İndirimler!$B$2:$B$210,C527)&gt;0,ROUND(G527*(1-SUMIFS(İndirimler!$D$2:$D$210,İndirimler!$A$2:$A$210,B527,İndirimler!$B$2:$B$210,C527)),2),"")</f>
        <v>302.39999999999998</v>
      </c>
    </row>
    <row r="528" spans="1:9">
      <c r="A528" s="50">
        <v>9786259783239</v>
      </c>
      <c r="B528" t="s">
        <v>861</v>
      </c>
      <c r="C528" t="s">
        <v>833</v>
      </c>
      <c r="D528" t="s">
        <v>866</v>
      </c>
      <c r="F528" t="s">
        <v>16</v>
      </c>
      <c r="G528">
        <v>444</v>
      </c>
      <c r="H528" s="18">
        <f>IF(SUMIFS(İndirimler!$C$2:$C$210,İndirimler!$A$2:$A$210,B528,İndirimler!$B$2:$B$210,C528)&gt;0,ROUND(G528*(1-SUMIFS(İndirimler!$C$2:$C$210,İndirimler!$A$2:$A$210,B528,İndirimler!$B$2:$B$210,C528)),2),"")</f>
        <v>377.4</v>
      </c>
      <c r="I528" s="21">
        <f>IF(SUMIFS(İndirimler!$D$2:$D$210,İndirimler!$A$2:$A$210,B528,İndirimler!$B$2:$B$210,C528)&gt;0,ROUND(G528*(1-SUMIFS(İndirimler!$D$2:$D$210,İndirimler!$A$2:$A$210,B528,İndirimler!$B$2:$B$210,C528)),2),"")</f>
        <v>310.8</v>
      </c>
    </row>
    <row r="529" spans="1:10">
      <c r="A529" s="50">
        <v>9786259783253</v>
      </c>
      <c r="B529" t="s">
        <v>861</v>
      </c>
      <c r="C529" t="s">
        <v>833</v>
      </c>
      <c r="D529" t="s">
        <v>786</v>
      </c>
      <c r="F529" t="s">
        <v>16</v>
      </c>
      <c r="G529">
        <v>396</v>
      </c>
      <c r="H529" s="18">
        <f>IF(SUMIFS(İndirimler!$C$2:$C$210,İndirimler!$A$2:$A$210,B529,İndirimler!$B$2:$B$210,C529)&gt;0,ROUND(G529*(1-SUMIFS(İndirimler!$C$2:$C$210,İndirimler!$A$2:$A$210,B529,İndirimler!$B$2:$B$210,C529)),2),"")</f>
        <v>336.6</v>
      </c>
      <c r="I529" s="21">
        <f>IF(SUMIFS(İndirimler!$D$2:$D$210,İndirimler!$A$2:$A$210,B529,İndirimler!$B$2:$B$210,C529)&gt;0,ROUND(G529*(1-SUMIFS(İndirimler!$D$2:$D$210,İndirimler!$A$2:$A$210,B529,İndirimler!$B$2:$B$210,C529)),2),"")</f>
        <v>277.2</v>
      </c>
    </row>
    <row r="530" spans="1:10">
      <c r="A530" s="50">
        <v>9786259783215</v>
      </c>
      <c r="B530" t="s">
        <v>861</v>
      </c>
      <c r="C530" t="s">
        <v>33</v>
      </c>
      <c r="D530" t="s">
        <v>120</v>
      </c>
      <c r="E530" t="s">
        <v>867</v>
      </c>
      <c r="F530" t="s">
        <v>16</v>
      </c>
      <c r="G530">
        <v>319</v>
      </c>
      <c r="H530" s="18">
        <f>IF(SUMIFS(İndirimler!$C$2:$C$210,İndirimler!$A$2:$A$210,B530,İndirimler!$B$2:$B$210,C530)&gt;0,ROUND(G530*(1-SUMIFS(İndirimler!$C$2:$C$210,İndirimler!$A$2:$A$210,B530,İndirimler!$B$2:$B$210,C530)),2),"")</f>
        <v>271.14999999999998</v>
      </c>
      <c r="I530" s="21">
        <f>IF(SUMIFS(İndirimler!$D$2:$D$210,İndirimler!$A$2:$A$210,B530,İndirimler!$B$2:$B$210,C530)&gt;0,ROUND(G530*(1-SUMIFS(İndirimler!$D$2:$D$210,İndirimler!$A$2:$A$210,B530,İndirimler!$B$2:$B$210,C530)),2),"")</f>
        <v>223.3</v>
      </c>
      <c r="J530" s="52" t="s">
        <v>875</v>
      </c>
    </row>
    <row r="531" spans="1:10">
      <c r="A531" s="50">
        <v>9786259483597</v>
      </c>
      <c r="B531" t="s">
        <v>861</v>
      </c>
      <c r="C531" t="s">
        <v>33</v>
      </c>
      <c r="D531" t="s">
        <v>34</v>
      </c>
      <c r="E531" t="s">
        <v>867</v>
      </c>
      <c r="F531" t="s">
        <v>16</v>
      </c>
      <c r="G531">
        <v>286</v>
      </c>
      <c r="H531" s="18">
        <f>IF(SUMIFS(İndirimler!$C$2:$C$210,İndirimler!$A$2:$A$210,B531,İndirimler!$B$2:$B$210,C531)&gt;0,ROUND(G531*(1-SUMIFS(İndirimler!$C$2:$C$210,İndirimler!$A$2:$A$210,B531,İndirimler!$B$2:$B$210,C531)),2),"")</f>
        <v>243.1</v>
      </c>
      <c r="I531" s="21">
        <f>IF(SUMIFS(İndirimler!$D$2:$D$210,İndirimler!$A$2:$A$210,B531,İndirimler!$B$2:$B$210,C531)&gt;0,ROUND(G531*(1-SUMIFS(İndirimler!$D$2:$D$210,İndirimler!$A$2:$A$210,B531,İndirimler!$B$2:$B$210,C531)),2),"")</f>
        <v>200.2</v>
      </c>
      <c r="J531" s="52" t="s">
        <v>874</v>
      </c>
    </row>
    <row r="532" spans="1:10">
      <c r="A532" s="50">
        <v>9786259483573</v>
      </c>
      <c r="B532" t="s">
        <v>861</v>
      </c>
      <c r="C532" t="s">
        <v>33</v>
      </c>
      <c r="D532" t="s">
        <v>304</v>
      </c>
      <c r="E532" t="s">
        <v>867</v>
      </c>
      <c r="F532" t="s">
        <v>16</v>
      </c>
      <c r="G532">
        <v>308</v>
      </c>
      <c r="H532" s="18">
        <f>IF(SUMIFS(İndirimler!$C$2:$C$210,İndirimler!$A$2:$A$210,B532,İndirimler!$B$2:$B$210,C532)&gt;0,ROUND(G532*(1-SUMIFS(İndirimler!$C$2:$C$210,İndirimler!$A$2:$A$210,B532,İndirimler!$B$2:$B$210,C532)),2),"")</f>
        <v>261.8</v>
      </c>
      <c r="I532" s="21">
        <f>IF(SUMIFS(İndirimler!$D$2:$D$210,İndirimler!$A$2:$A$210,B532,İndirimler!$B$2:$B$210,C532)&gt;0,ROUND(G532*(1-SUMIFS(İndirimler!$D$2:$D$210,İndirimler!$A$2:$A$210,B532,İndirimler!$B$2:$B$210,C532)),2),"")</f>
        <v>215.6</v>
      </c>
      <c r="J532" s="52" t="s">
        <v>873</v>
      </c>
    </row>
    <row r="533" spans="1:10">
      <c r="A533" s="50">
        <v>9786259483566</v>
      </c>
      <c r="B533" t="s">
        <v>861</v>
      </c>
      <c r="C533" t="s">
        <v>33</v>
      </c>
      <c r="D533" t="s">
        <v>422</v>
      </c>
      <c r="E533" t="s">
        <v>867</v>
      </c>
      <c r="F533" t="s">
        <v>16</v>
      </c>
      <c r="G533">
        <v>341</v>
      </c>
      <c r="H533" s="18">
        <f>IF(SUMIFS(İndirimler!$C$2:$C$210,İndirimler!$A$2:$A$210,B533,İndirimler!$B$2:$B$210,C533)&gt;0,ROUND(G533*(1-SUMIFS(İndirimler!$C$2:$C$210,İndirimler!$A$2:$A$210,B533,İndirimler!$B$2:$B$210,C533)),2),"")</f>
        <v>289.85000000000002</v>
      </c>
      <c r="I533" s="21">
        <f>IF(SUMIFS(İndirimler!$D$2:$D$210,İndirimler!$A$2:$A$210,B533,İndirimler!$B$2:$B$210,C533)&gt;0,ROUND(G533*(1-SUMIFS(İndirimler!$D$2:$D$210,İndirimler!$A$2:$A$210,B533,İndirimler!$B$2:$B$210,C533)),2),"")</f>
        <v>238.7</v>
      </c>
      <c r="J533" s="52" t="s">
        <v>871</v>
      </c>
    </row>
    <row r="534" spans="1:10">
      <c r="A534" s="50">
        <v>9786259483559</v>
      </c>
      <c r="B534" t="s">
        <v>861</v>
      </c>
      <c r="C534" t="s">
        <v>33</v>
      </c>
      <c r="D534" t="s">
        <v>527</v>
      </c>
      <c r="E534" t="s">
        <v>867</v>
      </c>
      <c r="F534" t="s">
        <v>16</v>
      </c>
      <c r="G534">
        <v>352</v>
      </c>
      <c r="H534" s="18">
        <f>IF(SUMIFS(İndirimler!$C$2:$C$210,İndirimler!$A$2:$A$210,B534,İndirimler!$B$2:$B$210,C534)&gt;0,ROUND(G534*(1-SUMIFS(İndirimler!$C$2:$C$210,İndirimler!$A$2:$A$210,B534,İndirimler!$B$2:$B$210,C534)),2),"")</f>
        <v>299.2</v>
      </c>
      <c r="I534" s="21">
        <f>IF(SUMIFS(İndirimler!$D$2:$D$210,İndirimler!$A$2:$A$210,B534,İndirimler!$B$2:$B$210,C534)&gt;0,ROUND(G534*(1-SUMIFS(İndirimler!$D$2:$D$210,İndirimler!$A$2:$A$210,B534,İndirimler!$B$2:$B$210,C534)),2),"")</f>
        <v>246.4</v>
      </c>
      <c r="J534" s="52" t="s">
        <v>872</v>
      </c>
    </row>
    <row r="535" spans="1:10">
      <c r="A535" s="50">
        <v>9786259483580</v>
      </c>
      <c r="B535" t="s">
        <v>861</v>
      </c>
      <c r="C535" t="s">
        <v>33</v>
      </c>
      <c r="D535" t="s">
        <v>631</v>
      </c>
      <c r="E535" t="s">
        <v>867</v>
      </c>
      <c r="F535" t="s">
        <v>16</v>
      </c>
      <c r="G535">
        <v>286</v>
      </c>
      <c r="H535" s="18">
        <f>IF(SUMIFS(İndirimler!$C$2:$C$210,İndirimler!$A$2:$A$210,B535,İndirimler!$B$2:$B$210,C535)&gt;0,ROUND(G535*(1-SUMIFS(İndirimler!$C$2:$C$210,İndirimler!$A$2:$A$210,B535,İndirimler!$B$2:$B$210,C535)),2),"")</f>
        <v>243.1</v>
      </c>
      <c r="I535" s="21">
        <f>IF(SUMIFS(İndirimler!$D$2:$D$210,İndirimler!$A$2:$A$210,B535,İndirimler!$B$2:$B$210,C535)&gt;0,ROUND(G535*(1-SUMIFS(İndirimler!$D$2:$D$210,İndirimler!$A$2:$A$210,B535,İndirimler!$B$2:$B$210,C535)),2),"")</f>
        <v>200.2</v>
      </c>
      <c r="J535" s="52" t="s">
        <v>869</v>
      </c>
    </row>
    <row r="536" spans="1:10">
      <c r="A536" s="50">
        <v>9786259783208</v>
      </c>
      <c r="B536" t="s">
        <v>861</v>
      </c>
      <c r="C536" t="s">
        <v>33</v>
      </c>
      <c r="D536" t="s">
        <v>691</v>
      </c>
      <c r="E536" t="s">
        <v>867</v>
      </c>
      <c r="F536" t="s">
        <v>16</v>
      </c>
      <c r="G536">
        <v>374</v>
      </c>
      <c r="H536" s="18">
        <f>IF(SUMIFS(İndirimler!$C$2:$C$210,İndirimler!$A$2:$A$210,B536,İndirimler!$B$2:$B$210,C536)&gt;0,ROUND(G536*(1-SUMIFS(İndirimler!$C$2:$C$210,İndirimler!$A$2:$A$210,B536,İndirimler!$B$2:$B$210,C536)),2),"")</f>
        <v>317.89999999999998</v>
      </c>
      <c r="I536" s="21">
        <f>IF(SUMIFS(İndirimler!$D$2:$D$210,İndirimler!$A$2:$A$210,B536,İndirimler!$B$2:$B$210,C536)&gt;0,ROUND(G536*(1-SUMIFS(İndirimler!$D$2:$D$210,İndirimler!$A$2:$A$210,B536,İndirimler!$B$2:$B$210,C536)),2),"")</f>
        <v>261.8</v>
      </c>
      <c r="J536" s="52" t="s">
        <v>870</v>
      </c>
    </row>
    <row r="537" spans="1:10">
      <c r="A537" s="50">
        <v>9786259483511</v>
      </c>
      <c r="B537" t="s">
        <v>861</v>
      </c>
      <c r="C537" t="s">
        <v>76</v>
      </c>
      <c r="D537" t="s">
        <v>120</v>
      </c>
      <c r="E537" t="s">
        <v>867</v>
      </c>
      <c r="F537" t="s">
        <v>16</v>
      </c>
      <c r="G537">
        <v>429</v>
      </c>
      <c r="H537" s="18">
        <f>IF(SUMIFS(İndirimler!$C$2:$C$210,İndirimler!$A$2:$A$210,B537,İndirimler!$B$2:$B$210,C537)&gt;0,ROUND(G537*(1-SUMIFS(İndirimler!$C$2:$C$210,İndirimler!$A$2:$A$210,B537,İndirimler!$B$2:$B$210,C537)),2),"")</f>
        <v>364.65</v>
      </c>
      <c r="I537" s="21">
        <f>IF(SUMIFS(İndirimler!$D$2:$D$210,İndirimler!$A$2:$A$210,B537,İndirimler!$B$2:$B$210,C537)&gt;0,ROUND(G537*(1-SUMIFS(İndirimler!$D$2:$D$210,İndirimler!$A$2:$A$210,B537,İndirimler!$B$2:$B$210,C537)),2),"")</f>
        <v>300.3</v>
      </c>
      <c r="J537" s="52" t="s">
        <v>876</v>
      </c>
    </row>
    <row r="538" spans="1:10">
      <c r="A538" s="50">
        <v>9786259825380</v>
      </c>
      <c r="B538" t="s">
        <v>861</v>
      </c>
      <c r="C538" t="s">
        <v>76</v>
      </c>
      <c r="D538" t="s">
        <v>34</v>
      </c>
      <c r="E538" t="s">
        <v>867</v>
      </c>
      <c r="F538" t="s">
        <v>16</v>
      </c>
      <c r="G538">
        <v>352</v>
      </c>
      <c r="H538" s="18">
        <f>IF(SUMIFS(İndirimler!$C$2:$C$210,İndirimler!$A$2:$A$210,B538,İndirimler!$B$2:$B$210,C538)&gt;0,ROUND(G538*(1-SUMIFS(İndirimler!$C$2:$C$210,İndirimler!$A$2:$A$210,B538,İndirimler!$B$2:$B$210,C538)),2),"")</f>
        <v>299.2</v>
      </c>
      <c r="I538" s="21">
        <f>IF(SUMIFS(İndirimler!$D$2:$D$210,İndirimler!$A$2:$A$210,B538,İndirimler!$B$2:$B$210,C538)&gt;0,ROUND(G538*(1-SUMIFS(İndirimler!$D$2:$D$210,İndirimler!$A$2:$A$210,B538,İndirimler!$B$2:$B$210,C538)),2),"")</f>
        <v>246.4</v>
      </c>
      <c r="J538" s="52" t="s">
        <v>877</v>
      </c>
    </row>
    <row r="539" spans="1:10">
      <c r="A539" s="50">
        <v>9786259825397</v>
      </c>
      <c r="B539" t="s">
        <v>861</v>
      </c>
      <c r="C539" t="s">
        <v>76</v>
      </c>
      <c r="D539" t="s">
        <v>304</v>
      </c>
      <c r="E539" t="s">
        <v>867</v>
      </c>
      <c r="F539" t="s">
        <v>16</v>
      </c>
      <c r="G539">
        <v>396</v>
      </c>
      <c r="H539" s="18">
        <f>IF(SUMIFS(İndirimler!$C$2:$C$210,İndirimler!$A$2:$A$210,B539,İndirimler!$B$2:$B$210,C539)&gt;0,ROUND(G539*(1-SUMIFS(İndirimler!$C$2:$C$210,İndirimler!$A$2:$A$210,B539,İndirimler!$B$2:$B$210,C539)),2),"")</f>
        <v>336.6</v>
      </c>
      <c r="I539" s="21">
        <f>IF(SUMIFS(İndirimler!$D$2:$D$210,İndirimler!$A$2:$A$210,B539,İndirimler!$B$2:$B$210,C539)&gt;0,ROUND(G539*(1-SUMIFS(İndirimler!$D$2:$D$210,İndirimler!$A$2:$A$210,B539,İndirimler!$B$2:$B$210,C539)),2),"")</f>
        <v>277.2</v>
      </c>
      <c r="J539" s="52" t="s">
        <v>878</v>
      </c>
    </row>
    <row r="540" spans="1:10">
      <c r="A540" s="50">
        <v>9786259483504</v>
      </c>
      <c r="B540" t="s">
        <v>861</v>
      </c>
      <c r="C540" t="s">
        <v>76</v>
      </c>
      <c r="D540" t="s">
        <v>422</v>
      </c>
      <c r="E540" t="s">
        <v>867</v>
      </c>
      <c r="F540" t="s">
        <v>16</v>
      </c>
      <c r="G540">
        <v>374</v>
      </c>
      <c r="H540" s="18">
        <f>IF(SUMIFS(İndirimler!$C$2:$C$210,İndirimler!$A$2:$A$210,B540,İndirimler!$B$2:$B$210,C540)&gt;0,ROUND(G540*(1-SUMIFS(İndirimler!$C$2:$C$210,İndirimler!$A$2:$A$210,B540,İndirimler!$B$2:$B$210,C540)),2),"")</f>
        <v>317.89999999999998</v>
      </c>
      <c r="I540" s="21">
        <f>IF(SUMIFS(İndirimler!$D$2:$D$210,İndirimler!$A$2:$A$210,B540,İndirimler!$B$2:$B$210,C540)&gt;0,ROUND(G540*(1-SUMIFS(İndirimler!$D$2:$D$210,İndirimler!$A$2:$A$210,B540,İndirimler!$B$2:$B$210,C540)),2),"")</f>
        <v>261.8</v>
      </c>
      <c r="J540" s="52" t="s">
        <v>880</v>
      </c>
    </row>
    <row r="541" spans="1:10">
      <c r="A541" s="50">
        <v>9786259483535</v>
      </c>
      <c r="B541" t="s">
        <v>861</v>
      </c>
      <c r="C541" t="s">
        <v>76</v>
      </c>
      <c r="D541" t="s">
        <v>527</v>
      </c>
      <c r="E541" t="s">
        <v>867</v>
      </c>
      <c r="F541" t="s">
        <v>16</v>
      </c>
      <c r="G541">
        <v>374</v>
      </c>
      <c r="H541" s="18">
        <f>IF(SUMIFS(İndirimler!$C$2:$C$210,İndirimler!$A$2:$A$210,B541,İndirimler!$B$2:$B$210,C541)&gt;0,ROUND(G541*(1-SUMIFS(İndirimler!$C$2:$C$210,İndirimler!$A$2:$A$210,B541,İndirimler!$B$2:$B$210,C541)),2),"")</f>
        <v>317.89999999999998</v>
      </c>
      <c r="I541" s="21">
        <f>IF(SUMIFS(İndirimler!$D$2:$D$210,İndirimler!$A$2:$A$210,B541,İndirimler!$B$2:$B$210,C541)&gt;0,ROUND(G541*(1-SUMIFS(İndirimler!$D$2:$D$210,İndirimler!$A$2:$A$210,B541,İndirimler!$B$2:$B$210,C541)),2),"")</f>
        <v>261.8</v>
      </c>
      <c r="J541" s="52" t="s">
        <v>879</v>
      </c>
    </row>
    <row r="542" spans="1:10">
      <c r="A542" s="50">
        <v>9786259483528</v>
      </c>
      <c r="B542" t="s">
        <v>861</v>
      </c>
      <c r="C542" t="s">
        <v>76</v>
      </c>
      <c r="D542" t="s">
        <v>631</v>
      </c>
      <c r="E542" t="s">
        <v>867</v>
      </c>
      <c r="F542" t="s">
        <v>16</v>
      </c>
      <c r="G542">
        <v>330</v>
      </c>
      <c r="H542" s="18">
        <f>IF(SUMIFS(İndirimler!$C$2:$C$210,İndirimler!$A$2:$A$210,B542,İndirimler!$B$2:$B$210,C542)&gt;0,ROUND(G542*(1-SUMIFS(İndirimler!$C$2:$C$210,İndirimler!$A$2:$A$210,B542,İndirimler!$B$2:$B$210,C542)),2),"")</f>
        <v>280.5</v>
      </c>
      <c r="I542" s="21">
        <f>IF(SUMIFS(İndirimler!$D$2:$D$210,İndirimler!$A$2:$A$210,B542,İndirimler!$B$2:$B$210,C542)&gt;0,ROUND(G542*(1-SUMIFS(İndirimler!$D$2:$D$210,İndirimler!$A$2:$A$210,B542,İndirimler!$B$2:$B$210,C542)),2),"")</f>
        <v>231</v>
      </c>
      <c r="J542" s="52" t="s">
        <v>881</v>
      </c>
    </row>
    <row r="543" spans="1:10">
      <c r="A543" s="50">
        <v>9786259483542</v>
      </c>
      <c r="B543" t="s">
        <v>861</v>
      </c>
      <c r="C543" t="s">
        <v>76</v>
      </c>
      <c r="D543" t="s">
        <v>691</v>
      </c>
      <c r="E543" t="s">
        <v>867</v>
      </c>
      <c r="F543" t="s">
        <v>16</v>
      </c>
      <c r="G543">
        <v>374</v>
      </c>
      <c r="H543" s="18">
        <f>IF(SUMIFS(İndirimler!$C$2:$C$210,İndirimler!$A$2:$A$210,B543,İndirimler!$B$2:$B$210,C543)&gt;0,ROUND(G543*(1-SUMIFS(İndirimler!$C$2:$C$210,İndirimler!$A$2:$A$210,B543,İndirimler!$B$2:$B$210,C543)),2),"")</f>
        <v>317.89999999999998</v>
      </c>
      <c r="I543" s="21">
        <f>IF(SUMIFS(İndirimler!$D$2:$D$210,İndirimler!$A$2:$A$210,B543,İndirimler!$B$2:$B$210,C543)&gt;0,ROUND(G543*(1-SUMIFS(İndirimler!$D$2:$D$210,İndirimler!$A$2:$A$210,B543,İndirimler!$B$2:$B$210,C543)),2),"")</f>
        <v>261.8</v>
      </c>
      <c r="J543" s="52" t="s">
        <v>882</v>
      </c>
    </row>
    <row r="544" spans="1:10">
      <c r="A544" s="50">
        <v>9786259825328</v>
      </c>
      <c r="B544" t="s">
        <v>861</v>
      </c>
      <c r="C544" t="s">
        <v>868</v>
      </c>
      <c r="D544" t="s">
        <v>120</v>
      </c>
      <c r="E544" t="s">
        <v>867</v>
      </c>
      <c r="F544" t="s">
        <v>16</v>
      </c>
      <c r="G544">
        <v>542</v>
      </c>
      <c r="H544" s="18">
        <f>IF(SUMIFS(İndirimler!$C$2:$C$210,İndirimler!$A$2:$A$210,B544,İndirimler!$B$2:$B$210,C544)&gt;0,ROUND(G544*(1-SUMIFS(İndirimler!$C$2:$C$210,İndirimler!$A$2:$A$210,B544,İndirimler!$B$2:$B$210,C544)),2),"")</f>
        <v>460.7</v>
      </c>
      <c r="I544" s="21">
        <f>IF(SUMIFS(İndirimler!$D$2:$D$210,İndirimler!$A$2:$A$210,B544,İndirimler!$B$2:$B$210,C544)&gt;0,ROUND(G544*(1-SUMIFS(İndirimler!$D$2:$D$210,İndirimler!$A$2:$A$210,B544,İndirimler!$B$2:$B$210,C544)),2),"")</f>
        <v>379.4</v>
      </c>
    </row>
    <row r="545" spans="1:10">
      <c r="A545" s="50">
        <v>9786259825311</v>
      </c>
      <c r="B545" t="s">
        <v>861</v>
      </c>
      <c r="C545" t="s">
        <v>868</v>
      </c>
      <c r="D545" t="s">
        <v>34</v>
      </c>
      <c r="E545" t="s">
        <v>867</v>
      </c>
      <c r="F545" t="s">
        <v>16</v>
      </c>
      <c r="G545">
        <v>447</v>
      </c>
      <c r="H545" s="18">
        <f>IF(SUMIFS(İndirimler!$C$2:$C$210,İndirimler!$A$2:$A$210,B545,İndirimler!$B$2:$B$210,C545)&gt;0,ROUND(G545*(1-SUMIFS(İndirimler!$C$2:$C$210,İndirimler!$A$2:$A$210,B545,İndirimler!$B$2:$B$210,C545)),2),"")</f>
        <v>379.95</v>
      </c>
      <c r="I545" s="21">
        <f>IF(SUMIFS(İndirimler!$D$2:$D$210,İndirimler!$A$2:$A$210,B545,İndirimler!$B$2:$B$210,C545)&gt;0,ROUND(G545*(1-SUMIFS(İndirimler!$D$2:$D$210,İndirimler!$A$2:$A$210,B545,İndirimler!$B$2:$B$210,C545)),2),"")</f>
        <v>312.89999999999998</v>
      </c>
    </row>
    <row r="546" spans="1:10">
      <c r="A546" s="50">
        <v>9786259825366</v>
      </c>
      <c r="B546" t="s">
        <v>861</v>
      </c>
      <c r="C546" t="s">
        <v>868</v>
      </c>
      <c r="D546" t="s">
        <v>304</v>
      </c>
      <c r="E546" t="s">
        <v>867</v>
      </c>
      <c r="F546" t="s">
        <v>16</v>
      </c>
      <c r="G546">
        <v>353</v>
      </c>
      <c r="H546" s="18">
        <f>IF(SUMIFS(İndirimler!$C$2:$C$210,İndirimler!$A$2:$A$210,B546,İndirimler!$B$2:$B$210,C546)&gt;0,ROUND(G546*(1-SUMIFS(İndirimler!$C$2:$C$210,İndirimler!$A$2:$A$210,B546,İndirimler!$B$2:$B$210,C546)),2),"")</f>
        <v>300.05</v>
      </c>
      <c r="I546" s="21">
        <f>IF(SUMIFS(İndirimler!$D$2:$D$210,İndirimler!$A$2:$A$210,B546,İndirimler!$B$2:$B$210,C546)&gt;0,ROUND(G546*(1-SUMIFS(İndirimler!$D$2:$D$210,İndirimler!$A$2:$A$210,B546,İndirimler!$B$2:$B$210,C546)),2),"")</f>
        <v>247.1</v>
      </c>
    </row>
    <row r="547" spans="1:10">
      <c r="A547" s="50">
        <v>9786259825335</v>
      </c>
      <c r="B547" t="s">
        <v>861</v>
      </c>
      <c r="C547" t="s">
        <v>868</v>
      </c>
      <c r="D547" t="s">
        <v>422</v>
      </c>
      <c r="E547" t="s">
        <v>867</v>
      </c>
      <c r="F547" t="s">
        <v>16</v>
      </c>
      <c r="G547">
        <v>400</v>
      </c>
      <c r="H547" s="18">
        <f>IF(SUMIFS(İndirimler!$C$2:$C$210,İndirimler!$A$2:$A$210,B547,İndirimler!$B$2:$B$210,C547)&gt;0,ROUND(G547*(1-SUMIFS(İndirimler!$C$2:$C$210,İndirimler!$A$2:$A$210,B547,İndirimler!$B$2:$B$210,C547)),2),"")</f>
        <v>340</v>
      </c>
      <c r="I547" s="21">
        <f>IF(SUMIFS(İndirimler!$D$2:$D$210,İndirimler!$A$2:$A$210,B547,İndirimler!$B$2:$B$210,C547)&gt;0,ROUND(G547*(1-SUMIFS(İndirimler!$D$2:$D$210,İndirimler!$A$2:$A$210,B547,İndirimler!$B$2:$B$210,C547)),2),"")</f>
        <v>280</v>
      </c>
    </row>
    <row r="548" spans="1:10">
      <c r="A548" s="50">
        <v>9786259825373</v>
      </c>
      <c r="B548" t="s">
        <v>861</v>
      </c>
      <c r="C548" t="s">
        <v>868</v>
      </c>
      <c r="D548" t="s">
        <v>527</v>
      </c>
      <c r="E548" t="s">
        <v>867</v>
      </c>
      <c r="F548" t="s">
        <v>16</v>
      </c>
      <c r="G548">
        <v>376</v>
      </c>
      <c r="H548" s="18">
        <f>IF(SUMIFS(İndirimler!$C$2:$C$210,İndirimler!$A$2:$A$210,B548,İndirimler!$B$2:$B$210,C548)&gt;0,ROUND(G548*(1-SUMIFS(İndirimler!$C$2:$C$210,İndirimler!$A$2:$A$210,B548,İndirimler!$B$2:$B$210,C548)),2),"")</f>
        <v>319.60000000000002</v>
      </c>
      <c r="I548" s="21">
        <f>IF(SUMIFS(İndirimler!$D$2:$D$210,İndirimler!$A$2:$A$210,B548,İndirimler!$B$2:$B$210,C548)&gt;0,ROUND(G548*(1-SUMIFS(İndirimler!$D$2:$D$210,İndirimler!$A$2:$A$210,B548,İndirimler!$B$2:$B$210,C548)),2),"")</f>
        <v>263.2</v>
      </c>
    </row>
    <row r="549" spans="1:10">
      <c r="A549" s="50">
        <v>9786259825359</v>
      </c>
      <c r="B549" t="s">
        <v>861</v>
      </c>
      <c r="C549" t="s">
        <v>868</v>
      </c>
      <c r="D549" t="s">
        <v>631</v>
      </c>
      <c r="E549" t="s">
        <v>867</v>
      </c>
      <c r="F549" t="s">
        <v>16</v>
      </c>
      <c r="G549">
        <v>423</v>
      </c>
      <c r="H549" s="18">
        <f>IF(SUMIFS(İndirimler!$C$2:$C$210,İndirimler!$A$2:$A$210,B549,İndirimler!$B$2:$B$210,C549)&gt;0,ROUND(G549*(1-SUMIFS(İndirimler!$C$2:$C$210,İndirimler!$A$2:$A$210,B549,İndirimler!$B$2:$B$210,C549)),2),"")</f>
        <v>359.55</v>
      </c>
      <c r="I549" s="21">
        <f>IF(SUMIFS(İndirimler!$D$2:$D$210,İndirimler!$A$2:$A$210,B549,İndirimler!$B$2:$B$210,C549)&gt;0,ROUND(G549*(1-SUMIFS(İndirimler!$D$2:$D$210,İndirimler!$A$2:$A$210,B549,İndirimler!$B$2:$B$210,C549)),2),"")</f>
        <v>296.10000000000002</v>
      </c>
    </row>
    <row r="550" spans="1:10">
      <c r="A550" s="50">
        <v>9786259825342</v>
      </c>
      <c r="B550" t="s">
        <v>861</v>
      </c>
      <c r="C550" t="s">
        <v>868</v>
      </c>
      <c r="D550" t="s">
        <v>691</v>
      </c>
      <c r="E550" t="s">
        <v>867</v>
      </c>
      <c r="F550" t="s">
        <v>16</v>
      </c>
      <c r="G550">
        <v>447</v>
      </c>
      <c r="H550" s="18">
        <f>IF(SUMIFS(İndirimler!$C$2:$C$210,İndirimler!$A$2:$A$210,B550,İndirimler!$B$2:$B$210,C550)&gt;0,ROUND(G550*(1-SUMIFS(İndirimler!$C$2:$C$210,İndirimler!$A$2:$A$210,B550,İndirimler!$B$2:$B$210,C550)),2),"")</f>
        <v>379.95</v>
      </c>
      <c r="I550" s="21">
        <f>IF(SUMIFS(İndirimler!$D$2:$D$210,İndirimler!$A$2:$A$210,B550,İndirimler!$B$2:$B$210,C550)&gt;0,ROUND(G550*(1-SUMIFS(İndirimler!$D$2:$D$210,İndirimler!$A$2:$A$210,B550,İndirimler!$B$2:$B$210,C550)),2),"")</f>
        <v>312.89999999999998</v>
      </c>
    </row>
    <row r="551" spans="1:10">
      <c r="A551" s="50">
        <v>9786259345925</v>
      </c>
      <c r="B551" t="s">
        <v>53</v>
      </c>
      <c r="C551" t="s">
        <v>868</v>
      </c>
      <c r="D551" t="s">
        <v>14</v>
      </c>
      <c r="E551" t="s">
        <v>15</v>
      </c>
      <c r="F551" t="s">
        <v>16</v>
      </c>
      <c r="G551">
        <v>447</v>
      </c>
      <c r="H551" s="18">
        <f>IF(SUMIFS(İndirimler!$C$2:$C$210,İndirimler!$A$2:$A$210,B551,İndirimler!$B$2:$B$210,C551)&gt;0,ROUND(G551*(1-SUMIFS(İndirimler!$C$2:$C$210,İndirimler!$A$2:$A$210,B551,İndirimler!$B$2:$B$210,C551)),2),"")</f>
        <v>379.95</v>
      </c>
      <c r="I551" s="21">
        <f>IF(SUMIFS(İndirimler!$D$2:$D$210,İndirimler!$A$2:$A$210,B551,İndirimler!$B$2:$B$210,C551)&gt;0,ROUND(G551*(1-SUMIFS(İndirimler!$D$2:$D$210,İndirimler!$A$2:$A$210,B551,İndirimler!$B$2:$B$210,C551)),2),"")</f>
        <v>312.89999999999998</v>
      </c>
      <c r="J551" s="52" t="s">
        <v>886</v>
      </c>
    </row>
    <row r="552" spans="1:10">
      <c r="A552" s="50">
        <v>9786258909005</v>
      </c>
      <c r="B552" t="s">
        <v>38</v>
      </c>
      <c r="C552" t="s">
        <v>868</v>
      </c>
      <c r="D552" t="s">
        <v>14</v>
      </c>
      <c r="E552" t="s">
        <v>15</v>
      </c>
      <c r="F552" t="s">
        <v>16</v>
      </c>
      <c r="G552">
        <v>495</v>
      </c>
      <c r="H552">
        <f>IF(SUMIFS(İndirimler!$C$2:$C$210,İndirimler!$A$2:$A$210,B552,İndirimler!$B$2:$B$210,C552)&gt;0,ROUND(G552*(1-SUMIFS(İndirimler!$C$2:$C$210,İndirimler!$A$2:$A$210,B552,İndirimler!$B$2:$B$210,C552)),2),"")</f>
        <v>420.75</v>
      </c>
      <c r="I552">
        <f>IF(SUMIFS(İndirimler!$D$2:$D$210,İndirimler!$A$2:$A$210,B552,İndirimler!$B$2:$B$210,C552)&gt;0,ROUND(G552*(1-SUMIFS(İndirimler!$D$2:$D$210,İndirimler!$A$2:$A$210,B552,İndirimler!$B$2:$B$210,C552)),2),"")</f>
        <v>346.5</v>
      </c>
      <c r="J552" s="52" t="s">
        <v>887</v>
      </c>
    </row>
    <row r="553" spans="1:10">
      <c r="A553" s="50">
        <v>9786258188158</v>
      </c>
      <c r="B553" t="s">
        <v>123</v>
      </c>
      <c r="C553" t="s">
        <v>868</v>
      </c>
      <c r="D553" t="s">
        <v>120</v>
      </c>
      <c r="E553" t="s">
        <v>263</v>
      </c>
      <c r="F553" t="s">
        <v>16</v>
      </c>
      <c r="G553">
        <v>499</v>
      </c>
      <c r="H553">
        <f>IF(SUMIFS(İndirimler!$C$2:$C$210,İndirimler!$A$2:$A$210,B553,İndirimler!$B$2:$B$210,C553)&gt;0,ROUND(G553*(1-SUMIFS(İndirimler!$C$2:$C$210,İndirimler!$A$2:$A$210,B553,İndirimler!$B$2:$B$210,C553)),2),"")</f>
        <v>424.15</v>
      </c>
      <c r="I553">
        <f>IF(SUMIFS(İndirimler!$D$2:$D$210,İndirimler!$A$2:$A$210,B553,İndirimler!$B$2:$B$210,C553)&gt;0,ROUND(G553*(1-SUMIFS(İndirimler!$D$2:$D$210,İndirimler!$A$2:$A$210,B553,İndirimler!$B$2:$B$210,C553)),2),"")</f>
        <v>349.3</v>
      </c>
      <c r="J553" s="52" t="s">
        <v>888</v>
      </c>
    </row>
    <row r="554" spans="1:10">
      <c r="H554" t="str">
        <f>IF(SUMIFS(İndirimler!$C$2:$C$210,İndirimler!$A$2:$A$210,B554,İndirimler!$B$2:$B$210,C554)&gt;0,ROUND(G554*(1-SUMIFS(İndirimler!$C$2:$C$210,İndirimler!$A$2:$A$210,B554,İndirimler!$B$2:$B$210,C554)),2),"")</f>
        <v/>
      </c>
      <c r="I554" t="str">
        <f>IF(SUMIFS(İndirimler!$D$2:$D$210,İndirimler!$A$2:$A$210,B554,İndirimler!$B$2:$B$210,C554)&gt;0,ROUND(G554*(1-SUMIFS(İndirimler!$D$2:$D$210,İndirimler!$A$2:$A$210,B554,İndirimler!$B$2:$B$210,C554)),2),"")</f>
        <v/>
      </c>
    </row>
    <row r="555" spans="1:10">
      <c r="H555" t="str">
        <f>IF(SUMIFS(İndirimler!$C$2:$C$210,İndirimler!$A$2:$A$210,B555,İndirimler!$B$2:$B$210,C555)&gt;0,ROUND(G555*(1-SUMIFS(İndirimler!$C$2:$C$210,İndirimler!$A$2:$A$210,B555,İndirimler!$B$2:$B$210,C555)),2),"")</f>
        <v/>
      </c>
      <c r="I555" t="str">
        <f>IF(SUMIFS(İndirimler!$D$2:$D$210,İndirimler!$A$2:$A$210,B555,İndirimler!$B$2:$B$210,C555)&gt;0,ROUND(G555*(1-SUMIFS(İndirimler!$D$2:$D$210,İndirimler!$A$2:$A$210,B555,İndirimler!$B$2:$B$210,C555)),2),"")</f>
        <v/>
      </c>
    </row>
    <row r="556" spans="1:10">
      <c r="H556" t="str">
        <f>IF(SUMIFS(İndirimler!$C$2:$C$210,İndirimler!$A$2:$A$210,B556,İndirimler!$B$2:$B$210,C556)&gt;0,ROUND(G556*(1-SUMIFS(İndirimler!$C$2:$C$210,İndirimler!$A$2:$A$210,B556,İndirimler!$B$2:$B$210,C556)),2),"")</f>
        <v/>
      </c>
      <c r="I556" t="str">
        <f>IF(SUMIFS(İndirimler!$D$2:$D$210,İndirimler!$A$2:$A$210,B556,İndirimler!$B$2:$B$210,C556)&gt;0,ROUND(G556*(1-SUMIFS(İndirimler!$D$2:$D$210,İndirimler!$A$2:$A$210,B556,İndirimler!$B$2:$B$210,C556)),2),"")</f>
        <v/>
      </c>
    </row>
    <row r="557" spans="1:10">
      <c r="H557" t="str">
        <f>IF(SUMIFS(İndirimler!$C$2:$C$210,İndirimler!$A$2:$A$210,B557,İndirimler!$B$2:$B$210,C557)&gt;0,ROUND(G557*(1-SUMIFS(İndirimler!$C$2:$C$210,İndirimler!$A$2:$A$210,B557,İndirimler!$B$2:$B$210,C557)),2),"")</f>
        <v/>
      </c>
      <c r="I557" t="str">
        <f>IF(SUMIFS(İndirimler!$D$2:$D$210,İndirimler!$A$2:$A$210,B557,İndirimler!$B$2:$B$210,C557)&gt;0,ROUND(G557*(1-SUMIFS(İndirimler!$D$2:$D$210,İndirimler!$A$2:$A$210,B557,İndirimler!$B$2:$B$210,C557)),2),"")</f>
        <v/>
      </c>
    </row>
    <row r="558" spans="1:10">
      <c r="H558" t="str">
        <f>IF(SUMIFS(İndirimler!$C$2:$C$210,İndirimler!$A$2:$A$210,B558,İndirimler!$B$2:$B$210,C558)&gt;0,ROUND(G558*(1-SUMIFS(İndirimler!$C$2:$C$210,İndirimler!$A$2:$A$210,B558,İndirimler!$B$2:$B$210,C558)),2),"")</f>
        <v/>
      </c>
      <c r="I558" t="str">
        <f>IF(SUMIFS(İndirimler!$D$2:$D$210,İndirimler!$A$2:$A$210,B558,İndirimler!$B$2:$B$210,C558)&gt;0,ROUND(G558*(1-SUMIFS(İndirimler!$D$2:$D$210,İndirimler!$A$2:$A$210,B558,İndirimler!$B$2:$B$210,C558)),2),"")</f>
        <v/>
      </c>
    </row>
    <row r="559" spans="1:10">
      <c r="H559" t="str">
        <f>IF(SUMIFS(İndirimler!$C$2:$C$210,İndirimler!$A$2:$A$210,B559,İndirimler!$B$2:$B$210,C559)&gt;0,ROUND(G559*(1-SUMIFS(İndirimler!$C$2:$C$210,İndirimler!$A$2:$A$210,B559,İndirimler!$B$2:$B$210,C559)),2),"")</f>
        <v/>
      </c>
      <c r="I559" t="str">
        <f>IF(SUMIFS(İndirimler!$D$2:$D$210,İndirimler!$A$2:$A$210,B559,İndirimler!$B$2:$B$210,C559)&gt;0,ROUND(G559*(1-SUMIFS(İndirimler!$D$2:$D$210,İndirimler!$A$2:$A$210,B559,İndirimler!$B$2:$B$210,C559)),2),"")</f>
        <v/>
      </c>
    </row>
    <row r="560" spans="1:10">
      <c r="H560" t="str">
        <f>IF(SUMIFS(İndirimler!$C$2:$C$210,İndirimler!$A$2:$A$210,B560,İndirimler!$B$2:$B$210,C560)&gt;0,ROUND(G560*(1-SUMIFS(İndirimler!$C$2:$C$210,İndirimler!$A$2:$A$210,B560,İndirimler!$B$2:$B$210,C560)),2),"")</f>
        <v/>
      </c>
      <c r="I560" t="str">
        <f>IF(SUMIFS(İndirimler!$D$2:$D$210,İndirimler!$A$2:$A$210,B560,İndirimler!$B$2:$B$210,C560)&gt;0,ROUND(G560*(1-SUMIFS(İndirimler!$D$2:$D$210,İndirimler!$A$2:$A$210,B560,İndirimler!$B$2:$B$210,C560)),2),"")</f>
        <v/>
      </c>
    </row>
    <row r="561" spans="8:9">
      <c r="H561" t="str">
        <f>IF(SUMIFS(İndirimler!$C$2:$C$210,İndirimler!$A$2:$A$210,B561,İndirimler!$B$2:$B$210,C561)&gt;0,ROUND(G561*(1-SUMIFS(İndirimler!$C$2:$C$210,İndirimler!$A$2:$A$210,B561,İndirimler!$B$2:$B$210,C561)),2),"")</f>
        <v/>
      </c>
      <c r="I561" t="str">
        <f>IF(SUMIFS(İndirimler!$D$2:$D$210,İndirimler!$A$2:$A$210,B561,İndirimler!$B$2:$B$210,C561)&gt;0,ROUND(G561*(1-SUMIFS(İndirimler!$D$2:$D$210,İndirimler!$A$2:$A$210,B561,İndirimler!$B$2:$B$210,C561)),2),"")</f>
        <v/>
      </c>
    </row>
    <row r="562" spans="8:9">
      <c r="H562" t="str">
        <f>IF(SUMIFS(İndirimler!$C$2:$C$210,İndirimler!$A$2:$A$210,B562,İndirimler!$B$2:$B$210,C562)&gt;0,ROUND(G562*(1-SUMIFS(İndirimler!$C$2:$C$210,İndirimler!$A$2:$A$210,B562,İndirimler!$B$2:$B$210,C562)),2),"")</f>
        <v/>
      </c>
      <c r="I562" t="str">
        <f>IF(SUMIFS(İndirimler!$D$2:$D$210,İndirimler!$A$2:$A$210,B562,İndirimler!$B$2:$B$210,C562)&gt;0,ROUND(G562*(1-SUMIFS(İndirimler!$D$2:$D$210,İndirimler!$A$2:$A$210,B562,İndirimler!$B$2:$B$210,C562)),2),"")</f>
        <v/>
      </c>
    </row>
    <row r="563" spans="8:9">
      <c r="H563" t="str">
        <f>IF(SUMIFS(İndirimler!$C$2:$C$210,İndirimler!$A$2:$A$210,B563,İndirimler!$B$2:$B$210,C563)&gt;0,ROUND(G563*(1-SUMIFS(İndirimler!$C$2:$C$210,İndirimler!$A$2:$A$210,B563,İndirimler!$B$2:$B$210,C563)),2),"")</f>
        <v/>
      </c>
      <c r="I563" t="str">
        <f>IF(SUMIFS(İndirimler!$D$2:$D$210,İndirimler!$A$2:$A$210,B563,İndirimler!$B$2:$B$210,C563)&gt;0,ROUND(G563*(1-SUMIFS(İndirimler!$D$2:$D$210,İndirimler!$A$2:$A$210,B563,İndirimler!$B$2:$B$210,C563)),2),"")</f>
        <v/>
      </c>
    </row>
    <row r="564" spans="8:9">
      <c r="H564" t="str">
        <f>IF(SUMIFS(İndirimler!$C$2:$C$210,İndirimler!$A$2:$A$210,B564,İndirimler!$B$2:$B$210,C564)&gt;0,ROUND(G564*(1-SUMIFS(İndirimler!$C$2:$C$210,İndirimler!$A$2:$A$210,B564,İndirimler!$B$2:$B$210,C564)),2),"")</f>
        <v/>
      </c>
      <c r="I564" t="str">
        <f>IF(SUMIFS(İndirimler!$D$2:$D$210,İndirimler!$A$2:$A$210,B564,İndirimler!$B$2:$B$210,C564)&gt;0,ROUND(G564*(1-SUMIFS(İndirimler!$D$2:$D$210,İndirimler!$A$2:$A$210,B564,İndirimler!$B$2:$B$210,C564)),2),"")</f>
        <v/>
      </c>
    </row>
    <row r="565" spans="8:9">
      <c r="H565" t="str">
        <f>IF(SUMIFS(İndirimler!$C$2:$C$210,İndirimler!$A$2:$A$210,B565,İndirimler!$B$2:$B$210,C565)&gt;0,ROUND(G565*(1-SUMIFS(İndirimler!$C$2:$C$210,İndirimler!$A$2:$A$210,B565,İndirimler!$B$2:$B$210,C565)),2),"")</f>
        <v/>
      </c>
      <c r="I565" t="str">
        <f>IF(SUMIFS(İndirimler!$D$2:$D$210,İndirimler!$A$2:$A$210,B565,İndirimler!$B$2:$B$210,C565)&gt;0,ROUND(G565*(1-SUMIFS(İndirimler!$D$2:$D$210,İndirimler!$A$2:$A$210,B565,İndirimler!$B$2:$B$210,C565)),2),"")</f>
        <v/>
      </c>
    </row>
    <row r="566" spans="8:9">
      <c r="H566" t="str">
        <f>IF(SUMIFS(İndirimler!$C$2:$C$210,İndirimler!$A$2:$A$210,B566,İndirimler!$B$2:$B$210,C566)&gt;0,ROUND(G566*(1-SUMIFS(İndirimler!$C$2:$C$210,İndirimler!$A$2:$A$210,B566,İndirimler!$B$2:$B$210,C566)),2),"")</f>
        <v/>
      </c>
      <c r="I566" t="str">
        <f>IF(SUMIFS(İndirimler!$D$2:$D$210,İndirimler!$A$2:$A$210,B566,İndirimler!$B$2:$B$210,C566)&gt;0,ROUND(G566*(1-SUMIFS(İndirimler!$D$2:$D$210,İndirimler!$A$2:$A$210,B566,İndirimler!$B$2:$B$210,C566)),2),"")</f>
        <v/>
      </c>
    </row>
    <row r="567" spans="8:9">
      <c r="H567" t="str">
        <f>IF(SUMIFS(İndirimler!$C$2:$C$210,İndirimler!$A$2:$A$210,B567,İndirimler!$B$2:$B$210,C567)&gt;0,ROUND(G567*(1-SUMIFS(İndirimler!$C$2:$C$210,İndirimler!$A$2:$A$210,B567,İndirimler!$B$2:$B$210,C567)),2),"")</f>
        <v/>
      </c>
      <c r="I567" t="str">
        <f>IF(SUMIFS(İndirimler!$D$2:$D$210,İndirimler!$A$2:$A$210,B567,İndirimler!$B$2:$B$210,C567)&gt;0,ROUND(G567*(1-SUMIFS(İndirimler!$D$2:$D$210,İndirimler!$A$2:$A$210,B567,İndirimler!$B$2:$B$210,C567)),2),"")</f>
        <v/>
      </c>
    </row>
    <row r="568" spans="8:9">
      <c r="H568" t="str">
        <f>IF(SUMIFS(İndirimler!$C$2:$C$210,İndirimler!$A$2:$A$210,B568,İndirimler!$B$2:$B$210,C568)&gt;0,ROUND(G568*(1-SUMIFS(İndirimler!$C$2:$C$210,İndirimler!$A$2:$A$210,B568,İndirimler!$B$2:$B$210,C568)),2),"")</f>
        <v/>
      </c>
      <c r="I568" t="str">
        <f>IF(SUMIFS(İndirimler!$D$2:$D$210,İndirimler!$A$2:$A$210,B568,İndirimler!$B$2:$B$210,C568)&gt;0,ROUND(G568*(1-SUMIFS(İndirimler!$D$2:$D$210,İndirimler!$A$2:$A$210,B568,İndirimler!$B$2:$B$210,C568)),2),"")</f>
        <v/>
      </c>
    </row>
    <row r="569" spans="8:9">
      <c r="H569" t="str">
        <f>IF(SUMIFS(İndirimler!$C$2:$C$210,İndirimler!$A$2:$A$210,B569,İndirimler!$B$2:$B$210,C569)&gt;0,ROUND(G569*(1-SUMIFS(İndirimler!$C$2:$C$210,İndirimler!$A$2:$A$210,B569,İndirimler!$B$2:$B$210,C569)),2),"")</f>
        <v/>
      </c>
      <c r="I569" t="str">
        <f>IF(SUMIFS(İndirimler!$D$2:$D$210,İndirimler!$A$2:$A$210,B569,İndirimler!$B$2:$B$210,C569)&gt;0,ROUND(G569*(1-SUMIFS(İndirimler!$D$2:$D$210,İndirimler!$A$2:$A$210,B569,İndirimler!$B$2:$B$210,C569)),2),"")</f>
        <v/>
      </c>
    </row>
    <row r="570" spans="8:9">
      <c r="H570" t="str">
        <f>IF(SUMIFS(İndirimler!$C$2:$C$210,İndirimler!$A$2:$A$210,B570,İndirimler!$B$2:$B$210,C570)&gt;0,ROUND(G570*(1-SUMIFS(İndirimler!$C$2:$C$210,İndirimler!$A$2:$A$210,B570,İndirimler!$B$2:$B$210,C570)),2),"")</f>
        <v/>
      </c>
      <c r="I570" t="str">
        <f>IF(SUMIFS(İndirimler!$D$2:$D$210,İndirimler!$A$2:$A$210,B570,İndirimler!$B$2:$B$210,C570)&gt;0,ROUND(G570*(1-SUMIFS(İndirimler!$D$2:$D$210,İndirimler!$A$2:$A$210,B570,İndirimler!$B$2:$B$210,C570)),2),"")</f>
        <v/>
      </c>
    </row>
    <row r="571" spans="8:9">
      <c r="H571" t="str">
        <f>IF(SUMIFS(İndirimler!$C$2:$C$210,İndirimler!$A$2:$A$210,B571,İndirimler!$B$2:$B$210,C571)&gt;0,ROUND(G571*(1-SUMIFS(İndirimler!$C$2:$C$210,İndirimler!$A$2:$A$210,B571,İndirimler!$B$2:$B$210,C571)),2),"")</f>
        <v/>
      </c>
      <c r="I571" t="str">
        <f>IF(SUMIFS(İndirimler!$D$2:$D$210,İndirimler!$A$2:$A$210,B571,İndirimler!$B$2:$B$210,C571)&gt;0,ROUND(G571*(1-SUMIFS(İndirimler!$D$2:$D$210,İndirimler!$A$2:$A$210,B571,İndirimler!$B$2:$B$210,C571)),2),"")</f>
        <v/>
      </c>
    </row>
    <row r="572" spans="8:9">
      <c r="H572" t="str">
        <f>IF(SUMIFS(İndirimler!$C$2:$C$210,İndirimler!$A$2:$A$210,B572,İndirimler!$B$2:$B$210,C572)&gt;0,ROUND(G572*(1-SUMIFS(İndirimler!$C$2:$C$210,İndirimler!$A$2:$A$210,B572,İndirimler!$B$2:$B$210,C572)),2),"")</f>
        <v/>
      </c>
      <c r="I572" t="str">
        <f>IF(SUMIFS(İndirimler!$D$2:$D$210,İndirimler!$A$2:$A$210,B572,İndirimler!$B$2:$B$210,C572)&gt;0,ROUND(G572*(1-SUMIFS(İndirimler!$D$2:$D$210,İndirimler!$A$2:$A$210,B572,İndirimler!$B$2:$B$210,C572)),2),"")</f>
        <v/>
      </c>
    </row>
    <row r="573" spans="8:9">
      <c r="H573" t="str">
        <f>IF(SUMIFS(İndirimler!$C$2:$C$210,İndirimler!$A$2:$A$210,B573,İndirimler!$B$2:$B$210,C573)&gt;0,ROUND(G573*(1-SUMIFS(İndirimler!$C$2:$C$210,İndirimler!$A$2:$A$210,B573,İndirimler!$B$2:$B$210,C573)),2),"")</f>
        <v/>
      </c>
      <c r="I573" t="str">
        <f>IF(SUMIFS(İndirimler!$D$2:$D$210,İndirimler!$A$2:$A$210,B573,İndirimler!$B$2:$B$210,C573)&gt;0,ROUND(G573*(1-SUMIFS(İndirimler!$D$2:$D$210,İndirimler!$A$2:$A$210,B573,İndirimler!$B$2:$B$210,C573)),2),"")</f>
        <v/>
      </c>
    </row>
    <row r="574" spans="8:9">
      <c r="H574" t="str">
        <f>IF(SUMIFS(İndirimler!$C$2:$C$210,İndirimler!$A$2:$A$210,B574,İndirimler!$B$2:$B$210,C574)&gt;0,ROUND(G574*(1-SUMIFS(İndirimler!$C$2:$C$210,İndirimler!$A$2:$A$210,B574,İndirimler!$B$2:$B$210,C574)),2),"")</f>
        <v/>
      </c>
      <c r="I574" t="str">
        <f>IF(SUMIFS(İndirimler!$D$2:$D$210,İndirimler!$A$2:$A$210,B574,İndirimler!$B$2:$B$210,C574)&gt;0,ROUND(G574*(1-SUMIFS(İndirimler!$D$2:$D$210,İndirimler!$A$2:$A$210,B574,İndirimler!$B$2:$B$210,C574)),2),"")</f>
        <v/>
      </c>
    </row>
    <row r="575" spans="8:9">
      <c r="H575" t="str">
        <f>IF(SUMIFS(İndirimler!$C$2:$C$210,İndirimler!$A$2:$A$210,B575,İndirimler!$B$2:$B$210,C575)&gt;0,ROUND(G575*(1-SUMIFS(İndirimler!$C$2:$C$210,İndirimler!$A$2:$A$210,B575,İndirimler!$B$2:$B$210,C575)),2),"")</f>
        <v/>
      </c>
      <c r="I575" t="str">
        <f>IF(SUMIFS(İndirimler!$D$2:$D$210,İndirimler!$A$2:$A$210,B575,İndirimler!$B$2:$B$210,C575)&gt;0,ROUND(G575*(1-SUMIFS(İndirimler!$D$2:$D$210,İndirimler!$A$2:$A$210,B575,İndirimler!$B$2:$B$210,C575)),2),"")</f>
        <v/>
      </c>
    </row>
    <row r="576" spans="8:9">
      <c r="H576" t="str">
        <f>IF(SUMIFS(İndirimler!$C$2:$C$210,İndirimler!$A$2:$A$210,B576,İndirimler!$B$2:$B$210,C576)&gt;0,ROUND(G576*(1-SUMIFS(İndirimler!$C$2:$C$210,İndirimler!$A$2:$A$210,B576,İndirimler!$B$2:$B$210,C576)),2),"")</f>
        <v/>
      </c>
      <c r="I576" t="str">
        <f>IF(SUMIFS(İndirimler!$D$2:$D$210,İndirimler!$A$2:$A$210,B576,İndirimler!$B$2:$B$210,C576)&gt;0,ROUND(G576*(1-SUMIFS(İndirimler!$D$2:$D$210,İndirimler!$A$2:$A$210,B576,İndirimler!$B$2:$B$210,C576)),2),"")</f>
        <v/>
      </c>
    </row>
    <row r="577" spans="8:9">
      <c r="H577" t="str">
        <f>IF(SUMIFS(İndirimler!$C$2:$C$210,İndirimler!$A$2:$A$210,B577,İndirimler!$B$2:$B$210,C577)&gt;0,ROUND(G577*(1-SUMIFS(İndirimler!$C$2:$C$210,İndirimler!$A$2:$A$210,B577,İndirimler!$B$2:$B$210,C577)),2),"")</f>
        <v/>
      </c>
      <c r="I577" t="str">
        <f>IF(SUMIFS(İndirimler!$D$2:$D$210,İndirimler!$A$2:$A$210,B577,İndirimler!$B$2:$B$210,C577)&gt;0,ROUND(G577*(1-SUMIFS(İndirimler!$D$2:$D$210,İndirimler!$A$2:$A$210,B577,İndirimler!$B$2:$B$210,C577)),2),"")</f>
        <v/>
      </c>
    </row>
    <row r="578" spans="8:9">
      <c r="H578" t="str">
        <f>IF(SUMIFS(İndirimler!$C$2:$C$210,İndirimler!$A$2:$A$210,B578,İndirimler!$B$2:$B$210,C578)&gt;0,ROUND(G578*(1-SUMIFS(İndirimler!$C$2:$C$210,İndirimler!$A$2:$A$210,B578,İndirimler!$B$2:$B$210,C578)),2),"")</f>
        <v/>
      </c>
      <c r="I578" t="str">
        <f>IF(SUMIFS(İndirimler!$D$2:$D$210,İndirimler!$A$2:$A$210,B578,İndirimler!$B$2:$B$210,C578)&gt;0,ROUND(G578*(1-SUMIFS(İndirimler!$D$2:$D$210,İndirimler!$A$2:$A$210,B578,İndirimler!$B$2:$B$210,C578)),2),"")</f>
        <v/>
      </c>
    </row>
    <row r="579" spans="8:9">
      <c r="H579" t="str">
        <f>IF(SUMIFS(İndirimler!$C$2:$C$210,İndirimler!$A$2:$A$210,B579,İndirimler!$B$2:$B$210,C579)&gt;0,ROUND(G579*(1-SUMIFS(İndirimler!$C$2:$C$210,İndirimler!$A$2:$A$210,B579,İndirimler!$B$2:$B$210,C579)),2),"")</f>
        <v/>
      </c>
      <c r="I579" t="str">
        <f>IF(SUMIFS(İndirimler!$D$2:$D$210,İndirimler!$A$2:$A$210,B579,İndirimler!$B$2:$B$210,C579)&gt;0,ROUND(G579*(1-SUMIFS(İndirimler!$D$2:$D$210,İndirimler!$A$2:$A$210,B579,İndirimler!$B$2:$B$210,C579)),2),"")</f>
        <v/>
      </c>
    </row>
    <row r="580" spans="8:9">
      <c r="H580" t="str">
        <f>IF(SUMIFS(İndirimler!$C$2:$C$210,İndirimler!$A$2:$A$210,B580,İndirimler!$B$2:$B$210,C580)&gt;0,ROUND(G580*(1-SUMIFS(İndirimler!$C$2:$C$210,İndirimler!$A$2:$A$210,B580,İndirimler!$B$2:$B$210,C580)),2),"")</f>
        <v/>
      </c>
      <c r="I580" t="str">
        <f>IF(SUMIFS(İndirimler!$D$2:$D$210,İndirimler!$A$2:$A$210,B580,İndirimler!$B$2:$B$210,C580)&gt;0,ROUND(G580*(1-SUMIFS(İndirimler!$D$2:$D$210,İndirimler!$A$2:$A$210,B580,İndirimler!$B$2:$B$210,C580)),2),"")</f>
        <v/>
      </c>
    </row>
    <row r="581" spans="8:9">
      <c r="H581" t="str">
        <f>IF(SUMIFS(İndirimler!$C$2:$C$210,İndirimler!$A$2:$A$210,B581,İndirimler!$B$2:$B$210,C581)&gt;0,ROUND(G581*(1-SUMIFS(İndirimler!$C$2:$C$210,İndirimler!$A$2:$A$210,B581,İndirimler!$B$2:$B$210,C581)),2),"")</f>
        <v/>
      </c>
      <c r="I581" t="str">
        <f>IF(SUMIFS(İndirimler!$D$2:$D$210,İndirimler!$A$2:$A$210,B581,İndirimler!$B$2:$B$210,C581)&gt;0,ROUND(G581*(1-SUMIFS(İndirimler!$D$2:$D$210,İndirimler!$A$2:$A$210,B581,İndirimler!$B$2:$B$210,C581)),2),"")</f>
        <v/>
      </c>
    </row>
    <row r="582" spans="8:9">
      <c r="H582" t="str">
        <f>IF(SUMIFS(İndirimler!$C$2:$C$210,İndirimler!$A$2:$A$210,B582,İndirimler!$B$2:$B$210,C582)&gt;0,ROUND(G582*(1-SUMIFS(İndirimler!$C$2:$C$210,İndirimler!$A$2:$A$210,B582,İndirimler!$B$2:$B$210,C582)),2),"")</f>
        <v/>
      </c>
      <c r="I582" t="str">
        <f>IF(SUMIFS(İndirimler!$D$2:$D$210,İndirimler!$A$2:$A$210,B582,İndirimler!$B$2:$B$210,C582)&gt;0,ROUND(G582*(1-SUMIFS(İndirimler!$D$2:$D$210,İndirimler!$A$2:$A$210,B582,İndirimler!$B$2:$B$210,C582)),2),"")</f>
        <v/>
      </c>
    </row>
    <row r="583" spans="8:9">
      <c r="H583" t="str">
        <f>IF(SUMIFS(İndirimler!$C$2:$C$210,İndirimler!$A$2:$A$210,B583,İndirimler!$B$2:$B$210,C583)&gt;0,ROUND(G583*(1-SUMIFS(İndirimler!$C$2:$C$210,İndirimler!$A$2:$A$210,B583,İndirimler!$B$2:$B$210,C583)),2),"")</f>
        <v/>
      </c>
      <c r="I583" t="str">
        <f>IF(SUMIFS(İndirimler!$D$2:$D$210,İndirimler!$A$2:$A$210,B583,İndirimler!$B$2:$B$210,C583)&gt;0,ROUND(G583*(1-SUMIFS(İndirimler!$D$2:$D$210,İndirimler!$A$2:$A$210,B583,İndirimler!$B$2:$B$210,C583)),2),"")</f>
        <v/>
      </c>
    </row>
    <row r="584" spans="8:9">
      <c r="H584" t="str">
        <f>IF(SUMIFS(İndirimler!$C$2:$C$210,İndirimler!$A$2:$A$210,B584,İndirimler!$B$2:$B$210,C584)&gt;0,ROUND(G584*(1-SUMIFS(İndirimler!$C$2:$C$210,İndirimler!$A$2:$A$210,B584,İndirimler!$B$2:$B$210,C584)),2),"")</f>
        <v/>
      </c>
      <c r="I584" t="str">
        <f>IF(SUMIFS(İndirimler!$D$2:$D$210,İndirimler!$A$2:$A$210,B584,İndirimler!$B$2:$B$210,C584)&gt;0,ROUND(G584*(1-SUMIFS(İndirimler!$D$2:$D$210,İndirimler!$A$2:$A$210,B584,İndirimler!$B$2:$B$210,C584)),2),"")</f>
        <v/>
      </c>
    </row>
    <row r="585" spans="8:9">
      <c r="H585" t="str">
        <f>IF(SUMIFS(İndirimler!$C$2:$C$210,İndirimler!$A$2:$A$210,B585,İndirimler!$B$2:$B$210,C585)&gt;0,ROUND(G585*(1-SUMIFS(İndirimler!$C$2:$C$210,İndirimler!$A$2:$A$210,B585,İndirimler!$B$2:$B$210,C585)),2),"")</f>
        <v/>
      </c>
      <c r="I585" t="str">
        <f>IF(SUMIFS(İndirimler!$D$2:$D$210,İndirimler!$A$2:$A$210,B585,İndirimler!$B$2:$B$210,C585)&gt;0,ROUND(G585*(1-SUMIFS(İndirimler!$D$2:$D$210,İndirimler!$A$2:$A$210,B585,İndirimler!$B$2:$B$210,C585)),2),"")</f>
        <v/>
      </c>
    </row>
    <row r="586" spans="8:9">
      <c r="H586" t="str">
        <f>IF(SUMIFS(İndirimler!$C$2:$C$210,İndirimler!$A$2:$A$210,B586,İndirimler!$B$2:$B$210,C586)&gt;0,ROUND(G586*(1-SUMIFS(İndirimler!$C$2:$C$210,İndirimler!$A$2:$A$210,B586,İndirimler!$B$2:$B$210,C586)),2),"")</f>
        <v/>
      </c>
      <c r="I586" t="str">
        <f>IF(SUMIFS(İndirimler!$D$2:$D$210,İndirimler!$A$2:$A$210,B586,İndirimler!$B$2:$B$210,C586)&gt;0,ROUND(G586*(1-SUMIFS(İndirimler!$D$2:$D$210,İndirimler!$A$2:$A$210,B586,İndirimler!$B$2:$B$210,C586)),2),"")</f>
        <v/>
      </c>
    </row>
    <row r="587" spans="8:9">
      <c r="H587" t="str">
        <f>IF(SUMIFS(İndirimler!$C$2:$C$210,İndirimler!$A$2:$A$210,B587,İndirimler!$B$2:$B$210,C587)&gt;0,ROUND(G587*(1-SUMIFS(İndirimler!$C$2:$C$210,İndirimler!$A$2:$A$210,B587,İndirimler!$B$2:$B$210,C587)),2),"")</f>
        <v/>
      </c>
      <c r="I587" t="str">
        <f>IF(SUMIFS(İndirimler!$D$2:$D$210,İndirimler!$A$2:$A$210,B587,İndirimler!$B$2:$B$210,C587)&gt;0,ROUND(G587*(1-SUMIFS(İndirimler!$D$2:$D$210,İndirimler!$A$2:$A$210,B587,İndirimler!$B$2:$B$210,C587)),2),"")</f>
        <v/>
      </c>
    </row>
    <row r="588" spans="8:9">
      <c r="H588" t="str">
        <f>IF(SUMIFS(İndirimler!$C$2:$C$210,İndirimler!$A$2:$A$210,B588,İndirimler!$B$2:$B$210,C588)&gt;0,ROUND(G588*(1-SUMIFS(İndirimler!$C$2:$C$210,İndirimler!$A$2:$A$210,B588,İndirimler!$B$2:$B$210,C588)),2),"")</f>
        <v/>
      </c>
      <c r="I588" t="str">
        <f>IF(SUMIFS(İndirimler!$D$2:$D$210,İndirimler!$A$2:$A$210,B588,İndirimler!$B$2:$B$210,C588)&gt;0,ROUND(G588*(1-SUMIFS(İndirimler!$D$2:$D$210,İndirimler!$A$2:$A$210,B588,İndirimler!$B$2:$B$210,C588)),2),"")</f>
        <v/>
      </c>
    </row>
    <row r="589" spans="8:9">
      <c r="H589" t="str">
        <f>IF(SUMIFS(İndirimler!$C$2:$C$210,İndirimler!$A$2:$A$210,B589,İndirimler!$B$2:$B$210,C589)&gt;0,ROUND(G589*(1-SUMIFS(İndirimler!$C$2:$C$210,İndirimler!$A$2:$A$210,B589,İndirimler!$B$2:$B$210,C589)),2),"")</f>
        <v/>
      </c>
      <c r="I589" t="str">
        <f>IF(SUMIFS(İndirimler!$D$2:$D$210,İndirimler!$A$2:$A$210,B589,İndirimler!$B$2:$B$210,C589)&gt;0,ROUND(G589*(1-SUMIFS(İndirimler!$D$2:$D$210,İndirimler!$A$2:$A$210,B589,İndirimler!$B$2:$B$210,C589)),2),"")</f>
        <v/>
      </c>
    </row>
    <row r="590" spans="8:9">
      <c r="H590" t="str">
        <f>IF(SUMIFS(İndirimler!$C$2:$C$210,İndirimler!$A$2:$A$210,B590,İndirimler!$B$2:$B$210,C590)&gt;0,ROUND(G590*(1-SUMIFS(İndirimler!$C$2:$C$210,İndirimler!$A$2:$A$210,B590,İndirimler!$B$2:$B$210,C590)),2),"")</f>
        <v/>
      </c>
      <c r="I590" t="str">
        <f>IF(SUMIFS(İndirimler!$D$2:$D$210,İndirimler!$A$2:$A$210,B590,İndirimler!$B$2:$B$210,C590)&gt;0,ROUND(G590*(1-SUMIFS(İndirimler!$D$2:$D$210,İndirimler!$A$2:$A$210,B590,İndirimler!$B$2:$B$210,C590)),2),"")</f>
        <v/>
      </c>
    </row>
    <row r="591" spans="8:9">
      <c r="H591" t="str">
        <f>IF(SUMIFS(İndirimler!$C$2:$C$210,İndirimler!$A$2:$A$210,B591,İndirimler!$B$2:$B$210,C591)&gt;0,ROUND(G591*(1-SUMIFS(İndirimler!$C$2:$C$210,İndirimler!$A$2:$A$210,B591,İndirimler!$B$2:$B$210,C591)),2),"")</f>
        <v/>
      </c>
      <c r="I591" t="str">
        <f>IF(SUMIFS(İndirimler!$D$2:$D$210,İndirimler!$A$2:$A$210,B591,İndirimler!$B$2:$B$210,C591)&gt;0,ROUND(G591*(1-SUMIFS(İndirimler!$D$2:$D$210,İndirimler!$A$2:$A$210,B591,İndirimler!$B$2:$B$210,C591)),2),"")</f>
        <v/>
      </c>
    </row>
    <row r="592" spans="8:9">
      <c r="H592" t="str">
        <f>IF(SUMIFS(İndirimler!$C$2:$C$210,İndirimler!$A$2:$A$210,B592,İndirimler!$B$2:$B$210,C592)&gt;0,ROUND(G592*(1-SUMIFS(İndirimler!$C$2:$C$210,İndirimler!$A$2:$A$210,B592,İndirimler!$B$2:$B$210,C592)),2),"")</f>
        <v/>
      </c>
      <c r="I592" t="str">
        <f>IF(SUMIFS(İndirimler!$D$2:$D$210,İndirimler!$A$2:$A$210,B592,İndirimler!$B$2:$B$210,C592)&gt;0,ROUND(G592*(1-SUMIFS(İndirimler!$D$2:$D$210,İndirimler!$A$2:$A$210,B592,İndirimler!$B$2:$B$210,C592)),2),"")</f>
        <v/>
      </c>
    </row>
    <row r="593" spans="8:9">
      <c r="H593" t="str">
        <f>IF(SUMIFS(İndirimler!$C$2:$C$210,İndirimler!$A$2:$A$210,B593,İndirimler!$B$2:$B$210,C593)&gt;0,ROUND(G593*(1-SUMIFS(İndirimler!$C$2:$C$210,İndirimler!$A$2:$A$210,B593,İndirimler!$B$2:$B$210,C593)),2),"")</f>
        <v/>
      </c>
      <c r="I593" t="str">
        <f>IF(SUMIFS(İndirimler!$D$2:$D$210,İndirimler!$A$2:$A$210,B593,İndirimler!$B$2:$B$210,C593)&gt;0,ROUND(G593*(1-SUMIFS(İndirimler!$D$2:$D$210,İndirimler!$A$2:$A$210,B593,İndirimler!$B$2:$B$210,C593)),2),"")</f>
        <v/>
      </c>
    </row>
    <row r="594" spans="8:9">
      <c r="H594" t="str">
        <f>IF(SUMIFS(İndirimler!$C$2:$C$210,İndirimler!$A$2:$A$210,B594,İndirimler!$B$2:$B$210,C594)&gt;0,ROUND(G594*(1-SUMIFS(İndirimler!$C$2:$C$210,İndirimler!$A$2:$A$210,B594,İndirimler!$B$2:$B$210,C594)),2),"")</f>
        <v/>
      </c>
      <c r="I594" t="str">
        <f>IF(SUMIFS(İndirimler!$D$2:$D$210,İndirimler!$A$2:$A$210,B594,İndirimler!$B$2:$B$210,C594)&gt;0,ROUND(G594*(1-SUMIFS(İndirimler!$D$2:$D$210,İndirimler!$A$2:$A$210,B594,İndirimler!$B$2:$B$210,C594)),2),"")</f>
        <v/>
      </c>
    </row>
    <row r="595" spans="8:9">
      <c r="H595" t="str">
        <f>IF(SUMIFS(İndirimler!$C$2:$C$210,İndirimler!$A$2:$A$210,B595,İndirimler!$B$2:$B$210,C595)&gt;0,ROUND(G595*(1-SUMIFS(İndirimler!$C$2:$C$210,İndirimler!$A$2:$A$210,B595,İndirimler!$B$2:$B$210,C595)),2),"")</f>
        <v/>
      </c>
      <c r="I595" t="str">
        <f>IF(SUMIFS(İndirimler!$D$2:$D$210,İndirimler!$A$2:$A$210,B595,İndirimler!$B$2:$B$210,C595)&gt;0,ROUND(G595*(1-SUMIFS(İndirimler!$D$2:$D$210,İndirimler!$A$2:$A$210,B595,İndirimler!$B$2:$B$210,C595)),2),"")</f>
        <v/>
      </c>
    </row>
    <row r="596" spans="8:9">
      <c r="H596" t="str">
        <f>IF(SUMIFS(İndirimler!$C$2:$C$210,İndirimler!$A$2:$A$210,B596,İndirimler!$B$2:$B$210,C596)&gt;0,ROUND(G596*(1-SUMIFS(İndirimler!$C$2:$C$210,İndirimler!$A$2:$A$210,B596,İndirimler!$B$2:$B$210,C596)),2),"")</f>
        <v/>
      </c>
      <c r="I596" t="str">
        <f>IF(SUMIFS(İndirimler!$D$2:$D$210,İndirimler!$A$2:$A$210,B596,İndirimler!$B$2:$B$210,C596)&gt;0,ROUND(G596*(1-SUMIFS(İndirimler!$D$2:$D$210,İndirimler!$A$2:$A$210,B596,İndirimler!$B$2:$B$210,C596)),2),"")</f>
        <v/>
      </c>
    </row>
    <row r="597" spans="8:9">
      <c r="H597" t="str">
        <f>IF(SUMIFS(İndirimler!$C$2:$C$210,İndirimler!$A$2:$A$210,B597,İndirimler!$B$2:$B$210,C597)&gt;0,ROUND(G597*(1-SUMIFS(İndirimler!$C$2:$C$210,İndirimler!$A$2:$A$210,B597,İndirimler!$B$2:$B$210,C597)),2),"")</f>
        <v/>
      </c>
      <c r="I597" t="str">
        <f>IF(SUMIFS(İndirimler!$D$2:$D$210,İndirimler!$A$2:$A$210,B597,İndirimler!$B$2:$B$210,C597)&gt;0,ROUND(G597*(1-SUMIFS(İndirimler!$D$2:$D$210,İndirimler!$A$2:$A$210,B597,İndirimler!$B$2:$B$210,C597)),2),"")</f>
        <v/>
      </c>
    </row>
    <row r="598" spans="8:9">
      <c r="H598" t="str">
        <f>IF(SUMIFS(İndirimler!$C$2:$C$210,İndirimler!$A$2:$A$210,B598,İndirimler!$B$2:$B$210,C598)&gt;0,ROUND(G598*(1-SUMIFS(İndirimler!$C$2:$C$210,İndirimler!$A$2:$A$210,B598,İndirimler!$B$2:$B$210,C598)),2),"")</f>
        <v/>
      </c>
      <c r="I598" t="str">
        <f>IF(SUMIFS(İndirimler!$D$2:$D$210,İndirimler!$A$2:$A$210,B598,İndirimler!$B$2:$B$210,C598)&gt;0,ROUND(G598*(1-SUMIFS(İndirimler!$D$2:$D$210,İndirimler!$A$2:$A$210,B598,İndirimler!$B$2:$B$210,C598)),2),"")</f>
        <v/>
      </c>
    </row>
    <row r="599" spans="8:9">
      <c r="H599" t="str">
        <f>IF(SUMIFS(İndirimler!$C$2:$C$210,İndirimler!$A$2:$A$210,B599,İndirimler!$B$2:$B$210,C599)&gt;0,ROUND(G599*(1-SUMIFS(İndirimler!$C$2:$C$210,İndirimler!$A$2:$A$210,B599,İndirimler!$B$2:$B$210,C599)),2),"")</f>
        <v/>
      </c>
      <c r="I599" t="str">
        <f>IF(SUMIFS(İndirimler!$D$2:$D$210,İndirimler!$A$2:$A$210,B599,İndirimler!$B$2:$B$210,C599)&gt;0,ROUND(G599*(1-SUMIFS(İndirimler!$D$2:$D$210,İndirimler!$A$2:$A$210,B599,İndirimler!$B$2:$B$210,C599)),2),"")</f>
        <v/>
      </c>
    </row>
    <row r="600" spans="8:9">
      <c r="H600" t="str">
        <f>IF(SUMIFS(İndirimler!$C$2:$C$210,İndirimler!$A$2:$A$210,B600,İndirimler!$B$2:$B$210,C600)&gt;0,ROUND(G600*(1-SUMIFS(İndirimler!$C$2:$C$210,İndirimler!$A$2:$A$210,B600,İndirimler!$B$2:$B$210,C600)),2),"")</f>
        <v/>
      </c>
      <c r="I600" t="str">
        <f>IF(SUMIFS(İndirimler!$D$2:$D$210,İndirimler!$A$2:$A$210,B600,İndirimler!$B$2:$B$210,C600)&gt;0,ROUND(G600*(1-SUMIFS(İndirimler!$D$2:$D$210,İndirimler!$A$2:$A$210,B600,İndirimler!$B$2:$B$210,C600)),2),"")</f>
        <v/>
      </c>
    </row>
    <row r="601" spans="8:9">
      <c r="H601" t="str">
        <f>IF(SUMIFS(İndirimler!$C$2:$C$210,İndirimler!$A$2:$A$210,B601,İndirimler!$B$2:$B$210,C601)&gt;0,ROUND(G601*(1-SUMIFS(İndirimler!$C$2:$C$210,İndirimler!$A$2:$A$210,B601,İndirimler!$B$2:$B$210,C601)),2),"")</f>
        <v/>
      </c>
      <c r="I601" t="str">
        <f>IF(SUMIFS(İndirimler!$D$2:$D$210,İndirimler!$A$2:$A$210,B601,İndirimler!$B$2:$B$210,C601)&gt;0,ROUND(G601*(1-SUMIFS(İndirimler!$D$2:$D$210,İndirimler!$A$2:$A$210,B601,İndirimler!$B$2:$B$210,C601)),2),"")</f>
        <v/>
      </c>
    </row>
    <row r="602" spans="8:9">
      <c r="H602" t="str">
        <f>IF(SUMIFS(İndirimler!$C$2:$C$210,İndirimler!$A$2:$A$210,B602,İndirimler!$B$2:$B$210,C602)&gt;0,ROUND(G602*(1-SUMIFS(İndirimler!$C$2:$C$210,İndirimler!$A$2:$A$210,B602,İndirimler!$B$2:$B$210,C602)),2),"")</f>
        <v/>
      </c>
      <c r="I602" t="str">
        <f>IF(SUMIFS(İndirimler!$D$2:$D$210,İndirimler!$A$2:$A$210,B602,İndirimler!$B$2:$B$210,C602)&gt;0,ROUND(G602*(1-SUMIFS(İndirimler!$D$2:$D$210,İndirimler!$A$2:$A$210,B602,İndirimler!$B$2:$B$210,C602)),2),"")</f>
        <v/>
      </c>
    </row>
    <row r="603" spans="8:9">
      <c r="H603" t="str">
        <f>IF(SUMIFS(İndirimler!$C$2:$C$210,İndirimler!$A$2:$A$210,B603,İndirimler!$B$2:$B$210,C603)&gt;0,ROUND(G603*(1-SUMIFS(İndirimler!$C$2:$C$210,İndirimler!$A$2:$A$210,B603,İndirimler!$B$2:$B$210,C603)),2),"")</f>
        <v/>
      </c>
      <c r="I603" t="str">
        <f>IF(SUMIFS(İndirimler!$D$2:$D$210,İndirimler!$A$2:$A$210,B603,İndirimler!$B$2:$B$210,C603)&gt;0,ROUND(G603*(1-SUMIFS(İndirimler!$D$2:$D$210,İndirimler!$A$2:$A$210,B603,İndirimler!$B$2:$B$210,C603)),2),"")</f>
        <v/>
      </c>
    </row>
    <row r="604" spans="8:9">
      <c r="H604" t="str">
        <f>IF(SUMIFS(İndirimler!$C$2:$C$210,İndirimler!$A$2:$A$210,B604,İndirimler!$B$2:$B$210,C604)&gt;0,ROUND(G604*(1-SUMIFS(İndirimler!$C$2:$C$210,İndirimler!$A$2:$A$210,B604,İndirimler!$B$2:$B$210,C604)),2),"")</f>
        <v/>
      </c>
      <c r="I604" t="str">
        <f>IF(SUMIFS(İndirimler!$D$2:$D$210,İndirimler!$A$2:$A$210,B604,İndirimler!$B$2:$B$210,C604)&gt;0,ROUND(G604*(1-SUMIFS(İndirimler!$D$2:$D$210,İndirimler!$A$2:$A$210,B604,İndirimler!$B$2:$B$210,C604)),2),"")</f>
        <v/>
      </c>
    </row>
    <row r="605" spans="8:9">
      <c r="H605" t="str">
        <f>IF(SUMIFS(İndirimler!$C$2:$C$210,İndirimler!$A$2:$A$210,B605,İndirimler!$B$2:$B$210,C605)&gt;0,ROUND(G605*(1-SUMIFS(İndirimler!$C$2:$C$210,İndirimler!$A$2:$A$210,B605,İndirimler!$B$2:$B$210,C605)),2),"")</f>
        <v/>
      </c>
      <c r="I605" t="str">
        <f>IF(SUMIFS(İndirimler!$D$2:$D$210,İndirimler!$A$2:$A$210,B605,İndirimler!$B$2:$B$210,C605)&gt;0,ROUND(G605*(1-SUMIFS(İndirimler!$D$2:$D$210,İndirimler!$A$2:$A$210,B605,İndirimler!$B$2:$B$210,C605)),2),"")</f>
        <v/>
      </c>
    </row>
    <row r="606" spans="8:9">
      <c r="H606" t="str">
        <f>IF(SUMIFS(İndirimler!$C$2:$C$210,İndirimler!$A$2:$A$210,B606,İndirimler!$B$2:$B$210,C606)&gt;0,ROUND(G606*(1-SUMIFS(İndirimler!$C$2:$C$210,İndirimler!$A$2:$A$210,B606,İndirimler!$B$2:$B$210,C606)),2),"")</f>
        <v/>
      </c>
      <c r="I606" t="str">
        <f>IF(SUMIFS(İndirimler!$D$2:$D$210,İndirimler!$A$2:$A$210,B606,İndirimler!$B$2:$B$210,C606)&gt;0,ROUND(G606*(1-SUMIFS(İndirimler!$D$2:$D$210,İndirimler!$A$2:$A$210,B606,İndirimler!$B$2:$B$210,C606)),2),"")</f>
        <v/>
      </c>
    </row>
    <row r="607" spans="8:9">
      <c r="H607" t="str">
        <f>IF(SUMIFS(İndirimler!$C$2:$C$210,İndirimler!$A$2:$A$210,B607,İndirimler!$B$2:$B$210,C607)&gt;0,ROUND(G607*(1-SUMIFS(İndirimler!$C$2:$C$210,İndirimler!$A$2:$A$210,B607,İndirimler!$B$2:$B$210,C607)),2),"")</f>
        <v/>
      </c>
      <c r="I607" t="str">
        <f>IF(SUMIFS(İndirimler!$D$2:$D$210,İndirimler!$A$2:$A$210,B607,İndirimler!$B$2:$B$210,C607)&gt;0,ROUND(G607*(1-SUMIFS(İndirimler!$D$2:$D$210,İndirimler!$A$2:$A$210,B607,İndirimler!$B$2:$B$210,C607)),2),"")</f>
        <v/>
      </c>
    </row>
    <row r="608" spans="8:9">
      <c r="H608" t="str">
        <f>IF(SUMIFS(İndirimler!$C$2:$C$210,İndirimler!$A$2:$A$210,B608,İndirimler!$B$2:$B$210,C608)&gt;0,ROUND(G608*(1-SUMIFS(İndirimler!$C$2:$C$210,İndirimler!$A$2:$A$210,B608,İndirimler!$B$2:$B$210,C608)),2),"")</f>
        <v/>
      </c>
      <c r="I608" t="str">
        <f>IF(SUMIFS(İndirimler!$D$2:$D$210,İndirimler!$A$2:$A$210,B608,İndirimler!$B$2:$B$210,C608)&gt;0,ROUND(G608*(1-SUMIFS(İndirimler!$D$2:$D$210,İndirimler!$A$2:$A$210,B608,İndirimler!$B$2:$B$210,C608)),2),"")</f>
        <v/>
      </c>
    </row>
    <row r="609" spans="8:9">
      <c r="H609" t="str">
        <f>IF(SUMIFS(İndirimler!$C$2:$C$210,İndirimler!$A$2:$A$210,B609,İndirimler!$B$2:$B$210,C609)&gt;0,ROUND(G609*(1-SUMIFS(İndirimler!$C$2:$C$210,İndirimler!$A$2:$A$210,B609,İndirimler!$B$2:$B$210,C609)),2),"")</f>
        <v/>
      </c>
      <c r="I609" t="str">
        <f>IF(SUMIFS(İndirimler!$D$2:$D$210,İndirimler!$A$2:$A$210,B609,İndirimler!$B$2:$B$210,C609)&gt;0,ROUND(G609*(1-SUMIFS(İndirimler!$D$2:$D$210,İndirimler!$A$2:$A$210,B609,İndirimler!$B$2:$B$210,C609)),2),"")</f>
        <v/>
      </c>
    </row>
    <row r="610" spans="8:9">
      <c r="H610" t="str">
        <f>IF(SUMIFS(İndirimler!$C$2:$C$210,İndirimler!$A$2:$A$210,B610,İndirimler!$B$2:$B$210,C610)&gt;0,ROUND(G610*(1-SUMIFS(İndirimler!$C$2:$C$210,İndirimler!$A$2:$A$210,B610,İndirimler!$B$2:$B$210,C610)),2),"")</f>
        <v/>
      </c>
      <c r="I610" t="str">
        <f>IF(SUMIFS(İndirimler!$D$2:$D$210,İndirimler!$A$2:$A$210,B610,İndirimler!$B$2:$B$210,C610)&gt;0,ROUND(G610*(1-SUMIFS(İndirimler!$D$2:$D$210,İndirimler!$A$2:$A$210,B610,İndirimler!$B$2:$B$210,C610)),2),"")</f>
        <v/>
      </c>
    </row>
    <row r="611" spans="8:9">
      <c r="H611" t="str">
        <f>IF(SUMIFS(İndirimler!$C$2:$C$210,İndirimler!$A$2:$A$210,B611,İndirimler!$B$2:$B$210,C611)&gt;0,ROUND(G611*(1-SUMIFS(İndirimler!$C$2:$C$210,İndirimler!$A$2:$A$210,B611,İndirimler!$B$2:$B$210,C611)),2),"")</f>
        <v/>
      </c>
      <c r="I611" t="str">
        <f>IF(SUMIFS(İndirimler!$D$2:$D$210,İndirimler!$A$2:$A$210,B611,İndirimler!$B$2:$B$210,C611)&gt;0,ROUND(G611*(1-SUMIFS(İndirimler!$D$2:$D$210,İndirimler!$A$2:$A$210,B611,İndirimler!$B$2:$B$210,C611)),2),"")</f>
        <v/>
      </c>
    </row>
    <row r="612" spans="8:9">
      <c r="H612" t="str">
        <f>IF(SUMIFS(İndirimler!$C$2:$C$210,İndirimler!$A$2:$A$210,B612,İndirimler!$B$2:$B$210,C612)&gt;0,ROUND(G612*(1-SUMIFS(İndirimler!$C$2:$C$210,İndirimler!$A$2:$A$210,B612,İndirimler!$B$2:$B$210,C612)),2),"")</f>
        <v/>
      </c>
      <c r="I612" t="str">
        <f>IF(SUMIFS(İndirimler!$D$2:$D$210,İndirimler!$A$2:$A$210,B612,İndirimler!$B$2:$B$210,C612)&gt;0,ROUND(G612*(1-SUMIFS(İndirimler!$D$2:$D$210,İndirimler!$A$2:$A$210,B612,İndirimler!$B$2:$B$210,C612)),2),"")</f>
        <v/>
      </c>
    </row>
    <row r="613" spans="8:9">
      <c r="H613" t="str">
        <f>IF(SUMIFS(İndirimler!$C$2:$C$210,İndirimler!$A$2:$A$210,B613,İndirimler!$B$2:$B$210,C613)&gt;0,ROUND(G613*(1-SUMIFS(İndirimler!$C$2:$C$210,İndirimler!$A$2:$A$210,B613,İndirimler!$B$2:$B$210,C613)),2),"")</f>
        <v/>
      </c>
      <c r="I613" t="str">
        <f>IF(SUMIFS(İndirimler!$D$2:$D$210,İndirimler!$A$2:$A$210,B613,İndirimler!$B$2:$B$210,C613)&gt;0,ROUND(G613*(1-SUMIFS(İndirimler!$D$2:$D$210,İndirimler!$A$2:$A$210,B613,İndirimler!$B$2:$B$210,C613)),2),"")</f>
        <v/>
      </c>
    </row>
    <row r="614" spans="8:9">
      <c r="H614" t="str">
        <f>IF(SUMIFS(İndirimler!$C$2:$C$210,İndirimler!$A$2:$A$210,B614,İndirimler!$B$2:$B$210,C614)&gt;0,ROUND(G614*(1-SUMIFS(İndirimler!$C$2:$C$210,İndirimler!$A$2:$A$210,B614,İndirimler!$B$2:$B$210,C614)),2),"")</f>
        <v/>
      </c>
      <c r="I614" t="str">
        <f>IF(SUMIFS(İndirimler!$D$2:$D$210,İndirimler!$A$2:$A$210,B614,İndirimler!$B$2:$B$210,C614)&gt;0,ROUND(G614*(1-SUMIFS(İndirimler!$D$2:$D$210,İndirimler!$A$2:$A$210,B614,İndirimler!$B$2:$B$210,C614)),2),"")</f>
        <v/>
      </c>
    </row>
    <row r="615" spans="8:9">
      <c r="H615" t="str">
        <f>IF(SUMIFS(İndirimler!$C$2:$C$210,İndirimler!$A$2:$A$210,B615,İndirimler!$B$2:$B$210,C615)&gt;0,ROUND(G615*(1-SUMIFS(İndirimler!$C$2:$C$210,İndirimler!$A$2:$A$210,B615,İndirimler!$B$2:$B$210,C615)),2),"")</f>
        <v/>
      </c>
      <c r="I615" t="str">
        <f>IF(SUMIFS(İndirimler!$D$2:$D$210,İndirimler!$A$2:$A$210,B615,İndirimler!$B$2:$B$210,C615)&gt;0,ROUND(G615*(1-SUMIFS(İndirimler!$D$2:$D$210,İndirimler!$A$2:$A$210,B615,İndirimler!$B$2:$B$210,C615)),2),"")</f>
        <v/>
      </c>
    </row>
    <row r="616" spans="8:9">
      <c r="H616" t="str">
        <f>IF(SUMIFS(İndirimler!$C$2:$C$210,İndirimler!$A$2:$A$210,B616,İndirimler!$B$2:$B$210,C616)&gt;0,ROUND(G616*(1-SUMIFS(İndirimler!$C$2:$C$210,İndirimler!$A$2:$A$210,B616,İndirimler!$B$2:$B$210,C616)),2),"")</f>
        <v/>
      </c>
      <c r="I616" t="str">
        <f>IF(SUMIFS(İndirimler!$D$2:$D$210,İndirimler!$A$2:$A$210,B616,İndirimler!$B$2:$B$210,C616)&gt;0,ROUND(G616*(1-SUMIFS(İndirimler!$D$2:$D$210,İndirimler!$A$2:$A$210,B616,İndirimler!$B$2:$B$210,C616)),2),"")</f>
        <v/>
      </c>
    </row>
    <row r="617" spans="8:9">
      <c r="H617" t="str">
        <f>IF(SUMIFS(İndirimler!$C$2:$C$210,İndirimler!$A$2:$A$210,B617,İndirimler!$B$2:$B$210,C617)&gt;0,ROUND(G617*(1-SUMIFS(İndirimler!$C$2:$C$210,İndirimler!$A$2:$A$210,B617,İndirimler!$B$2:$B$210,C617)),2),"")</f>
        <v/>
      </c>
      <c r="I617" t="str">
        <f>IF(SUMIFS(İndirimler!$D$2:$D$210,İndirimler!$A$2:$A$210,B617,İndirimler!$B$2:$B$210,C617)&gt;0,ROUND(G617*(1-SUMIFS(İndirimler!$D$2:$D$210,İndirimler!$A$2:$A$210,B617,İndirimler!$B$2:$B$210,C617)),2),"")</f>
        <v/>
      </c>
    </row>
    <row r="618" spans="8:9">
      <c r="H618" t="str">
        <f>IF(SUMIFS(İndirimler!$C$2:$C$210,İndirimler!$A$2:$A$210,B618,İndirimler!$B$2:$B$210,C618)&gt;0,ROUND(G618*(1-SUMIFS(İndirimler!$C$2:$C$210,İndirimler!$A$2:$A$210,B618,İndirimler!$B$2:$B$210,C618)),2),"")</f>
        <v/>
      </c>
      <c r="I618" t="str">
        <f>IF(SUMIFS(İndirimler!$D$2:$D$210,İndirimler!$A$2:$A$210,B618,İndirimler!$B$2:$B$210,C618)&gt;0,ROUND(G618*(1-SUMIFS(İndirimler!$D$2:$D$210,İndirimler!$A$2:$A$210,B618,İndirimler!$B$2:$B$210,C618)),2),"")</f>
        <v/>
      </c>
    </row>
    <row r="619" spans="8:9">
      <c r="H619" t="str">
        <f>IF(SUMIFS(İndirimler!$C$2:$C$210,İndirimler!$A$2:$A$210,B619,İndirimler!$B$2:$B$210,C619)&gt;0,ROUND(G619*(1-SUMIFS(İndirimler!$C$2:$C$210,İndirimler!$A$2:$A$210,B619,İndirimler!$B$2:$B$210,C619)),2),"")</f>
        <v/>
      </c>
      <c r="I619" t="str">
        <f>IF(SUMIFS(İndirimler!$D$2:$D$210,İndirimler!$A$2:$A$210,B619,İndirimler!$B$2:$B$210,C619)&gt;0,ROUND(G619*(1-SUMIFS(İndirimler!$D$2:$D$210,İndirimler!$A$2:$A$210,B619,İndirimler!$B$2:$B$210,C619)),2),"")</f>
        <v/>
      </c>
    </row>
    <row r="620" spans="8:9">
      <c r="H620" t="str">
        <f>IF(SUMIFS(İndirimler!$C$2:$C$210,İndirimler!$A$2:$A$210,B620,İndirimler!$B$2:$B$210,C620)&gt;0,ROUND(G620*(1-SUMIFS(İndirimler!$C$2:$C$210,İndirimler!$A$2:$A$210,B620,İndirimler!$B$2:$B$210,C620)),2),"")</f>
        <v/>
      </c>
      <c r="I620" t="str">
        <f>IF(SUMIFS(İndirimler!$D$2:$D$210,İndirimler!$A$2:$A$210,B620,İndirimler!$B$2:$B$210,C620)&gt;0,ROUND(G620*(1-SUMIFS(İndirimler!$D$2:$D$210,İndirimler!$A$2:$A$210,B620,İndirimler!$B$2:$B$210,C620)),2),"")</f>
        <v/>
      </c>
    </row>
    <row r="621" spans="8:9">
      <c r="H621" t="str">
        <f>IF(SUMIFS(İndirimler!$C$2:$C$210,İndirimler!$A$2:$A$210,B621,İndirimler!$B$2:$B$210,C621)&gt;0,ROUND(G621*(1-SUMIFS(İndirimler!$C$2:$C$210,İndirimler!$A$2:$A$210,B621,İndirimler!$B$2:$B$210,C621)),2),"")</f>
        <v/>
      </c>
      <c r="I621" t="str">
        <f>IF(SUMIFS(İndirimler!$D$2:$D$210,İndirimler!$A$2:$A$210,B621,İndirimler!$B$2:$B$210,C621)&gt;0,ROUND(G621*(1-SUMIFS(İndirimler!$D$2:$D$210,İndirimler!$A$2:$A$210,B621,İndirimler!$B$2:$B$210,C621)),2),"")</f>
        <v/>
      </c>
    </row>
    <row r="622" spans="8:9">
      <c r="H622" t="str">
        <f>IF(SUMIFS(İndirimler!$C$2:$C$210,İndirimler!$A$2:$A$210,B622,İndirimler!$B$2:$B$210,C622)&gt;0,ROUND(G622*(1-SUMIFS(İndirimler!$C$2:$C$210,İndirimler!$A$2:$A$210,B622,İndirimler!$B$2:$B$210,C622)),2),"")</f>
        <v/>
      </c>
      <c r="I622" t="str">
        <f>IF(SUMIFS(İndirimler!$D$2:$D$210,İndirimler!$A$2:$A$210,B622,İndirimler!$B$2:$B$210,C622)&gt;0,ROUND(G622*(1-SUMIFS(İndirimler!$D$2:$D$210,İndirimler!$A$2:$A$210,B622,İndirimler!$B$2:$B$210,C622)),2),"")</f>
        <v/>
      </c>
    </row>
    <row r="623" spans="8:9">
      <c r="H623" t="str">
        <f>IF(SUMIFS(İndirimler!$C$2:$C$210,İndirimler!$A$2:$A$210,B623,İndirimler!$B$2:$B$210,C623)&gt;0,ROUND(G623*(1-SUMIFS(İndirimler!$C$2:$C$210,İndirimler!$A$2:$A$210,B623,İndirimler!$B$2:$B$210,C623)),2),"")</f>
        <v/>
      </c>
      <c r="I623" t="str">
        <f>IF(SUMIFS(İndirimler!$D$2:$D$210,İndirimler!$A$2:$A$210,B623,İndirimler!$B$2:$B$210,C623)&gt;0,ROUND(G623*(1-SUMIFS(İndirimler!$D$2:$D$210,İndirimler!$A$2:$A$210,B623,İndirimler!$B$2:$B$210,C623)),2),"")</f>
        <v/>
      </c>
    </row>
    <row r="624" spans="8:9">
      <c r="H624" t="str">
        <f>IF(SUMIFS(İndirimler!$C$2:$C$210,İndirimler!$A$2:$A$210,B624,İndirimler!$B$2:$B$210,C624)&gt;0,ROUND(G624*(1-SUMIFS(İndirimler!$C$2:$C$210,İndirimler!$A$2:$A$210,B624,İndirimler!$B$2:$B$210,C624)),2),"")</f>
        <v/>
      </c>
      <c r="I624" t="str">
        <f>IF(SUMIFS(İndirimler!$D$2:$D$210,İndirimler!$A$2:$A$210,B624,İndirimler!$B$2:$B$210,C624)&gt;0,ROUND(G624*(1-SUMIFS(İndirimler!$D$2:$D$210,İndirimler!$A$2:$A$210,B624,İndirimler!$B$2:$B$210,C624)),2),"")</f>
        <v/>
      </c>
    </row>
    <row r="625" spans="8:9">
      <c r="H625" t="str">
        <f>IF(SUMIFS(İndirimler!$C$2:$C$210,İndirimler!$A$2:$A$210,B625,İndirimler!$B$2:$B$210,C625)&gt;0,ROUND(G625*(1-SUMIFS(İndirimler!$C$2:$C$210,İndirimler!$A$2:$A$210,B625,İndirimler!$B$2:$B$210,C625)),2),"")</f>
        <v/>
      </c>
      <c r="I625" t="str">
        <f>IF(SUMIFS(İndirimler!$D$2:$D$210,İndirimler!$A$2:$A$210,B625,İndirimler!$B$2:$B$210,C625)&gt;0,ROUND(G625*(1-SUMIFS(İndirimler!$D$2:$D$210,İndirimler!$A$2:$A$210,B625,İndirimler!$B$2:$B$210,C625)),2),"")</f>
        <v/>
      </c>
    </row>
    <row r="626" spans="8:9">
      <c r="H626" t="str">
        <f>IF(SUMIFS(İndirimler!$C$2:$C$210,İndirimler!$A$2:$A$210,B626,İndirimler!$B$2:$B$210,C626)&gt;0,ROUND(G626*(1-SUMIFS(İndirimler!$C$2:$C$210,İndirimler!$A$2:$A$210,B626,İndirimler!$B$2:$B$210,C626)),2),"")</f>
        <v/>
      </c>
      <c r="I626" t="str">
        <f>IF(SUMIFS(İndirimler!$D$2:$D$210,İndirimler!$A$2:$A$210,B626,İndirimler!$B$2:$B$210,C626)&gt;0,ROUND(G626*(1-SUMIFS(İndirimler!$D$2:$D$210,İndirimler!$A$2:$A$210,B626,İndirimler!$B$2:$B$210,C626)),2),"")</f>
        <v/>
      </c>
    </row>
    <row r="627" spans="8:9">
      <c r="H627" t="str">
        <f>IF(SUMIFS(İndirimler!$C$2:$C$210,İndirimler!$A$2:$A$210,B627,İndirimler!$B$2:$B$210,C627)&gt;0,ROUND(G627*(1-SUMIFS(İndirimler!$C$2:$C$210,İndirimler!$A$2:$A$210,B627,İndirimler!$B$2:$B$210,C627)),2),"")</f>
        <v/>
      </c>
      <c r="I627" t="str">
        <f>IF(SUMIFS(İndirimler!$D$2:$D$210,İndirimler!$A$2:$A$210,B627,İndirimler!$B$2:$B$210,C627)&gt;0,ROUND(G627*(1-SUMIFS(İndirimler!$D$2:$D$210,İndirimler!$A$2:$A$210,B627,İndirimler!$B$2:$B$210,C627)),2),"")</f>
        <v/>
      </c>
    </row>
    <row r="628" spans="8:9">
      <c r="H628" t="str">
        <f>IF(SUMIFS(İndirimler!$C$2:$C$210,İndirimler!$A$2:$A$210,B628,İndirimler!$B$2:$B$210,C628)&gt;0,ROUND(G628*(1-SUMIFS(İndirimler!$C$2:$C$210,İndirimler!$A$2:$A$210,B628,İndirimler!$B$2:$B$210,C628)),2),"")</f>
        <v/>
      </c>
      <c r="I628" t="str">
        <f>IF(SUMIFS(İndirimler!$D$2:$D$210,İndirimler!$A$2:$A$210,B628,İndirimler!$B$2:$B$210,C628)&gt;0,ROUND(G628*(1-SUMIFS(İndirimler!$D$2:$D$210,İndirimler!$A$2:$A$210,B628,İndirimler!$B$2:$B$210,C628)),2),"")</f>
        <v/>
      </c>
    </row>
    <row r="629" spans="8:9">
      <c r="H629" t="str">
        <f>IF(SUMIFS(İndirimler!$C$2:$C$210,İndirimler!$A$2:$A$210,B629,İndirimler!$B$2:$B$210,C629)&gt;0,ROUND(G629*(1-SUMIFS(İndirimler!$C$2:$C$210,İndirimler!$A$2:$A$210,B629,İndirimler!$B$2:$B$210,C629)),2),"")</f>
        <v/>
      </c>
      <c r="I629" t="str">
        <f>IF(SUMIFS(İndirimler!$D$2:$D$210,İndirimler!$A$2:$A$210,B629,İndirimler!$B$2:$B$210,C629)&gt;0,ROUND(G629*(1-SUMIFS(İndirimler!$D$2:$D$210,İndirimler!$A$2:$A$210,B629,İndirimler!$B$2:$B$210,C629)),2),"")</f>
        <v/>
      </c>
    </row>
    <row r="630" spans="8:9">
      <c r="H630" t="str">
        <f>IF(SUMIFS(İndirimler!$C$2:$C$210,İndirimler!$A$2:$A$210,B630,İndirimler!$B$2:$B$210,C630)&gt;0,ROUND(G630*(1-SUMIFS(İndirimler!$C$2:$C$210,İndirimler!$A$2:$A$210,B630,İndirimler!$B$2:$B$210,C630)),2),"")</f>
        <v/>
      </c>
      <c r="I630" t="str">
        <f>IF(SUMIFS(İndirimler!$D$2:$D$210,İndirimler!$A$2:$A$210,B630,İndirimler!$B$2:$B$210,C630)&gt;0,ROUND(G630*(1-SUMIFS(İndirimler!$D$2:$D$210,İndirimler!$A$2:$A$210,B630,İndirimler!$B$2:$B$210,C630)),2),"")</f>
        <v/>
      </c>
    </row>
    <row r="631" spans="8:9">
      <c r="H631" t="str">
        <f>IF(SUMIFS(İndirimler!$C$2:$C$210,İndirimler!$A$2:$A$210,B631,İndirimler!$B$2:$B$210,C631)&gt;0,ROUND(G631*(1-SUMIFS(İndirimler!$C$2:$C$210,İndirimler!$A$2:$A$210,B631,İndirimler!$B$2:$B$210,C631)),2),"")</f>
        <v/>
      </c>
      <c r="I631" t="str">
        <f>IF(SUMIFS(İndirimler!$D$2:$D$210,İndirimler!$A$2:$A$210,B631,İndirimler!$B$2:$B$210,C631)&gt;0,ROUND(G631*(1-SUMIFS(İndirimler!$D$2:$D$210,İndirimler!$A$2:$A$210,B631,İndirimler!$B$2:$B$210,C631)),2),"")</f>
        <v/>
      </c>
    </row>
    <row r="632" spans="8:9">
      <c r="H632" t="str">
        <f>IF(SUMIFS(İndirimler!$C$2:$C$210,İndirimler!$A$2:$A$210,B632,İndirimler!$B$2:$B$210,C632)&gt;0,ROUND(G632*(1-SUMIFS(İndirimler!$C$2:$C$210,İndirimler!$A$2:$A$210,B632,İndirimler!$B$2:$B$210,C632)),2),"")</f>
        <v/>
      </c>
      <c r="I632" t="str">
        <f>IF(SUMIFS(İndirimler!$D$2:$D$210,İndirimler!$A$2:$A$210,B632,İndirimler!$B$2:$B$210,C632)&gt;0,ROUND(G632*(1-SUMIFS(İndirimler!$D$2:$D$210,İndirimler!$A$2:$A$210,B632,İndirimler!$B$2:$B$210,C632)),2),"")</f>
        <v/>
      </c>
    </row>
    <row r="633" spans="8:9">
      <c r="H633" t="str">
        <f>IF(SUMIFS(İndirimler!$C$2:$C$210,İndirimler!$A$2:$A$210,B633,İndirimler!$B$2:$B$210,C633)&gt;0,ROUND(G633*(1-SUMIFS(İndirimler!$C$2:$C$210,İndirimler!$A$2:$A$210,B633,İndirimler!$B$2:$B$210,C633)),2),"")</f>
        <v/>
      </c>
      <c r="I633" t="str">
        <f>IF(SUMIFS(İndirimler!$D$2:$D$210,İndirimler!$A$2:$A$210,B633,İndirimler!$B$2:$B$210,C633)&gt;0,ROUND(G633*(1-SUMIFS(İndirimler!$D$2:$D$210,İndirimler!$A$2:$A$210,B633,İndirimler!$B$2:$B$210,C633)),2),"")</f>
        <v/>
      </c>
    </row>
    <row r="634" spans="8:9">
      <c r="H634" t="str">
        <f>IF(SUMIFS(İndirimler!$C$2:$C$210,İndirimler!$A$2:$A$210,B634,İndirimler!$B$2:$B$210,C634)&gt;0,ROUND(G634*(1-SUMIFS(İndirimler!$C$2:$C$210,İndirimler!$A$2:$A$210,B634,İndirimler!$B$2:$B$210,C634)),2),"")</f>
        <v/>
      </c>
      <c r="I634" t="str">
        <f>IF(SUMIFS(İndirimler!$D$2:$D$210,İndirimler!$A$2:$A$210,B634,İndirimler!$B$2:$B$210,C634)&gt;0,ROUND(G634*(1-SUMIFS(İndirimler!$D$2:$D$210,İndirimler!$A$2:$A$210,B634,İndirimler!$B$2:$B$210,C634)),2),"")</f>
        <v/>
      </c>
    </row>
    <row r="635" spans="8:9">
      <c r="H635" t="str">
        <f>IF(SUMIFS(İndirimler!$C$2:$C$210,İndirimler!$A$2:$A$210,B635,İndirimler!$B$2:$B$210,C635)&gt;0,ROUND(G635*(1-SUMIFS(İndirimler!$C$2:$C$210,İndirimler!$A$2:$A$210,B635,İndirimler!$B$2:$B$210,C635)),2),"")</f>
        <v/>
      </c>
      <c r="I635" t="str">
        <f>IF(SUMIFS(İndirimler!$D$2:$D$210,İndirimler!$A$2:$A$210,B635,İndirimler!$B$2:$B$210,C635)&gt;0,ROUND(G635*(1-SUMIFS(İndirimler!$D$2:$D$210,İndirimler!$A$2:$A$210,B635,İndirimler!$B$2:$B$210,C635)),2),"")</f>
        <v/>
      </c>
    </row>
    <row r="636" spans="8:9">
      <c r="H636" t="str">
        <f>IF(SUMIFS(İndirimler!$C$2:$C$210,İndirimler!$A$2:$A$210,B636,İndirimler!$B$2:$B$210,C636)&gt;0,ROUND(G636*(1-SUMIFS(İndirimler!$C$2:$C$210,İndirimler!$A$2:$A$210,B636,İndirimler!$B$2:$B$210,C636)),2),"")</f>
        <v/>
      </c>
      <c r="I636" t="str">
        <f>IF(SUMIFS(İndirimler!$D$2:$D$210,İndirimler!$A$2:$A$210,B636,İndirimler!$B$2:$B$210,C636)&gt;0,ROUND(G636*(1-SUMIFS(İndirimler!$D$2:$D$210,İndirimler!$A$2:$A$210,B636,İndirimler!$B$2:$B$210,C636)),2),"")</f>
        <v/>
      </c>
    </row>
    <row r="637" spans="8:9">
      <c r="H637" t="str">
        <f>IF(SUMIFS(İndirimler!$C$2:$C$210,İndirimler!$A$2:$A$210,B637,İndirimler!$B$2:$B$210,C637)&gt;0,ROUND(G637*(1-SUMIFS(İndirimler!$C$2:$C$210,İndirimler!$A$2:$A$210,B637,İndirimler!$B$2:$B$210,C637)),2),"")</f>
        <v/>
      </c>
      <c r="I637" t="str">
        <f>IF(SUMIFS(İndirimler!$D$2:$D$210,İndirimler!$A$2:$A$210,B637,İndirimler!$B$2:$B$210,C637)&gt;0,ROUND(G637*(1-SUMIFS(İndirimler!$D$2:$D$210,İndirimler!$A$2:$A$210,B637,İndirimler!$B$2:$B$210,C637)),2),"")</f>
        <v/>
      </c>
    </row>
    <row r="638" spans="8:9">
      <c r="H638" t="str">
        <f>IF(SUMIFS(İndirimler!$C$2:$C$210,İndirimler!$A$2:$A$210,B638,İndirimler!$B$2:$B$210,C638)&gt;0,ROUND(G638*(1-SUMIFS(İndirimler!$C$2:$C$210,İndirimler!$A$2:$A$210,B638,İndirimler!$B$2:$B$210,C638)),2),"")</f>
        <v/>
      </c>
      <c r="I638" t="str">
        <f>IF(SUMIFS(İndirimler!$D$2:$D$210,İndirimler!$A$2:$A$210,B638,İndirimler!$B$2:$B$210,C638)&gt;0,ROUND(G638*(1-SUMIFS(İndirimler!$D$2:$D$210,İndirimler!$A$2:$A$210,B638,İndirimler!$B$2:$B$210,C638)),2),"")</f>
        <v/>
      </c>
    </row>
    <row r="639" spans="8:9">
      <c r="H639" t="str">
        <f>IF(SUMIFS(İndirimler!$C$2:$C$210,İndirimler!$A$2:$A$210,B639,İndirimler!$B$2:$B$210,C639)&gt;0,ROUND(G639*(1-SUMIFS(İndirimler!$C$2:$C$210,İndirimler!$A$2:$A$210,B639,İndirimler!$B$2:$B$210,C639)),2),"")</f>
        <v/>
      </c>
      <c r="I639" t="str">
        <f>IF(SUMIFS(İndirimler!$D$2:$D$210,İndirimler!$A$2:$A$210,B639,İndirimler!$B$2:$B$210,C639)&gt;0,ROUND(G639*(1-SUMIFS(İndirimler!$D$2:$D$210,İndirimler!$A$2:$A$210,B639,İndirimler!$B$2:$B$210,C639)),2),"")</f>
        <v/>
      </c>
    </row>
    <row r="640" spans="8:9">
      <c r="H640" t="str">
        <f>IF(SUMIFS(İndirimler!$C$2:$C$210,İndirimler!$A$2:$A$210,B640,İndirimler!$B$2:$B$210,C640)&gt;0,ROUND(G640*(1-SUMIFS(İndirimler!$C$2:$C$210,İndirimler!$A$2:$A$210,B640,İndirimler!$B$2:$B$210,C640)),2),"")</f>
        <v/>
      </c>
      <c r="I640" t="str">
        <f>IF(SUMIFS(İndirimler!$D$2:$D$210,İndirimler!$A$2:$A$210,B640,İndirimler!$B$2:$B$210,C640)&gt;0,ROUND(G640*(1-SUMIFS(İndirimler!$D$2:$D$210,İndirimler!$A$2:$A$210,B640,İndirimler!$B$2:$B$210,C640)),2),"")</f>
        <v/>
      </c>
    </row>
    <row r="641" spans="8:9">
      <c r="H641" t="str">
        <f>IF(SUMIFS(İndirimler!$C$2:$C$210,İndirimler!$A$2:$A$210,B641,İndirimler!$B$2:$B$210,C641)&gt;0,ROUND(G641*(1-SUMIFS(İndirimler!$C$2:$C$210,İndirimler!$A$2:$A$210,B641,İndirimler!$B$2:$B$210,C641)),2),"")</f>
        <v/>
      </c>
      <c r="I641" t="str">
        <f>IF(SUMIFS(İndirimler!$D$2:$D$210,İndirimler!$A$2:$A$210,B641,İndirimler!$B$2:$B$210,C641)&gt;0,ROUND(G641*(1-SUMIFS(İndirimler!$D$2:$D$210,İndirimler!$A$2:$A$210,B641,İndirimler!$B$2:$B$210,C641)),2),"")</f>
        <v/>
      </c>
    </row>
    <row r="642" spans="8:9">
      <c r="H642" t="str">
        <f>IF(SUMIFS(İndirimler!$C$2:$C$210,İndirimler!$A$2:$A$210,B642,İndirimler!$B$2:$B$210,C642)&gt;0,ROUND(G642*(1-SUMIFS(İndirimler!$C$2:$C$210,İndirimler!$A$2:$A$210,B642,İndirimler!$B$2:$B$210,C642)),2),"")</f>
        <v/>
      </c>
      <c r="I642" t="str">
        <f>IF(SUMIFS(İndirimler!$D$2:$D$210,İndirimler!$A$2:$A$210,B642,İndirimler!$B$2:$B$210,C642)&gt;0,ROUND(G642*(1-SUMIFS(İndirimler!$D$2:$D$210,İndirimler!$A$2:$A$210,B642,İndirimler!$B$2:$B$210,C642)),2),"")</f>
        <v/>
      </c>
    </row>
    <row r="643" spans="8:9">
      <c r="H643" t="str">
        <f>IF(SUMIFS(İndirimler!$C$2:$C$210,İndirimler!$A$2:$A$210,B643,İndirimler!$B$2:$B$210,C643)&gt;0,ROUND(G643*(1-SUMIFS(İndirimler!$C$2:$C$210,İndirimler!$A$2:$A$210,B643,İndirimler!$B$2:$B$210,C643)),2),"")</f>
        <v/>
      </c>
      <c r="I643" t="str">
        <f>IF(SUMIFS(İndirimler!$D$2:$D$210,İndirimler!$A$2:$A$210,B643,İndirimler!$B$2:$B$210,C643)&gt;0,ROUND(G643*(1-SUMIFS(İndirimler!$D$2:$D$210,İndirimler!$A$2:$A$210,B643,İndirimler!$B$2:$B$210,C643)),2),"")</f>
        <v/>
      </c>
    </row>
    <row r="644" spans="8:9">
      <c r="H644" t="str">
        <f>IF(SUMIFS(İndirimler!$C$2:$C$210,İndirimler!$A$2:$A$210,B644,İndirimler!$B$2:$B$210,C644)&gt;0,ROUND(G644*(1-SUMIFS(İndirimler!$C$2:$C$210,İndirimler!$A$2:$A$210,B644,İndirimler!$B$2:$B$210,C644)),2),"")</f>
        <v/>
      </c>
      <c r="I644" t="str">
        <f>IF(SUMIFS(İndirimler!$D$2:$D$210,İndirimler!$A$2:$A$210,B644,İndirimler!$B$2:$B$210,C644)&gt;0,ROUND(G644*(1-SUMIFS(İndirimler!$D$2:$D$210,İndirimler!$A$2:$A$210,B644,İndirimler!$B$2:$B$210,C644)),2),"")</f>
        <v/>
      </c>
    </row>
    <row r="645" spans="8:9">
      <c r="H645" t="str">
        <f>IF(SUMIFS(İndirimler!$C$2:$C$210,İndirimler!$A$2:$A$210,B645,İndirimler!$B$2:$B$210,C645)&gt;0,ROUND(G645*(1-SUMIFS(İndirimler!$C$2:$C$210,İndirimler!$A$2:$A$210,B645,İndirimler!$B$2:$B$210,C645)),2),"")</f>
        <v/>
      </c>
      <c r="I645" t="str">
        <f>IF(SUMIFS(İndirimler!$D$2:$D$210,İndirimler!$A$2:$A$210,B645,İndirimler!$B$2:$B$210,C645)&gt;0,ROUND(G645*(1-SUMIFS(İndirimler!$D$2:$D$210,İndirimler!$A$2:$A$210,B645,İndirimler!$B$2:$B$210,C645)),2),"")</f>
        <v/>
      </c>
    </row>
    <row r="646" spans="8:9">
      <c r="H646" t="str">
        <f>IF(SUMIFS(İndirimler!$C$2:$C$210,İndirimler!$A$2:$A$210,B646,İndirimler!$B$2:$B$210,C646)&gt;0,ROUND(G646*(1-SUMIFS(İndirimler!$C$2:$C$210,İndirimler!$A$2:$A$210,B646,İndirimler!$B$2:$B$210,C646)),2),"")</f>
        <v/>
      </c>
      <c r="I646" t="str">
        <f>IF(SUMIFS(İndirimler!$D$2:$D$210,İndirimler!$A$2:$A$210,B646,İndirimler!$B$2:$B$210,C646)&gt;0,ROUND(G646*(1-SUMIFS(İndirimler!$D$2:$D$210,İndirimler!$A$2:$A$210,B646,İndirimler!$B$2:$B$210,C646)),2),"")</f>
        <v/>
      </c>
    </row>
    <row r="647" spans="8:9">
      <c r="H647" t="str">
        <f>IF(SUMIFS(İndirimler!$C$2:$C$210,İndirimler!$A$2:$A$210,B647,İndirimler!$B$2:$B$210,C647)&gt;0,ROUND(G647*(1-SUMIFS(İndirimler!$C$2:$C$210,İndirimler!$A$2:$A$210,B647,İndirimler!$B$2:$B$210,C647)),2),"")</f>
        <v/>
      </c>
      <c r="I647" t="str">
        <f>IF(SUMIFS(İndirimler!$D$2:$D$210,İndirimler!$A$2:$A$210,B647,İndirimler!$B$2:$B$210,C647)&gt;0,ROUND(G647*(1-SUMIFS(İndirimler!$D$2:$D$210,İndirimler!$A$2:$A$210,B647,İndirimler!$B$2:$B$210,C647)),2),"")</f>
        <v/>
      </c>
    </row>
    <row r="648" spans="8:9">
      <c r="H648" t="str">
        <f>IF(SUMIFS(İndirimler!$C$2:$C$210,İndirimler!$A$2:$A$210,B648,İndirimler!$B$2:$B$210,C648)&gt;0,ROUND(G648*(1-SUMIFS(İndirimler!$C$2:$C$210,İndirimler!$A$2:$A$210,B648,İndirimler!$B$2:$B$210,C648)),2),"")</f>
        <v/>
      </c>
      <c r="I648" t="str">
        <f>IF(SUMIFS(İndirimler!$D$2:$D$210,İndirimler!$A$2:$A$210,B648,İndirimler!$B$2:$B$210,C648)&gt;0,ROUND(G648*(1-SUMIFS(İndirimler!$D$2:$D$210,İndirimler!$A$2:$A$210,B648,İndirimler!$B$2:$B$210,C648)),2),"")</f>
        <v/>
      </c>
    </row>
    <row r="649" spans="8:9">
      <c r="H649" t="str">
        <f>IF(SUMIFS(İndirimler!$C$2:$C$210,İndirimler!$A$2:$A$210,B649,İndirimler!$B$2:$B$210,C649)&gt;0,ROUND(G649*(1-SUMIFS(İndirimler!$C$2:$C$210,İndirimler!$A$2:$A$210,B649,İndirimler!$B$2:$B$210,C649)),2),"")</f>
        <v/>
      </c>
      <c r="I649" t="str">
        <f>IF(SUMIFS(İndirimler!$D$2:$D$210,İndirimler!$A$2:$A$210,B649,İndirimler!$B$2:$B$210,C649)&gt;0,ROUND(G649*(1-SUMIFS(İndirimler!$D$2:$D$210,İndirimler!$A$2:$A$210,B649,İndirimler!$B$2:$B$210,C649)),2),"")</f>
        <v/>
      </c>
    </row>
    <row r="650" spans="8:9">
      <c r="H650" t="str">
        <f>IF(SUMIFS(İndirimler!$C$2:$C$210,İndirimler!$A$2:$A$210,B650,İndirimler!$B$2:$B$210,C650)&gt;0,ROUND(G650*(1-SUMIFS(İndirimler!$C$2:$C$210,İndirimler!$A$2:$A$210,B650,İndirimler!$B$2:$B$210,C650)),2),"")</f>
        <v/>
      </c>
      <c r="I650" t="str">
        <f>IF(SUMIFS(İndirimler!$D$2:$D$210,İndirimler!$A$2:$A$210,B650,İndirimler!$B$2:$B$210,C650)&gt;0,ROUND(G650*(1-SUMIFS(İndirimler!$D$2:$D$210,İndirimler!$A$2:$A$210,B650,İndirimler!$B$2:$B$210,C650)),2),"")</f>
        <v/>
      </c>
    </row>
    <row r="651" spans="8:9">
      <c r="H651" t="str">
        <f>IF(SUMIFS(İndirimler!$C$2:$C$210,İndirimler!$A$2:$A$210,B651,İndirimler!$B$2:$B$210,C651)&gt;0,ROUND(G651*(1-SUMIFS(İndirimler!$C$2:$C$210,İndirimler!$A$2:$A$210,B651,İndirimler!$B$2:$B$210,C651)),2),"")</f>
        <v/>
      </c>
      <c r="I651" t="str">
        <f>IF(SUMIFS(İndirimler!$D$2:$D$210,İndirimler!$A$2:$A$210,B651,İndirimler!$B$2:$B$210,C651)&gt;0,ROUND(G651*(1-SUMIFS(İndirimler!$D$2:$D$210,İndirimler!$A$2:$A$210,B651,İndirimler!$B$2:$B$210,C651)),2),"")</f>
        <v/>
      </c>
    </row>
    <row r="652" spans="8:9">
      <c r="H652" t="str">
        <f>IF(SUMIFS(İndirimler!$C$2:$C$210,İndirimler!$A$2:$A$210,B652,İndirimler!$B$2:$B$210,C652)&gt;0,ROUND(G652*(1-SUMIFS(İndirimler!$C$2:$C$210,İndirimler!$A$2:$A$210,B652,İndirimler!$B$2:$B$210,C652)),2),"")</f>
        <v/>
      </c>
      <c r="I652" t="str">
        <f>IF(SUMIFS(İndirimler!$D$2:$D$210,İndirimler!$A$2:$A$210,B652,İndirimler!$B$2:$B$210,C652)&gt;0,ROUND(G652*(1-SUMIFS(İndirimler!$D$2:$D$210,İndirimler!$A$2:$A$210,B652,İndirimler!$B$2:$B$210,C652)),2),"")</f>
        <v/>
      </c>
    </row>
    <row r="653" spans="8:9">
      <c r="H653" t="str">
        <f>IF(SUMIFS(İndirimler!$C$2:$C$210,İndirimler!$A$2:$A$210,B653,İndirimler!$B$2:$B$210,C653)&gt;0,ROUND(G653*(1-SUMIFS(İndirimler!$C$2:$C$210,İndirimler!$A$2:$A$210,B653,İndirimler!$B$2:$B$210,C653)),2),"")</f>
        <v/>
      </c>
      <c r="I653" t="str">
        <f>IF(SUMIFS(İndirimler!$D$2:$D$210,İndirimler!$A$2:$A$210,B653,İndirimler!$B$2:$B$210,C653)&gt;0,ROUND(G653*(1-SUMIFS(İndirimler!$D$2:$D$210,İndirimler!$A$2:$A$210,B653,İndirimler!$B$2:$B$210,C653)),2),"")</f>
        <v/>
      </c>
    </row>
    <row r="654" spans="8:9">
      <c r="H654" t="str">
        <f>IF(SUMIFS(İndirimler!$C$2:$C$210,İndirimler!$A$2:$A$210,B654,İndirimler!$B$2:$B$210,C654)&gt;0,ROUND(G654*(1-SUMIFS(İndirimler!$C$2:$C$210,İndirimler!$A$2:$A$210,B654,İndirimler!$B$2:$B$210,C654)),2),"")</f>
        <v/>
      </c>
      <c r="I654" t="str">
        <f>IF(SUMIFS(İndirimler!$D$2:$D$210,İndirimler!$A$2:$A$210,B654,İndirimler!$B$2:$B$210,C654)&gt;0,ROUND(G654*(1-SUMIFS(İndirimler!$D$2:$D$210,İndirimler!$A$2:$A$210,B654,İndirimler!$B$2:$B$210,C654)),2),"")</f>
        <v/>
      </c>
    </row>
    <row r="655" spans="8:9">
      <c r="H655" t="str">
        <f>IF(SUMIFS(İndirimler!$C$2:$C$210,İndirimler!$A$2:$A$210,B655,İndirimler!$B$2:$B$210,C655)&gt;0,ROUND(G655*(1-SUMIFS(İndirimler!$C$2:$C$210,İndirimler!$A$2:$A$210,B655,İndirimler!$B$2:$B$210,C655)),2),"")</f>
        <v/>
      </c>
      <c r="I655" t="str">
        <f>IF(SUMIFS(İndirimler!$D$2:$D$210,İndirimler!$A$2:$A$210,B655,İndirimler!$B$2:$B$210,C655)&gt;0,ROUND(G655*(1-SUMIFS(İndirimler!$D$2:$D$210,İndirimler!$A$2:$A$210,B655,İndirimler!$B$2:$B$210,C655)),2),"")</f>
        <v/>
      </c>
    </row>
    <row r="656" spans="8:9">
      <c r="H656" t="str">
        <f>IF(SUMIFS(İndirimler!$C$2:$C$210,İndirimler!$A$2:$A$210,B656,İndirimler!$B$2:$B$210,C656)&gt;0,ROUND(G656*(1-SUMIFS(İndirimler!$C$2:$C$210,İndirimler!$A$2:$A$210,B656,İndirimler!$B$2:$B$210,C656)),2),"")</f>
        <v/>
      </c>
      <c r="I656" t="str">
        <f>IF(SUMIFS(İndirimler!$D$2:$D$210,İndirimler!$A$2:$A$210,B656,İndirimler!$B$2:$B$210,C656)&gt;0,ROUND(G656*(1-SUMIFS(İndirimler!$D$2:$D$210,İndirimler!$A$2:$A$210,B656,İndirimler!$B$2:$B$210,C656)),2),"")</f>
        <v/>
      </c>
    </row>
    <row r="657" spans="8:9">
      <c r="H657" t="str">
        <f>IF(SUMIFS(İndirimler!$C$2:$C$210,İndirimler!$A$2:$A$210,B657,İndirimler!$B$2:$B$210,C657)&gt;0,ROUND(G657*(1-SUMIFS(İndirimler!$C$2:$C$210,İndirimler!$A$2:$A$210,B657,İndirimler!$B$2:$B$210,C657)),2),"")</f>
        <v/>
      </c>
      <c r="I657" t="str">
        <f>IF(SUMIFS(İndirimler!$D$2:$D$210,İndirimler!$A$2:$A$210,B657,İndirimler!$B$2:$B$210,C657)&gt;0,ROUND(G657*(1-SUMIFS(İndirimler!$D$2:$D$210,İndirimler!$A$2:$A$210,B657,İndirimler!$B$2:$B$210,C657)),2),"")</f>
        <v/>
      </c>
    </row>
    <row r="658" spans="8:9">
      <c r="H658" t="str">
        <f>IF(SUMIFS(İndirimler!$C$2:$C$210,İndirimler!$A$2:$A$210,B658,İndirimler!$B$2:$B$210,C658)&gt;0,ROUND(G658*(1-SUMIFS(İndirimler!$C$2:$C$210,İndirimler!$A$2:$A$210,B658,İndirimler!$B$2:$B$210,C658)),2),"")</f>
        <v/>
      </c>
      <c r="I658" t="str">
        <f>IF(SUMIFS(İndirimler!$D$2:$D$210,İndirimler!$A$2:$A$210,B658,İndirimler!$B$2:$B$210,C658)&gt;0,ROUND(G658*(1-SUMIFS(İndirimler!$D$2:$D$210,İndirimler!$A$2:$A$210,B658,İndirimler!$B$2:$B$210,C658)),2),"")</f>
        <v/>
      </c>
    </row>
    <row r="659" spans="8:9">
      <c r="H659" t="str">
        <f>IF(SUMIFS(İndirimler!$C$2:$C$210,İndirimler!$A$2:$A$210,B659,İndirimler!$B$2:$B$210,C659)&gt;0,ROUND(G659*(1-SUMIFS(İndirimler!$C$2:$C$210,İndirimler!$A$2:$A$210,B659,İndirimler!$B$2:$B$210,C659)),2),"")</f>
        <v/>
      </c>
      <c r="I659" t="str">
        <f>IF(SUMIFS(İndirimler!$D$2:$D$210,İndirimler!$A$2:$A$210,B659,İndirimler!$B$2:$B$210,C659)&gt;0,ROUND(G659*(1-SUMIFS(İndirimler!$D$2:$D$210,İndirimler!$A$2:$A$210,B659,İndirimler!$B$2:$B$210,C659)),2),"")</f>
        <v/>
      </c>
    </row>
    <row r="660" spans="8:9">
      <c r="H660" t="str">
        <f>IF(SUMIFS(İndirimler!$C$2:$C$210,İndirimler!$A$2:$A$210,B660,İndirimler!$B$2:$B$210,C660)&gt;0,ROUND(G660*(1-SUMIFS(İndirimler!$C$2:$C$210,İndirimler!$A$2:$A$210,B660,İndirimler!$B$2:$B$210,C660)),2),"")</f>
        <v/>
      </c>
      <c r="I660" t="str">
        <f>IF(SUMIFS(İndirimler!$D$2:$D$210,İndirimler!$A$2:$A$210,B660,İndirimler!$B$2:$B$210,C660)&gt;0,ROUND(G660*(1-SUMIFS(İndirimler!$D$2:$D$210,İndirimler!$A$2:$A$210,B660,İndirimler!$B$2:$B$210,C660)),2),"")</f>
        <v/>
      </c>
    </row>
    <row r="661" spans="8:9">
      <c r="H661" t="str">
        <f>IF(SUMIFS(İndirimler!$C$2:$C$210,İndirimler!$A$2:$A$210,B661,İndirimler!$B$2:$B$210,C661)&gt;0,ROUND(G661*(1-SUMIFS(İndirimler!$C$2:$C$210,İndirimler!$A$2:$A$210,B661,İndirimler!$B$2:$B$210,C661)),2),"")</f>
        <v/>
      </c>
      <c r="I661" t="str">
        <f>IF(SUMIFS(İndirimler!$D$2:$D$210,İndirimler!$A$2:$A$210,B661,İndirimler!$B$2:$B$210,C661)&gt;0,ROUND(G661*(1-SUMIFS(İndirimler!$D$2:$D$210,İndirimler!$A$2:$A$210,B661,İndirimler!$B$2:$B$210,C661)),2),"")</f>
        <v/>
      </c>
    </row>
    <row r="662" spans="8:9">
      <c r="H662" t="str">
        <f>IF(SUMIFS(İndirimler!$C$2:$C$210,İndirimler!$A$2:$A$210,B662,İndirimler!$B$2:$B$210,C662)&gt;0,ROUND(G662*(1-SUMIFS(İndirimler!$C$2:$C$210,İndirimler!$A$2:$A$210,B662,İndirimler!$B$2:$B$210,C662)),2),"")</f>
        <v/>
      </c>
      <c r="I662" t="str">
        <f>IF(SUMIFS(İndirimler!$D$2:$D$210,İndirimler!$A$2:$A$210,B662,İndirimler!$B$2:$B$210,C662)&gt;0,ROUND(G662*(1-SUMIFS(İndirimler!$D$2:$D$210,İndirimler!$A$2:$A$210,B662,İndirimler!$B$2:$B$210,C662)),2),"")</f>
        <v/>
      </c>
    </row>
    <row r="663" spans="8:9">
      <c r="H663" t="str">
        <f>IF(SUMIFS(İndirimler!$C$2:$C$210,İndirimler!$A$2:$A$210,B663,İndirimler!$B$2:$B$210,C663)&gt;0,ROUND(G663*(1-SUMIFS(İndirimler!$C$2:$C$210,İndirimler!$A$2:$A$210,B663,İndirimler!$B$2:$B$210,C663)),2),"")</f>
        <v/>
      </c>
      <c r="I663" t="str">
        <f>IF(SUMIFS(İndirimler!$D$2:$D$210,İndirimler!$A$2:$A$210,B663,İndirimler!$B$2:$B$210,C663)&gt;0,ROUND(G663*(1-SUMIFS(İndirimler!$D$2:$D$210,İndirimler!$A$2:$A$210,B663,İndirimler!$B$2:$B$210,C663)),2),"")</f>
        <v/>
      </c>
    </row>
    <row r="664" spans="8:9">
      <c r="H664" t="str">
        <f>IF(SUMIFS(İndirimler!$C$2:$C$210,İndirimler!$A$2:$A$210,B664,İndirimler!$B$2:$B$210,C664)&gt;0,ROUND(G664*(1-SUMIFS(İndirimler!$C$2:$C$210,İndirimler!$A$2:$A$210,B664,İndirimler!$B$2:$B$210,C664)),2),"")</f>
        <v/>
      </c>
      <c r="I664" t="str">
        <f>IF(SUMIFS(İndirimler!$D$2:$D$210,İndirimler!$A$2:$A$210,B664,İndirimler!$B$2:$B$210,C664)&gt;0,ROUND(G664*(1-SUMIFS(İndirimler!$D$2:$D$210,İndirimler!$A$2:$A$210,B664,İndirimler!$B$2:$B$210,C664)),2),"")</f>
        <v/>
      </c>
    </row>
    <row r="665" spans="8:9">
      <c r="H665" t="str">
        <f>IF(SUMIFS(İndirimler!$C$2:$C$210,İndirimler!$A$2:$A$210,B665,İndirimler!$B$2:$B$210,C665)&gt;0,ROUND(G665*(1-SUMIFS(İndirimler!$C$2:$C$210,İndirimler!$A$2:$A$210,B665,İndirimler!$B$2:$B$210,C665)),2),"")</f>
        <v/>
      </c>
      <c r="I665" t="str">
        <f>IF(SUMIFS(İndirimler!$D$2:$D$210,İndirimler!$A$2:$A$210,B665,İndirimler!$B$2:$B$210,C665)&gt;0,ROUND(G665*(1-SUMIFS(İndirimler!$D$2:$D$210,İndirimler!$A$2:$A$210,B665,İndirimler!$B$2:$B$210,C665)),2),"")</f>
        <v/>
      </c>
    </row>
    <row r="666" spans="8:9">
      <c r="H666" t="str">
        <f>IF(SUMIFS(İndirimler!$C$2:$C$210,İndirimler!$A$2:$A$210,B666,İndirimler!$B$2:$B$210,C666)&gt;0,ROUND(G666*(1-SUMIFS(İndirimler!$C$2:$C$210,İndirimler!$A$2:$A$210,B666,İndirimler!$B$2:$B$210,C666)),2),"")</f>
        <v/>
      </c>
      <c r="I666" t="str">
        <f>IF(SUMIFS(İndirimler!$D$2:$D$210,İndirimler!$A$2:$A$210,B666,İndirimler!$B$2:$B$210,C666)&gt;0,ROUND(G666*(1-SUMIFS(İndirimler!$D$2:$D$210,İndirimler!$A$2:$A$210,B666,İndirimler!$B$2:$B$210,C666)),2),"")</f>
        <v/>
      </c>
    </row>
    <row r="667" spans="8:9">
      <c r="H667" t="str">
        <f>IF(SUMIFS(İndirimler!$C$2:$C$210,İndirimler!$A$2:$A$210,B667,İndirimler!$B$2:$B$210,C667)&gt;0,ROUND(G667*(1-SUMIFS(İndirimler!$C$2:$C$210,İndirimler!$A$2:$A$210,B667,İndirimler!$B$2:$B$210,C667)),2),"")</f>
        <v/>
      </c>
      <c r="I667" t="str">
        <f>IF(SUMIFS(İndirimler!$D$2:$D$210,İndirimler!$A$2:$A$210,B667,İndirimler!$B$2:$B$210,C667)&gt;0,ROUND(G667*(1-SUMIFS(İndirimler!$D$2:$D$210,İndirimler!$A$2:$A$210,B667,İndirimler!$B$2:$B$210,C667)),2),"")</f>
        <v/>
      </c>
    </row>
    <row r="668" spans="8:9">
      <c r="H668" t="str">
        <f>IF(SUMIFS(İndirimler!$C$2:$C$210,İndirimler!$A$2:$A$210,B668,İndirimler!$B$2:$B$210,C668)&gt;0,ROUND(G668*(1-SUMIFS(İndirimler!$C$2:$C$210,İndirimler!$A$2:$A$210,B668,İndirimler!$B$2:$B$210,C668)),2),"")</f>
        <v/>
      </c>
      <c r="I668" t="str">
        <f>IF(SUMIFS(İndirimler!$D$2:$D$210,İndirimler!$A$2:$A$210,B668,İndirimler!$B$2:$B$210,C668)&gt;0,ROUND(G668*(1-SUMIFS(İndirimler!$D$2:$D$210,İndirimler!$A$2:$A$210,B668,İndirimler!$B$2:$B$210,C668)),2),"")</f>
        <v/>
      </c>
    </row>
    <row r="669" spans="8:9">
      <c r="H669" t="str">
        <f>IF(SUMIFS(İndirimler!$C$2:$C$210,İndirimler!$A$2:$A$210,B669,İndirimler!$B$2:$B$210,C669)&gt;0,ROUND(G669*(1-SUMIFS(İndirimler!$C$2:$C$210,İndirimler!$A$2:$A$210,B669,İndirimler!$B$2:$B$210,C669)),2),"")</f>
        <v/>
      </c>
      <c r="I669" t="str">
        <f>IF(SUMIFS(İndirimler!$D$2:$D$210,İndirimler!$A$2:$A$210,B669,İndirimler!$B$2:$B$210,C669)&gt;0,ROUND(G669*(1-SUMIFS(İndirimler!$D$2:$D$210,İndirimler!$A$2:$A$210,B669,İndirimler!$B$2:$B$210,C669)),2),"")</f>
        <v/>
      </c>
    </row>
    <row r="670" spans="8:9">
      <c r="H670" t="str">
        <f>IF(SUMIFS(İndirimler!$C$2:$C$210,İndirimler!$A$2:$A$210,B670,İndirimler!$B$2:$B$210,C670)&gt;0,ROUND(G670*(1-SUMIFS(İndirimler!$C$2:$C$210,İndirimler!$A$2:$A$210,B670,İndirimler!$B$2:$B$210,C670)),2),"")</f>
        <v/>
      </c>
      <c r="I670" t="str">
        <f>IF(SUMIFS(İndirimler!$D$2:$D$210,İndirimler!$A$2:$A$210,B670,İndirimler!$B$2:$B$210,C670)&gt;0,ROUND(G670*(1-SUMIFS(İndirimler!$D$2:$D$210,İndirimler!$A$2:$A$210,B670,İndirimler!$B$2:$B$210,C670)),2),"")</f>
        <v/>
      </c>
    </row>
    <row r="671" spans="8:9">
      <c r="H671" t="str">
        <f>IF(SUMIFS(İndirimler!$C$2:$C$210,İndirimler!$A$2:$A$210,B671,İndirimler!$B$2:$B$210,C671)&gt;0,ROUND(G671*(1-SUMIFS(İndirimler!$C$2:$C$210,İndirimler!$A$2:$A$210,B671,İndirimler!$B$2:$B$210,C671)),2),"")</f>
        <v/>
      </c>
      <c r="I671" t="str">
        <f>IF(SUMIFS(İndirimler!$D$2:$D$210,İndirimler!$A$2:$A$210,B671,İndirimler!$B$2:$B$210,C671)&gt;0,ROUND(G671*(1-SUMIFS(İndirimler!$D$2:$D$210,İndirimler!$A$2:$A$210,B671,İndirimler!$B$2:$B$210,C671)),2),"")</f>
        <v/>
      </c>
    </row>
    <row r="672" spans="8:9">
      <c r="H672" t="str">
        <f>IF(SUMIFS(İndirimler!$C$2:$C$210,İndirimler!$A$2:$A$210,B672,İndirimler!$B$2:$B$210,C672)&gt;0,ROUND(G672*(1-SUMIFS(İndirimler!$C$2:$C$210,İndirimler!$A$2:$A$210,B672,İndirimler!$B$2:$B$210,C672)),2),"")</f>
        <v/>
      </c>
      <c r="I672" t="str">
        <f>IF(SUMIFS(İndirimler!$D$2:$D$210,İndirimler!$A$2:$A$210,B672,İndirimler!$B$2:$B$210,C672)&gt;0,ROUND(G672*(1-SUMIFS(İndirimler!$D$2:$D$210,İndirimler!$A$2:$A$210,B672,İndirimler!$B$2:$B$210,C672)),2),"")</f>
        <v/>
      </c>
    </row>
    <row r="673" spans="8:9">
      <c r="H673" t="str">
        <f>IF(SUMIFS(İndirimler!$C$2:$C$210,İndirimler!$A$2:$A$210,B673,İndirimler!$B$2:$B$210,C673)&gt;0,ROUND(G673*(1-SUMIFS(İndirimler!$C$2:$C$210,İndirimler!$A$2:$A$210,B673,İndirimler!$B$2:$B$210,C673)),2),"")</f>
        <v/>
      </c>
      <c r="I673" t="str">
        <f>IF(SUMIFS(İndirimler!$D$2:$D$210,İndirimler!$A$2:$A$210,B673,İndirimler!$B$2:$B$210,C673)&gt;0,ROUND(G673*(1-SUMIFS(İndirimler!$D$2:$D$210,İndirimler!$A$2:$A$210,B673,İndirimler!$B$2:$B$210,C673)),2),"")</f>
        <v/>
      </c>
    </row>
    <row r="674" spans="8:9">
      <c r="H674" t="str">
        <f>IF(SUMIFS(İndirimler!$C$2:$C$210,İndirimler!$A$2:$A$210,B674,İndirimler!$B$2:$B$210,C674)&gt;0,ROUND(G674*(1-SUMIFS(İndirimler!$C$2:$C$210,İndirimler!$A$2:$A$210,B674,İndirimler!$B$2:$B$210,C674)),2),"")</f>
        <v/>
      </c>
      <c r="I674" t="str">
        <f>IF(SUMIFS(İndirimler!$D$2:$D$210,İndirimler!$A$2:$A$210,B674,İndirimler!$B$2:$B$210,C674)&gt;0,ROUND(G674*(1-SUMIFS(İndirimler!$D$2:$D$210,İndirimler!$A$2:$A$210,B674,İndirimler!$B$2:$B$210,C674)),2),"")</f>
        <v/>
      </c>
    </row>
    <row r="675" spans="8:9">
      <c r="H675" t="str">
        <f>IF(SUMIFS(İndirimler!$C$2:$C$210,İndirimler!$A$2:$A$210,B675,İndirimler!$B$2:$B$210,C675)&gt;0,ROUND(G675*(1-SUMIFS(İndirimler!$C$2:$C$210,İndirimler!$A$2:$A$210,B675,İndirimler!$B$2:$B$210,C675)),2),"")</f>
        <v/>
      </c>
      <c r="I675" t="str">
        <f>IF(SUMIFS(İndirimler!$D$2:$D$210,İndirimler!$A$2:$A$210,B675,İndirimler!$B$2:$B$210,C675)&gt;0,ROUND(G675*(1-SUMIFS(İndirimler!$D$2:$D$210,İndirimler!$A$2:$A$210,B675,İndirimler!$B$2:$B$210,C675)),2),"")</f>
        <v/>
      </c>
    </row>
    <row r="676" spans="8:9">
      <c r="H676" t="str">
        <f>IF(SUMIFS(İndirimler!$C$2:$C$210,İndirimler!$A$2:$A$210,B676,İndirimler!$B$2:$B$210,C676)&gt;0,ROUND(G676*(1-SUMIFS(İndirimler!$C$2:$C$210,İndirimler!$A$2:$A$210,B676,İndirimler!$B$2:$B$210,C676)),2),"")</f>
        <v/>
      </c>
      <c r="I676" t="str">
        <f>IF(SUMIFS(İndirimler!$D$2:$D$210,İndirimler!$A$2:$A$210,B676,İndirimler!$B$2:$B$210,C676)&gt;0,ROUND(G676*(1-SUMIFS(İndirimler!$D$2:$D$210,İndirimler!$A$2:$A$210,B676,İndirimler!$B$2:$B$210,C676)),2),"")</f>
        <v/>
      </c>
    </row>
    <row r="677" spans="8:9">
      <c r="H677" t="str">
        <f>IF(SUMIFS(İndirimler!$C$2:$C$210,İndirimler!$A$2:$A$210,B677,İndirimler!$B$2:$B$210,C677)&gt;0,ROUND(G677*(1-SUMIFS(İndirimler!$C$2:$C$210,İndirimler!$A$2:$A$210,B677,İndirimler!$B$2:$B$210,C677)),2),"")</f>
        <v/>
      </c>
      <c r="I677" t="str">
        <f>IF(SUMIFS(İndirimler!$D$2:$D$210,İndirimler!$A$2:$A$210,B677,İndirimler!$B$2:$B$210,C677)&gt;0,ROUND(G677*(1-SUMIFS(İndirimler!$D$2:$D$210,İndirimler!$A$2:$A$210,B677,İndirimler!$B$2:$B$210,C677)),2),"")</f>
        <v/>
      </c>
    </row>
    <row r="678" spans="8:9">
      <c r="H678" t="str">
        <f>IF(SUMIFS(İndirimler!$C$2:$C$210,İndirimler!$A$2:$A$210,B678,İndirimler!$B$2:$B$210,C678)&gt;0,ROUND(G678*(1-SUMIFS(İndirimler!$C$2:$C$210,İndirimler!$A$2:$A$210,B678,İndirimler!$B$2:$B$210,C678)),2),"")</f>
        <v/>
      </c>
      <c r="I678" t="str">
        <f>IF(SUMIFS(İndirimler!$D$2:$D$210,İndirimler!$A$2:$A$210,B678,İndirimler!$B$2:$B$210,C678)&gt;0,ROUND(G678*(1-SUMIFS(İndirimler!$D$2:$D$210,İndirimler!$A$2:$A$210,B678,İndirimler!$B$2:$B$210,C678)),2),"")</f>
        <v/>
      </c>
    </row>
    <row r="679" spans="8:9">
      <c r="H679" t="str">
        <f>IF(SUMIFS(İndirimler!$C$2:$C$210,İndirimler!$A$2:$A$210,B679,İndirimler!$B$2:$B$210,C679)&gt;0,ROUND(G679*(1-SUMIFS(İndirimler!$C$2:$C$210,İndirimler!$A$2:$A$210,B679,İndirimler!$B$2:$B$210,C679)),2),"")</f>
        <v/>
      </c>
      <c r="I679" t="str">
        <f>IF(SUMIFS(İndirimler!$D$2:$D$210,İndirimler!$A$2:$A$210,B679,İndirimler!$B$2:$B$210,C679)&gt;0,ROUND(G679*(1-SUMIFS(İndirimler!$D$2:$D$210,İndirimler!$A$2:$A$210,B679,İndirimler!$B$2:$B$210,C679)),2),"")</f>
        <v/>
      </c>
    </row>
    <row r="680" spans="8:9">
      <c r="H680" t="str">
        <f>IF(SUMIFS(İndirimler!$C$2:$C$210,İndirimler!$A$2:$A$210,B680,İndirimler!$B$2:$B$210,C680)&gt;0,ROUND(G680*(1-SUMIFS(İndirimler!$C$2:$C$210,İndirimler!$A$2:$A$210,B680,İndirimler!$B$2:$B$210,C680)),2),"")</f>
        <v/>
      </c>
      <c r="I680" t="str">
        <f>IF(SUMIFS(İndirimler!$D$2:$D$210,İndirimler!$A$2:$A$210,B680,İndirimler!$B$2:$B$210,C680)&gt;0,ROUND(G680*(1-SUMIFS(İndirimler!$D$2:$D$210,İndirimler!$A$2:$A$210,B680,İndirimler!$B$2:$B$210,C680)),2),"")</f>
        <v/>
      </c>
    </row>
    <row r="681" spans="8:9">
      <c r="H681" t="str">
        <f>IF(SUMIFS(İndirimler!$C$2:$C$210,İndirimler!$A$2:$A$210,B681,İndirimler!$B$2:$B$210,C681)&gt;0,ROUND(G681*(1-SUMIFS(İndirimler!$C$2:$C$210,İndirimler!$A$2:$A$210,B681,İndirimler!$B$2:$B$210,C681)),2),"")</f>
        <v/>
      </c>
      <c r="I681" t="str">
        <f>IF(SUMIFS(İndirimler!$D$2:$D$210,İndirimler!$A$2:$A$210,B681,İndirimler!$B$2:$B$210,C681)&gt;0,ROUND(G681*(1-SUMIFS(İndirimler!$D$2:$D$210,İndirimler!$A$2:$A$210,B681,İndirimler!$B$2:$B$210,C681)),2),"")</f>
        <v/>
      </c>
    </row>
    <row r="682" spans="8:9">
      <c r="H682" t="str">
        <f>IF(SUMIFS(İndirimler!$C$2:$C$210,İndirimler!$A$2:$A$210,B682,İndirimler!$B$2:$B$210,C682)&gt;0,ROUND(G682*(1-SUMIFS(İndirimler!$C$2:$C$210,İndirimler!$A$2:$A$210,B682,İndirimler!$B$2:$B$210,C682)),2),"")</f>
        <v/>
      </c>
      <c r="I682" t="str">
        <f>IF(SUMIFS(İndirimler!$D$2:$D$210,İndirimler!$A$2:$A$210,B682,İndirimler!$B$2:$B$210,C682)&gt;0,ROUND(G682*(1-SUMIFS(İndirimler!$D$2:$D$210,İndirimler!$A$2:$A$210,B682,İndirimler!$B$2:$B$210,C682)),2),"")</f>
        <v/>
      </c>
    </row>
    <row r="683" spans="8:9">
      <c r="H683" t="str">
        <f>IF(SUMIFS(İndirimler!$C$2:$C$210,İndirimler!$A$2:$A$210,B683,İndirimler!$B$2:$B$210,C683)&gt;0,ROUND(G683*(1-SUMIFS(İndirimler!$C$2:$C$210,İndirimler!$A$2:$A$210,B683,İndirimler!$B$2:$B$210,C683)),2),"")</f>
        <v/>
      </c>
      <c r="I683" t="str">
        <f>IF(SUMIFS(İndirimler!$D$2:$D$210,İndirimler!$A$2:$A$210,B683,İndirimler!$B$2:$B$210,C683)&gt;0,ROUND(G683*(1-SUMIFS(İndirimler!$D$2:$D$210,İndirimler!$A$2:$A$210,B683,İndirimler!$B$2:$B$210,C683)),2),"")</f>
        <v/>
      </c>
    </row>
    <row r="684" spans="8:9">
      <c r="H684" t="str">
        <f>IF(SUMIFS(İndirimler!$C$2:$C$210,İndirimler!$A$2:$A$210,B684,İndirimler!$B$2:$B$210,C684)&gt;0,ROUND(G684*(1-SUMIFS(İndirimler!$C$2:$C$210,İndirimler!$A$2:$A$210,B684,İndirimler!$B$2:$B$210,C684)),2),"")</f>
        <v/>
      </c>
      <c r="I684" t="str">
        <f>IF(SUMIFS(İndirimler!$D$2:$D$210,İndirimler!$A$2:$A$210,B684,İndirimler!$B$2:$B$210,C684)&gt;0,ROUND(G684*(1-SUMIFS(İndirimler!$D$2:$D$210,İndirimler!$A$2:$A$210,B684,İndirimler!$B$2:$B$210,C684)),2),"")</f>
        <v/>
      </c>
    </row>
    <row r="685" spans="8:9">
      <c r="H685" t="str">
        <f>IF(SUMIFS(İndirimler!$C$2:$C$210,İndirimler!$A$2:$A$210,B685,İndirimler!$B$2:$B$210,C685)&gt;0,ROUND(G685*(1-SUMIFS(İndirimler!$C$2:$C$210,İndirimler!$A$2:$A$210,B685,İndirimler!$B$2:$B$210,C685)),2),"")</f>
        <v/>
      </c>
      <c r="I685" t="str">
        <f>IF(SUMIFS(İndirimler!$D$2:$D$210,İndirimler!$A$2:$A$210,B685,İndirimler!$B$2:$B$210,C685)&gt;0,ROUND(G685*(1-SUMIFS(İndirimler!$D$2:$D$210,İndirimler!$A$2:$A$210,B685,İndirimler!$B$2:$B$210,C685)),2),"")</f>
        <v/>
      </c>
    </row>
    <row r="686" spans="8:9">
      <c r="H686" t="str">
        <f>IF(SUMIFS(İndirimler!$C$2:$C$210,İndirimler!$A$2:$A$210,B686,İndirimler!$B$2:$B$210,C686)&gt;0,ROUND(G686*(1-SUMIFS(İndirimler!$C$2:$C$210,İndirimler!$A$2:$A$210,B686,İndirimler!$B$2:$B$210,C686)),2),"")</f>
        <v/>
      </c>
      <c r="I686" t="str">
        <f>IF(SUMIFS(İndirimler!$D$2:$D$210,İndirimler!$A$2:$A$210,B686,İndirimler!$B$2:$B$210,C686)&gt;0,ROUND(G686*(1-SUMIFS(İndirimler!$D$2:$D$210,İndirimler!$A$2:$A$210,B686,İndirimler!$B$2:$B$210,C686)),2),"")</f>
        <v/>
      </c>
    </row>
    <row r="687" spans="8:9">
      <c r="H687" t="str">
        <f>IF(SUMIFS(İndirimler!$C$2:$C$210,İndirimler!$A$2:$A$210,B687,İndirimler!$B$2:$B$210,C687)&gt;0,ROUND(G687*(1-SUMIFS(İndirimler!$C$2:$C$210,İndirimler!$A$2:$A$210,B687,İndirimler!$B$2:$B$210,C687)),2),"")</f>
        <v/>
      </c>
      <c r="I687" t="str">
        <f>IF(SUMIFS(İndirimler!$D$2:$D$210,İndirimler!$A$2:$A$210,B687,İndirimler!$B$2:$B$210,C687)&gt;0,ROUND(G687*(1-SUMIFS(İndirimler!$D$2:$D$210,İndirimler!$A$2:$A$210,B687,İndirimler!$B$2:$B$210,C687)),2),"")</f>
        <v/>
      </c>
    </row>
    <row r="688" spans="8:9">
      <c r="H688" t="str">
        <f>IF(SUMIFS(İndirimler!$C$2:$C$210,İndirimler!$A$2:$A$210,B688,İndirimler!$B$2:$B$210,C688)&gt;0,ROUND(G688*(1-SUMIFS(İndirimler!$C$2:$C$210,İndirimler!$A$2:$A$210,B688,İndirimler!$B$2:$B$210,C688)),2),"")</f>
        <v/>
      </c>
      <c r="I688" t="str">
        <f>IF(SUMIFS(İndirimler!$D$2:$D$210,İndirimler!$A$2:$A$210,B688,İndirimler!$B$2:$B$210,C688)&gt;0,ROUND(G688*(1-SUMIFS(İndirimler!$D$2:$D$210,İndirimler!$A$2:$A$210,B688,İndirimler!$B$2:$B$210,C688)),2),"")</f>
        <v/>
      </c>
    </row>
    <row r="689" spans="8:9">
      <c r="H689" t="str">
        <f>IF(SUMIFS(İndirimler!$C$2:$C$210,İndirimler!$A$2:$A$210,B689,İndirimler!$B$2:$B$210,C689)&gt;0,ROUND(G689*(1-SUMIFS(İndirimler!$C$2:$C$210,İndirimler!$A$2:$A$210,B689,İndirimler!$B$2:$B$210,C689)),2),"")</f>
        <v/>
      </c>
      <c r="I689" t="str">
        <f>IF(SUMIFS(İndirimler!$D$2:$D$210,İndirimler!$A$2:$A$210,B689,İndirimler!$B$2:$B$210,C689)&gt;0,ROUND(G689*(1-SUMIFS(İndirimler!$D$2:$D$210,İndirimler!$A$2:$A$210,B689,İndirimler!$B$2:$B$210,C689)),2),"")</f>
        <v/>
      </c>
    </row>
    <row r="690" spans="8:9">
      <c r="H690" t="str">
        <f>IF(SUMIFS(İndirimler!$C$2:$C$210,İndirimler!$A$2:$A$210,B690,İndirimler!$B$2:$B$210,C690)&gt;0,ROUND(G690*(1-SUMIFS(İndirimler!$C$2:$C$210,İndirimler!$A$2:$A$210,B690,İndirimler!$B$2:$B$210,C690)),2),"")</f>
        <v/>
      </c>
      <c r="I690" t="str">
        <f>IF(SUMIFS(İndirimler!$D$2:$D$210,İndirimler!$A$2:$A$210,B690,İndirimler!$B$2:$B$210,C690)&gt;0,ROUND(G690*(1-SUMIFS(İndirimler!$D$2:$D$210,İndirimler!$A$2:$A$210,B690,İndirimler!$B$2:$B$210,C690)),2),"")</f>
        <v/>
      </c>
    </row>
    <row r="691" spans="8:9">
      <c r="H691" t="str">
        <f>IF(SUMIFS(İndirimler!$C$2:$C$210,İndirimler!$A$2:$A$210,B691,İndirimler!$B$2:$B$210,C691)&gt;0,ROUND(G691*(1-SUMIFS(İndirimler!$C$2:$C$210,İndirimler!$A$2:$A$210,B691,İndirimler!$B$2:$B$210,C691)),2),"")</f>
        <v/>
      </c>
      <c r="I691" t="str">
        <f>IF(SUMIFS(İndirimler!$D$2:$D$210,İndirimler!$A$2:$A$210,B691,İndirimler!$B$2:$B$210,C691)&gt;0,ROUND(G691*(1-SUMIFS(İndirimler!$D$2:$D$210,İndirimler!$A$2:$A$210,B691,İndirimler!$B$2:$B$210,C691)),2),"")</f>
        <v/>
      </c>
    </row>
    <row r="692" spans="8:9">
      <c r="H692" t="str">
        <f>IF(SUMIFS(İndirimler!$C$2:$C$210,İndirimler!$A$2:$A$210,B692,İndirimler!$B$2:$B$210,C692)&gt;0,ROUND(G692*(1-SUMIFS(İndirimler!$C$2:$C$210,İndirimler!$A$2:$A$210,B692,İndirimler!$B$2:$B$210,C692)),2),"")</f>
        <v/>
      </c>
      <c r="I692" t="str">
        <f>IF(SUMIFS(İndirimler!$D$2:$D$210,İndirimler!$A$2:$A$210,B692,İndirimler!$B$2:$B$210,C692)&gt;0,ROUND(G692*(1-SUMIFS(İndirimler!$D$2:$D$210,İndirimler!$A$2:$A$210,B692,İndirimler!$B$2:$B$210,C692)),2),"")</f>
        <v/>
      </c>
    </row>
    <row r="693" spans="8:9">
      <c r="H693" t="str">
        <f>IF(SUMIFS(İndirimler!$C$2:$C$210,İndirimler!$A$2:$A$210,B693,İndirimler!$B$2:$B$210,C693)&gt;0,ROUND(G693*(1-SUMIFS(İndirimler!$C$2:$C$210,İndirimler!$A$2:$A$210,B693,İndirimler!$B$2:$B$210,C693)),2),"")</f>
        <v/>
      </c>
      <c r="I693" t="str">
        <f>IF(SUMIFS(İndirimler!$D$2:$D$210,İndirimler!$A$2:$A$210,B693,İndirimler!$B$2:$B$210,C693)&gt;0,ROUND(G693*(1-SUMIFS(İndirimler!$D$2:$D$210,İndirimler!$A$2:$A$210,B693,İndirimler!$B$2:$B$210,C693)),2),"")</f>
        <v/>
      </c>
    </row>
    <row r="694" spans="8:9">
      <c r="H694" t="str">
        <f>IF(SUMIFS(İndirimler!$C$2:$C$210,İndirimler!$A$2:$A$210,B694,İndirimler!$B$2:$B$210,C694)&gt;0,ROUND(G694*(1-SUMIFS(İndirimler!$C$2:$C$210,İndirimler!$A$2:$A$210,B694,İndirimler!$B$2:$B$210,C694)),2),"")</f>
        <v/>
      </c>
      <c r="I694" t="str">
        <f>IF(SUMIFS(İndirimler!$D$2:$D$210,İndirimler!$A$2:$A$210,B694,İndirimler!$B$2:$B$210,C694)&gt;0,ROUND(G694*(1-SUMIFS(İndirimler!$D$2:$D$210,İndirimler!$A$2:$A$210,B694,İndirimler!$B$2:$B$210,C694)),2),"")</f>
        <v/>
      </c>
    </row>
    <row r="695" spans="8:9">
      <c r="H695" t="str">
        <f>IF(SUMIFS(İndirimler!$C$2:$C$210,İndirimler!$A$2:$A$210,B695,İndirimler!$B$2:$B$210,C695)&gt;0,ROUND(G695*(1-SUMIFS(İndirimler!$C$2:$C$210,İndirimler!$A$2:$A$210,B695,İndirimler!$B$2:$B$210,C695)),2),"")</f>
        <v/>
      </c>
      <c r="I695" t="str">
        <f>IF(SUMIFS(İndirimler!$D$2:$D$210,İndirimler!$A$2:$A$210,B695,İndirimler!$B$2:$B$210,C695)&gt;0,ROUND(G695*(1-SUMIFS(İndirimler!$D$2:$D$210,İndirimler!$A$2:$A$210,B695,İndirimler!$B$2:$B$210,C695)),2),"")</f>
        <v/>
      </c>
    </row>
    <row r="696" spans="8:9">
      <c r="H696" t="str">
        <f>IF(SUMIFS(İndirimler!$C$2:$C$210,İndirimler!$A$2:$A$210,B696,İndirimler!$B$2:$B$210,C696)&gt;0,ROUND(G696*(1-SUMIFS(İndirimler!$C$2:$C$210,İndirimler!$A$2:$A$210,B696,İndirimler!$B$2:$B$210,C696)),2),"")</f>
        <v/>
      </c>
      <c r="I696" t="str">
        <f>IF(SUMIFS(İndirimler!$D$2:$D$210,İndirimler!$A$2:$A$210,B696,İndirimler!$B$2:$B$210,C696)&gt;0,ROUND(G696*(1-SUMIFS(İndirimler!$D$2:$D$210,İndirimler!$A$2:$A$210,B696,İndirimler!$B$2:$B$210,C696)),2),"")</f>
        <v/>
      </c>
    </row>
    <row r="697" spans="8:9">
      <c r="H697" t="str">
        <f>IF(SUMIFS(İndirimler!$C$2:$C$210,İndirimler!$A$2:$A$210,B697,İndirimler!$B$2:$B$210,C697)&gt;0,ROUND(G697*(1-SUMIFS(İndirimler!$C$2:$C$210,İndirimler!$A$2:$A$210,B697,İndirimler!$B$2:$B$210,C697)),2),"")</f>
        <v/>
      </c>
      <c r="I697" t="str">
        <f>IF(SUMIFS(İndirimler!$D$2:$D$210,İndirimler!$A$2:$A$210,B697,İndirimler!$B$2:$B$210,C697)&gt;0,ROUND(G697*(1-SUMIFS(İndirimler!$D$2:$D$210,İndirimler!$A$2:$A$210,B697,İndirimler!$B$2:$B$210,C697)),2),"")</f>
        <v/>
      </c>
    </row>
    <row r="698" spans="8:9">
      <c r="H698" t="str">
        <f>IF(SUMIFS(İndirimler!$C$2:$C$210,İndirimler!$A$2:$A$210,B698,İndirimler!$B$2:$B$210,C698)&gt;0,ROUND(G698*(1-SUMIFS(İndirimler!$C$2:$C$210,İndirimler!$A$2:$A$210,B698,İndirimler!$B$2:$B$210,C698)),2),"")</f>
        <v/>
      </c>
      <c r="I698" t="str">
        <f>IF(SUMIFS(İndirimler!$D$2:$D$210,İndirimler!$A$2:$A$210,B698,İndirimler!$B$2:$B$210,C698)&gt;0,ROUND(G698*(1-SUMIFS(İndirimler!$D$2:$D$210,İndirimler!$A$2:$A$210,B698,İndirimler!$B$2:$B$210,C698)),2),"")</f>
        <v/>
      </c>
    </row>
    <row r="699" spans="8:9">
      <c r="H699" t="str">
        <f>IF(SUMIFS(İndirimler!$C$2:$C$210,İndirimler!$A$2:$A$210,B699,İndirimler!$B$2:$B$210,C699)&gt;0,ROUND(G699*(1-SUMIFS(İndirimler!$C$2:$C$210,İndirimler!$A$2:$A$210,B699,İndirimler!$B$2:$B$210,C699)),2),"")</f>
        <v/>
      </c>
      <c r="I699" t="str">
        <f>IF(SUMIFS(İndirimler!$D$2:$D$210,İndirimler!$A$2:$A$210,B699,İndirimler!$B$2:$B$210,C699)&gt;0,ROUND(G699*(1-SUMIFS(İndirimler!$D$2:$D$210,İndirimler!$A$2:$A$210,B699,İndirimler!$B$2:$B$210,C699)),2),"")</f>
        <v/>
      </c>
    </row>
    <row r="700" spans="8:9">
      <c r="H700" t="str">
        <f>IF(SUMIFS(İndirimler!$C$2:$C$210,İndirimler!$A$2:$A$210,B700,İndirimler!$B$2:$B$210,C700)&gt;0,ROUND(G700*(1-SUMIFS(İndirimler!$C$2:$C$210,İndirimler!$A$2:$A$210,B700,İndirimler!$B$2:$B$210,C700)),2),"")</f>
        <v/>
      </c>
      <c r="I700" t="str">
        <f>IF(SUMIFS(İndirimler!$D$2:$D$210,İndirimler!$A$2:$A$210,B700,İndirimler!$B$2:$B$210,C700)&gt;0,ROUND(G700*(1-SUMIFS(İndirimler!$D$2:$D$210,İndirimler!$A$2:$A$210,B700,İndirimler!$B$2:$B$210,C700)),2),"")</f>
        <v/>
      </c>
    </row>
    <row r="701" spans="8:9">
      <c r="H701" t="str">
        <f>IF(SUMIFS(İndirimler!$C$2:$C$210,İndirimler!$A$2:$A$210,B701,İndirimler!$B$2:$B$210,C701)&gt;0,ROUND(G701*(1-SUMIFS(İndirimler!$C$2:$C$210,İndirimler!$A$2:$A$210,B701,İndirimler!$B$2:$B$210,C701)),2),"")</f>
        <v/>
      </c>
      <c r="I701" t="str">
        <f>IF(SUMIFS(İndirimler!$D$2:$D$210,İndirimler!$A$2:$A$210,B701,İndirimler!$B$2:$B$210,C701)&gt;0,ROUND(G701*(1-SUMIFS(İndirimler!$D$2:$D$210,İndirimler!$A$2:$A$210,B701,İndirimler!$B$2:$B$210,C701)),2),"")</f>
        <v/>
      </c>
    </row>
    <row r="702" spans="8:9">
      <c r="H702" t="str">
        <f>IF(SUMIFS(İndirimler!$C$2:$C$210,İndirimler!$A$2:$A$210,B702,İndirimler!$B$2:$B$210,C702)&gt;0,ROUND(G702*(1-SUMIFS(İndirimler!$C$2:$C$210,İndirimler!$A$2:$A$210,B702,İndirimler!$B$2:$B$210,C702)),2),"")</f>
        <v/>
      </c>
      <c r="I702" t="str">
        <f>IF(SUMIFS(İndirimler!$D$2:$D$210,İndirimler!$A$2:$A$210,B702,İndirimler!$B$2:$B$210,C702)&gt;0,ROUND(G702*(1-SUMIFS(İndirimler!$D$2:$D$210,İndirimler!$A$2:$A$210,B702,İndirimler!$B$2:$B$210,C702)),2),"")</f>
        <v/>
      </c>
    </row>
    <row r="703" spans="8:9">
      <c r="H703" t="str">
        <f>IF(SUMIFS(İndirimler!$C$2:$C$210,İndirimler!$A$2:$A$210,B703,İndirimler!$B$2:$B$210,C703)&gt;0,ROUND(G703*(1-SUMIFS(İndirimler!$C$2:$C$210,İndirimler!$A$2:$A$210,B703,İndirimler!$B$2:$B$210,C703)),2),"")</f>
        <v/>
      </c>
      <c r="I703" t="str">
        <f>IF(SUMIFS(İndirimler!$D$2:$D$210,İndirimler!$A$2:$A$210,B703,İndirimler!$B$2:$B$210,C703)&gt;0,ROUND(G703*(1-SUMIFS(İndirimler!$D$2:$D$210,İndirimler!$A$2:$A$210,B703,İndirimler!$B$2:$B$210,C703)),2),"")</f>
        <v/>
      </c>
    </row>
    <row r="704" spans="8:9">
      <c r="H704" t="str">
        <f>IF(SUMIFS(İndirimler!$C$2:$C$210,İndirimler!$A$2:$A$210,B704,İndirimler!$B$2:$B$210,C704)&gt;0,ROUND(G704*(1-SUMIFS(İndirimler!$C$2:$C$210,İndirimler!$A$2:$A$210,B704,İndirimler!$B$2:$B$210,C704)),2),"")</f>
        <v/>
      </c>
      <c r="I704" t="str">
        <f>IF(SUMIFS(İndirimler!$D$2:$D$210,İndirimler!$A$2:$A$210,B704,İndirimler!$B$2:$B$210,C704)&gt;0,ROUND(G704*(1-SUMIFS(İndirimler!$D$2:$D$210,İndirimler!$A$2:$A$210,B704,İndirimler!$B$2:$B$210,C704)),2),"")</f>
        <v/>
      </c>
    </row>
    <row r="705" spans="8:9">
      <c r="H705" t="str">
        <f>IF(SUMIFS(İndirimler!$C$2:$C$210,İndirimler!$A$2:$A$210,B705,İndirimler!$B$2:$B$210,C705)&gt;0,ROUND(G705*(1-SUMIFS(İndirimler!$C$2:$C$210,İndirimler!$A$2:$A$210,B705,İndirimler!$B$2:$B$210,C705)),2),"")</f>
        <v/>
      </c>
      <c r="I705" t="str">
        <f>IF(SUMIFS(İndirimler!$D$2:$D$210,İndirimler!$A$2:$A$210,B705,İndirimler!$B$2:$B$210,C705)&gt;0,ROUND(G705*(1-SUMIFS(İndirimler!$D$2:$D$210,İndirimler!$A$2:$A$210,B705,İndirimler!$B$2:$B$210,C705)),2),"")</f>
        <v/>
      </c>
    </row>
    <row r="706" spans="8:9">
      <c r="H706" t="str">
        <f>IF(SUMIFS(İndirimler!$C$2:$C$210,İndirimler!$A$2:$A$210,B706,İndirimler!$B$2:$B$210,C706)&gt;0,ROUND(G706*(1-SUMIFS(İndirimler!$C$2:$C$210,İndirimler!$A$2:$A$210,B706,İndirimler!$B$2:$B$210,C706)),2),"")</f>
        <v/>
      </c>
      <c r="I706" t="str">
        <f>IF(SUMIFS(İndirimler!$D$2:$D$210,İndirimler!$A$2:$A$210,B706,İndirimler!$B$2:$B$210,C706)&gt;0,ROUND(G706*(1-SUMIFS(İndirimler!$D$2:$D$210,İndirimler!$A$2:$A$210,B706,İndirimler!$B$2:$B$210,C706)),2),"")</f>
        <v/>
      </c>
    </row>
    <row r="707" spans="8:9">
      <c r="H707" t="str">
        <f>IF(SUMIFS(İndirimler!$C$2:$C$210,İndirimler!$A$2:$A$210,B707,İndirimler!$B$2:$B$210,C707)&gt;0,ROUND(G707*(1-SUMIFS(İndirimler!$C$2:$C$210,İndirimler!$A$2:$A$210,B707,İndirimler!$B$2:$B$210,C707)),2),"")</f>
        <v/>
      </c>
      <c r="I707" t="str">
        <f>IF(SUMIFS(İndirimler!$D$2:$D$210,İndirimler!$A$2:$A$210,B707,İndirimler!$B$2:$B$210,C707)&gt;0,ROUND(G707*(1-SUMIFS(İndirimler!$D$2:$D$210,İndirimler!$A$2:$A$210,B707,İndirimler!$B$2:$B$210,C707)),2),"")</f>
        <v/>
      </c>
    </row>
    <row r="708" spans="8:9">
      <c r="H708" t="str">
        <f>IF(SUMIFS(İndirimler!$C$2:$C$210,İndirimler!$A$2:$A$210,B708,İndirimler!$B$2:$B$210,C708)&gt;0,ROUND(G708*(1-SUMIFS(İndirimler!$C$2:$C$210,İndirimler!$A$2:$A$210,B708,İndirimler!$B$2:$B$210,C708)),2),"")</f>
        <v/>
      </c>
      <c r="I708" t="str">
        <f>IF(SUMIFS(İndirimler!$D$2:$D$210,İndirimler!$A$2:$A$210,B708,İndirimler!$B$2:$B$210,C708)&gt;0,ROUND(G708*(1-SUMIFS(İndirimler!$D$2:$D$210,İndirimler!$A$2:$A$210,B708,İndirimler!$B$2:$B$210,C708)),2),"")</f>
        <v/>
      </c>
    </row>
    <row r="709" spans="8:9">
      <c r="H709" t="str">
        <f>IF(SUMIFS(İndirimler!$C$2:$C$210,İndirimler!$A$2:$A$210,B709,İndirimler!$B$2:$B$210,C709)&gt;0,ROUND(G709*(1-SUMIFS(İndirimler!$C$2:$C$210,İndirimler!$A$2:$A$210,B709,İndirimler!$B$2:$B$210,C709)),2),"")</f>
        <v/>
      </c>
      <c r="I709" t="str">
        <f>IF(SUMIFS(İndirimler!$D$2:$D$210,İndirimler!$A$2:$A$210,B709,İndirimler!$B$2:$B$210,C709)&gt;0,ROUND(G709*(1-SUMIFS(İndirimler!$D$2:$D$210,İndirimler!$A$2:$A$210,B709,İndirimler!$B$2:$B$210,C709)),2),"")</f>
        <v/>
      </c>
    </row>
    <row r="710" spans="8:9">
      <c r="H710" t="str">
        <f>IF(SUMIFS(İndirimler!$C$2:$C$210,İndirimler!$A$2:$A$210,B710,İndirimler!$B$2:$B$210,C710)&gt;0,ROUND(G710*(1-SUMIFS(İndirimler!$C$2:$C$210,İndirimler!$A$2:$A$210,B710,İndirimler!$B$2:$B$210,C710)),2),"")</f>
        <v/>
      </c>
      <c r="I710" t="str">
        <f>IF(SUMIFS(İndirimler!$D$2:$D$210,İndirimler!$A$2:$A$210,B710,İndirimler!$B$2:$B$210,C710)&gt;0,ROUND(G710*(1-SUMIFS(İndirimler!$D$2:$D$210,İndirimler!$A$2:$A$210,B710,İndirimler!$B$2:$B$210,C710)),2),"")</f>
        <v/>
      </c>
    </row>
    <row r="711" spans="8:9">
      <c r="H711" t="str">
        <f>IF(SUMIFS(İndirimler!$C$2:$C$210,İndirimler!$A$2:$A$210,B711,İndirimler!$B$2:$B$210,C711)&gt;0,ROUND(G711*(1-SUMIFS(İndirimler!$C$2:$C$210,İndirimler!$A$2:$A$210,B711,İndirimler!$B$2:$B$210,C711)),2),"")</f>
        <v/>
      </c>
      <c r="I711" t="str">
        <f>IF(SUMIFS(İndirimler!$D$2:$D$210,İndirimler!$A$2:$A$210,B711,İndirimler!$B$2:$B$210,C711)&gt;0,ROUND(G711*(1-SUMIFS(İndirimler!$D$2:$D$210,İndirimler!$A$2:$A$210,B711,İndirimler!$B$2:$B$210,C711)),2),"")</f>
        <v/>
      </c>
    </row>
    <row r="712" spans="8:9">
      <c r="H712" t="str">
        <f>IF(SUMIFS(İndirimler!$C$2:$C$210,İndirimler!$A$2:$A$210,B712,İndirimler!$B$2:$B$210,C712)&gt;0,ROUND(G712*(1-SUMIFS(İndirimler!$C$2:$C$210,İndirimler!$A$2:$A$210,B712,İndirimler!$B$2:$B$210,C712)),2),"")</f>
        <v/>
      </c>
      <c r="I712" t="str">
        <f>IF(SUMIFS(İndirimler!$D$2:$D$210,İndirimler!$A$2:$A$210,B712,İndirimler!$B$2:$B$210,C712)&gt;0,ROUND(G712*(1-SUMIFS(İndirimler!$D$2:$D$210,İndirimler!$A$2:$A$210,B712,İndirimler!$B$2:$B$210,C712)),2),"")</f>
        <v/>
      </c>
    </row>
    <row r="713" spans="8:9">
      <c r="H713" t="str">
        <f>IF(SUMIFS(İndirimler!$C$2:$C$210,İndirimler!$A$2:$A$210,B713,İndirimler!$B$2:$B$210,C713)&gt;0,ROUND(G713*(1-SUMIFS(İndirimler!$C$2:$C$210,İndirimler!$A$2:$A$210,B713,İndirimler!$B$2:$B$210,C713)),2),"")</f>
        <v/>
      </c>
      <c r="I713" t="str">
        <f>IF(SUMIFS(İndirimler!$D$2:$D$210,İndirimler!$A$2:$A$210,B713,İndirimler!$B$2:$B$210,C713)&gt;0,ROUND(G713*(1-SUMIFS(İndirimler!$D$2:$D$210,İndirimler!$A$2:$A$210,B713,İndirimler!$B$2:$B$210,C713)),2),"")</f>
        <v/>
      </c>
    </row>
    <row r="714" spans="8:9">
      <c r="H714" t="str">
        <f>IF(SUMIFS(İndirimler!$C$2:$C$210,İndirimler!$A$2:$A$210,B714,İndirimler!$B$2:$B$210,C714)&gt;0,ROUND(G714*(1-SUMIFS(İndirimler!$C$2:$C$210,İndirimler!$A$2:$A$210,B714,İndirimler!$B$2:$B$210,C714)),2),"")</f>
        <v/>
      </c>
      <c r="I714" t="str">
        <f>IF(SUMIFS(İndirimler!$D$2:$D$210,İndirimler!$A$2:$A$210,B714,İndirimler!$B$2:$B$210,C714)&gt;0,ROUND(G714*(1-SUMIFS(İndirimler!$D$2:$D$210,İndirimler!$A$2:$A$210,B714,İndirimler!$B$2:$B$210,C714)),2),"")</f>
        <v/>
      </c>
    </row>
    <row r="715" spans="8:9">
      <c r="H715" t="str">
        <f>IF(SUMIFS(İndirimler!$C$2:$C$210,İndirimler!$A$2:$A$210,B715,İndirimler!$B$2:$B$210,C715)&gt;0,ROUND(G715*(1-SUMIFS(İndirimler!$C$2:$C$210,İndirimler!$A$2:$A$210,B715,İndirimler!$B$2:$B$210,C715)),2),"")</f>
        <v/>
      </c>
      <c r="I715" t="str">
        <f>IF(SUMIFS(İndirimler!$D$2:$D$210,İndirimler!$A$2:$A$210,B715,İndirimler!$B$2:$B$210,C715)&gt;0,ROUND(G715*(1-SUMIFS(İndirimler!$D$2:$D$210,İndirimler!$A$2:$A$210,B715,İndirimler!$B$2:$B$210,C715)),2),"")</f>
        <v/>
      </c>
    </row>
    <row r="716" spans="8:9">
      <c r="H716" t="str">
        <f>IF(SUMIFS(İndirimler!$C$2:$C$210,İndirimler!$A$2:$A$210,B716,İndirimler!$B$2:$B$210,C716)&gt;0,ROUND(G716*(1-SUMIFS(İndirimler!$C$2:$C$210,İndirimler!$A$2:$A$210,B716,İndirimler!$B$2:$B$210,C716)),2),"")</f>
        <v/>
      </c>
      <c r="I716" t="str">
        <f>IF(SUMIFS(İndirimler!$D$2:$D$210,İndirimler!$A$2:$A$210,B716,İndirimler!$B$2:$B$210,C716)&gt;0,ROUND(G716*(1-SUMIFS(İndirimler!$D$2:$D$210,İndirimler!$A$2:$A$210,B716,İndirimler!$B$2:$B$210,C716)),2),"")</f>
        <v/>
      </c>
    </row>
    <row r="717" spans="8:9">
      <c r="H717" t="str">
        <f>IF(SUMIFS(İndirimler!$C$2:$C$210,İndirimler!$A$2:$A$210,B717,İndirimler!$B$2:$B$210,C717)&gt;0,ROUND(G717*(1-SUMIFS(İndirimler!$C$2:$C$210,İndirimler!$A$2:$A$210,B717,İndirimler!$B$2:$B$210,C717)),2),"")</f>
        <v/>
      </c>
      <c r="I717" t="str">
        <f>IF(SUMIFS(İndirimler!$D$2:$D$210,İndirimler!$A$2:$A$210,B717,İndirimler!$B$2:$B$210,C717)&gt;0,ROUND(G717*(1-SUMIFS(İndirimler!$D$2:$D$210,İndirimler!$A$2:$A$210,B717,İndirimler!$B$2:$B$210,C717)),2),"")</f>
        <v/>
      </c>
    </row>
    <row r="718" spans="8:9">
      <c r="H718" t="str">
        <f>IF(SUMIFS(İndirimler!$C$2:$C$210,İndirimler!$A$2:$A$210,B718,İndirimler!$B$2:$B$210,C718)&gt;0,ROUND(G718*(1-SUMIFS(İndirimler!$C$2:$C$210,İndirimler!$A$2:$A$210,B718,İndirimler!$B$2:$B$210,C718)),2),"")</f>
        <v/>
      </c>
      <c r="I718" t="str">
        <f>IF(SUMIFS(İndirimler!$D$2:$D$210,İndirimler!$A$2:$A$210,B718,İndirimler!$B$2:$B$210,C718)&gt;0,ROUND(G718*(1-SUMIFS(İndirimler!$D$2:$D$210,İndirimler!$A$2:$A$210,B718,İndirimler!$B$2:$B$210,C718)),2),"")</f>
        <v/>
      </c>
    </row>
    <row r="719" spans="8:9">
      <c r="H719" t="str">
        <f>IF(SUMIFS(İndirimler!$C$2:$C$210,İndirimler!$A$2:$A$210,B719,İndirimler!$B$2:$B$210,C719)&gt;0,ROUND(G719*(1-SUMIFS(İndirimler!$C$2:$C$210,İndirimler!$A$2:$A$210,B719,İndirimler!$B$2:$B$210,C719)),2),"")</f>
        <v/>
      </c>
      <c r="I719" t="str">
        <f>IF(SUMIFS(İndirimler!$D$2:$D$210,İndirimler!$A$2:$A$210,B719,İndirimler!$B$2:$B$210,C719)&gt;0,ROUND(G719*(1-SUMIFS(İndirimler!$D$2:$D$210,İndirimler!$A$2:$A$210,B719,İndirimler!$B$2:$B$210,C719)),2),"")</f>
        <v/>
      </c>
    </row>
    <row r="720" spans="8:9">
      <c r="H720" t="str">
        <f>IF(SUMIFS(İndirimler!$C$2:$C$210,İndirimler!$A$2:$A$210,B720,İndirimler!$B$2:$B$210,C720)&gt;0,ROUND(G720*(1-SUMIFS(İndirimler!$C$2:$C$210,İndirimler!$A$2:$A$210,B720,İndirimler!$B$2:$B$210,C720)),2),"")</f>
        <v/>
      </c>
      <c r="I720" t="str">
        <f>IF(SUMIFS(İndirimler!$D$2:$D$210,İndirimler!$A$2:$A$210,B720,İndirimler!$B$2:$B$210,C720)&gt;0,ROUND(G720*(1-SUMIFS(İndirimler!$D$2:$D$210,İndirimler!$A$2:$A$210,B720,İndirimler!$B$2:$B$210,C720)),2),"")</f>
        <v/>
      </c>
    </row>
    <row r="721" spans="8:9">
      <c r="H721" t="str">
        <f>IF(SUMIFS(İndirimler!$C$2:$C$210,İndirimler!$A$2:$A$210,B721,İndirimler!$B$2:$B$210,C721)&gt;0,ROUND(G721*(1-SUMIFS(İndirimler!$C$2:$C$210,İndirimler!$A$2:$A$210,B721,İndirimler!$B$2:$B$210,C721)),2),"")</f>
        <v/>
      </c>
      <c r="I721" t="str">
        <f>IF(SUMIFS(İndirimler!$D$2:$D$210,İndirimler!$A$2:$A$210,B721,İndirimler!$B$2:$B$210,C721)&gt;0,ROUND(G721*(1-SUMIFS(İndirimler!$D$2:$D$210,İndirimler!$A$2:$A$210,B721,İndirimler!$B$2:$B$210,C721)),2),"")</f>
        <v/>
      </c>
    </row>
    <row r="722" spans="8:9">
      <c r="H722" t="str">
        <f>IF(SUMIFS(İndirimler!$C$2:$C$210,İndirimler!$A$2:$A$210,B722,İndirimler!$B$2:$B$210,C722)&gt;0,ROUND(G722*(1-SUMIFS(İndirimler!$C$2:$C$210,İndirimler!$A$2:$A$210,B722,İndirimler!$B$2:$B$210,C722)),2),"")</f>
        <v/>
      </c>
      <c r="I722" t="str">
        <f>IF(SUMIFS(İndirimler!$D$2:$D$210,İndirimler!$A$2:$A$210,B722,İndirimler!$B$2:$B$210,C722)&gt;0,ROUND(G722*(1-SUMIFS(İndirimler!$D$2:$D$210,İndirimler!$A$2:$A$210,B722,İndirimler!$B$2:$B$210,C722)),2),"")</f>
        <v/>
      </c>
    </row>
    <row r="723" spans="8:9">
      <c r="H723" t="str">
        <f>IF(SUMIFS(İndirimler!$C$2:$C$210,İndirimler!$A$2:$A$210,B723,İndirimler!$B$2:$B$210,C723)&gt;0,ROUND(G723*(1-SUMIFS(İndirimler!$C$2:$C$210,İndirimler!$A$2:$A$210,B723,İndirimler!$B$2:$B$210,C723)),2),"")</f>
        <v/>
      </c>
      <c r="I723" t="str">
        <f>IF(SUMIFS(İndirimler!$D$2:$D$210,İndirimler!$A$2:$A$210,B723,İndirimler!$B$2:$B$210,C723)&gt;0,ROUND(G723*(1-SUMIFS(İndirimler!$D$2:$D$210,İndirimler!$A$2:$A$210,B723,İndirimler!$B$2:$B$210,C723)),2),"")</f>
        <v/>
      </c>
    </row>
    <row r="724" spans="8:9">
      <c r="H724" t="str">
        <f>IF(SUMIFS(İndirimler!$C$2:$C$210,İndirimler!$A$2:$A$210,B724,İndirimler!$B$2:$B$210,C724)&gt;0,ROUND(G724*(1-SUMIFS(İndirimler!$C$2:$C$210,İndirimler!$A$2:$A$210,B724,İndirimler!$B$2:$B$210,C724)),2),"")</f>
        <v/>
      </c>
      <c r="I724" t="str">
        <f>IF(SUMIFS(İndirimler!$D$2:$D$210,İndirimler!$A$2:$A$210,B724,İndirimler!$B$2:$B$210,C724)&gt;0,ROUND(G724*(1-SUMIFS(İndirimler!$D$2:$D$210,İndirimler!$A$2:$A$210,B724,İndirimler!$B$2:$B$210,C724)),2),"")</f>
        <v/>
      </c>
    </row>
    <row r="725" spans="8:9">
      <c r="H725" t="str">
        <f>IF(SUMIFS(İndirimler!$C$2:$C$210,İndirimler!$A$2:$A$210,B725,İndirimler!$B$2:$B$210,C725)&gt;0,ROUND(G725*(1-SUMIFS(İndirimler!$C$2:$C$210,İndirimler!$A$2:$A$210,B725,İndirimler!$B$2:$B$210,C725)),2),"")</f>
        <v/>
      </c>
      <c r="I725" t="str">
        <f>IF(SUMIFS(İndirimler!$D$2:$D$210,İndirimler!$A$2:$A$210,B725,İndirimler!$B$2:$B$210,C725)&gt;0,ROUND(G725*(1-SUMIFS(İndirimler!$D$2:$D$210,İndirimler!$A$2:$A$210,B725,İndirimler!$B$2:$B$210,C725)),2),"")</f>
        <v/>
      </c>
    </row>
    <row r="726" spans="8:9">
      <c r="H726" t="str">
        <f>IF(SUMIFS(İndirimler!$C$2:$C$210,İndirimler!$A$2:$A$210,B726,İndirimler!$B$2:$B$210,C726)&gt;0,ROUND(G726*(1-SUMIFS(İndirimler!$C$2:$C$210,İndirimler!$A$2:$A$210,B726,İndirimler!$B$2:$B$210,C726)),2),"")</f>
        <v/>
      </c>
      <c r="I726" t="str">
        <f>IF(SUMIFS(İndirimler!$D$2:$D$210,İndirimler!$A$2:$A$210,B726,İndirimler!$B$2:$B$210,C726)&gt;0,ROUND(G726*(1-SUMIFS(İndirimler!$D$2:$D$210,İndirimler!$A$2:$A$210,B726,İndirimler!$B$2:$B$210,C726)),2),"")</f>
        <v/>
      </c>
    </row>
    <row r="727" spans="8:9">
      <c r="H727" t="str">
        <f>IF(SUMIFS(İndirimler!$C$2:$C$210,İndirimler!$A$2:$A$210,B727,İndirimler!$B$2:$B$210,C727)&gt;0,ROUND(G727*(1-SUMIFS(İndirimler!$C$2:$C$210,İndirimler!$A$2:$A$210,B727,İndirimler!$B$2:$B$210,C727)),2),"")</f>
        <v/>
      </c>
      <c r="I727" t="str">
        <f>IF(SUMIFS(İndirimler!$D$2:$D$210,İndirimler!$A$2:$A$210,B727,İndirimler!$B$2:$B$210,C727)&gt;0,ROUND(G727*(1-SUMIFS(İndirimler!$D$2:$D$210,İndirimler!$A$2:$A$210,B727,İndirimler!$B$2:$B$210,C727)),2),"")</f>
        <v/>
      </c>
    </row>
    <row r="728" spans="8:9">
      <c r="H728" t="str">
        <f>IF(SUMIFS(İndirimler!$C$2:$C$210,İndirimler!$A$2:$A$210,B728,İndirimler!$B$2:$B$210,C728)&gt;0,ROUND(G728*(1-SUMIFS(İndirimler!$C$2:$C$210,İndirimler!$A$2:$A$210,B728,İndirimler!$B$2:$B$210,C728)),2),"")</f>
        <v/>
      </c>
      <c r="I728" t="str">
        <f>IF(SUMIFS(İndirimler!$D$2:$D$210,İndirimler!$A$2:$A$210,B728,İndirimler!$B$2:$B$210,C728)&gt;0,ROUND(G728*(1-SUMIFS(İndirimler!$D$2:$D$210,İndirimler!$A$2:$A$210,B728,İndirimler!$B$2:$B$210,C728)),2),"")</f>
        <v/>
      </c>
    </row>
    <row r="729" spans="8:9">
      <c r="H729" t="str">
        <f>IF(SUMIFS(İndirimler!$C$2:$C$210,İndirimler!$A$2:$A$210,B729,İndirimler!$B$2:$B$210,C729)&gt;0,ROUND(G729*(1-SUMIFS(İndirimler!$C$2:$C$210,İndirimler!$A$2:$A$210,B729,İndirimler!$B$2:$B$210,C729)),2),"")</f>
        <v/>
      </c>
      <c r="I729" t="str">
        <f>IF(SUMIFS(İndirimler!$D$2:$D$210,İndirimler!$A$2:$A$210,B729,İndirimler!$B$2:$B$210,C729)&gt;0,ROUND(G729*(1-SUMIFS(İndirimler!$D$2:$D$210,İndirimler!$A$2:$A$210,B729,İndirimler!$B$2:$B$210,C729)),2),"")</f>
        <v/>
      </c>
    </row>
    <row r="730" spans="8:9">
      <c r="H730" t="str">
        <f>IF(SUMIFS(İndirimler!$C$2:$C$210,İndirimler!$A$2:$A$210,B730,İndirimler!$B$2:$B$210,C730)&gt;0,ROUND(G730*(1-SUMIFS(İndirimler!$C$2:$C$210,İndirimler!$A$2:$A$210,B730,İndirimler!$B$2:$B$210,C730)),2),"")</f>
        <v/>
      </c>
      <c r="I730" t="str">
        <f>IF(SUMIFS(İndirimler!$D$2:$D$210,İndirimler!$A$2:$A$210,B730,İndirimler!$B$2:$B$210,C730)&gt;0,ROUND(G730*(1-SUMIFS(İndirimler!$D$2:$D$210,İndirimler!$A$2:$A$210,B730,İndirimler!$B$2:$B$210,C730)),2),"")</f>
        <v/>
      </c>
    </row>
    <row r="731" spans="8:9">
      <c r="H731" t="str">
        <f>IF(SUMIFS(İndirimler!$C$2:$C$210,İndirimler!$A$2:$A$210,B731,İndirimler!$B$2:$B$210,C731)&gt;0,ROUND(G731*(1-SUMIFS(İndirimler!$C$2:$C$210,İndirimler!$A$2:$A$210,B731,İndirimler!$B$2:$B$210,C731)),2),"")</f>
        <v/>
      </c>
      <c r="I731" t="str">
        <f>IF(SUMIFS(İndirimler!$D$2:$D$210,İndirimler!$A$2:$A$210,B731,İndirimler!$B$2:$B$210,C731)&gt;0,ROUND(G731*(1-SUMIFS(İndirimler!$D$2:$D$210,İndirimler!$A$2:$A$210,B731,İndirimler!$B$2:$B$210,C731)),2),"")</f>
        <v/>
      </c>
    </row>
    <row r="732" spans="8:9">
      <c r="H732" t="str">
        <f>IF(SUMIFS(İndirimler!$C$2:$C$210,İndirimler!$A$2:$A$210,B732,İndirimler!$B$2:$B$210,C732)&gt;0,ROUND(G732*(1-SUMIFS(İndirimler!$C$2:$C$210,İndirimler!$A$2:$A$210,B732,İndirimler!$B$2:$B$210,C732)),2),"")</f>
        <v/>
      </c>
      <c r="I732" t="str">
        <f>IF(SUMIFS(İndirimler!$D$2:$D$210,İndirimler!$A$2:$A$210,B732,İndirimler!$B$2:$B$210,C732)&gt;0,ROUND(G732*(1-SUMIFS(İndirimler!$D$2:$D$210,İndirimler!$A$2:$A$210,B732,İndirimler!$B$2:$B$210,C732)),2),"")</f>
        <v/>
      </c>
    </row>
    <row r="733" spans="8:9">
      <c r="H733" t="str">
        <f>IF(SUMIFS(İndirimler!$C$2:$C$210,İndirimler!$A$2:$A$210,B733,İndirimler!$B$2:$B$210,C733)&gt;0,ROUND(G733*(1-SUMIFS(İndirimler!$C$2:$C$210,İndirimler!$A$2:$A$210,B733,İndirimler!$B$2:$B$210,C733)),2),"")</f>
        <v/>
      </c>
      <c r="I733" t="str">
        <f>IF(SUMIFS(İndirimler!$D$2:$D$210,İndirimler!$A$2:$A$210,B733,İndirimler!$B$2:$B$210,C733)&gt;0,ROUND(G733*(1-SUMIFS(İndirimler!$D$2:$D$210,İndirimler!$A$2:$A$210,B733,İndirimler!$B$2:$B$210,C733)),2),"")</f>
        <v/>
      </c>
    </row>
    <row r="734" spans="8:9">
      <c r="H734" t="str">
        <f>IF(SUMIFS(İndirimler!$C$2:$C$210,İndirimler!$A$2:$A$210,B734,İndirimler!$B$2:$B$210,C734)&gt;0,ROUND(G734*(1-SUMIFS(İndirimler!$C$2:$C$210,İndirimler!$A$2:$A$210,B734,İndirimler!$B$2:$B$210,C734)),2),"")</f>
        <v/>
      </c>
      <c r="I734" t="str">
        <f>IF(SUMIFS(İndirimler!$D$2:$D$210,İndirimler!$A$2:$A$210,B734,İndirimler!$B$2:$B$210,C734)&gt;0,ROUND(G734*(1-SUMIFS(İndirimler!$D$2:$D$210,İndirimler!$A$2:$A$210,B734,İndirimler!$B$2:$B$210,C734)),2),"")</f>
        <v/>
      </c>
    </row>
    <row r="735" spans="8:9">
      <c r="H735" t="str">
        <f>IF(SUMIFS(İndirimler!$C$2:$C$210,İndirimler!$A$2:$A$210,B735,İndirimler!$B$2:$B$210,C735)&gt;0,ROUND(G735*(1-SUMIFS(İndirimler!$C$2:$C$210,İndirimler!$A$2:$A$210,B735,İndirimler!$B$2:$B$210,C735)),2),"")</f>
        <v/>
      </c>
      <c r="I735" t="str">
        <f>IF(SUMIFS(İndirimler!$D$2:$D$210,İndirimler!$A$2:$A$210,B735,İndirimler!$B$2:$B$210,C735)&gt;0,ROUND(G735*(1-SUMIFS(İndirimler!$D$2:$D$210,İndirimler!$A$2:$A$210,B735,İndirimler!$B$2:$B$210,C735)),2),"")</f>
        <v/>
      </c>
    </row>
    <row r="736" spans="8:9">
      <c r="H736" t="str">
        <f>IF(SUMIFS(İndirimler!$C$2:$C$210,İndirimler!$A$2:$A$210,B736,İndirimler!$B$2:$B$210,C736)&gt;0,ROUND(G736*(1-SUMIFS(İndirimler!$C$2:$C$210,İndirimler!$A$2:$A$210,B736,İndirimler!$B$2:$B$210,C736)),2),"")</f>
        <v/>
      </c>
      <c r="I736" t="str">
        <f>IF(SUMIFS(İndirimler!$D$2:$D$210,İndirimler!$A$2:$A$210,B736,İndirimler!$B$2:$B$210,C736)&gt;0,ROUND(G736*(1-SUMIFS(İndirimler!$D$2:$D$210,İndirimler!$A$2:$A$210,B736,İndirimler!$B$2:$B$210,C736)),2),"")</f>
        <v/>
      </c>
    </row>
    <row r="737" spans="8:9">
      <c r="H737" t="str">
        <f>IF(SUMIFS(İndirimler!$C$2:$C$210,İndirimler!$A$2:$A$210,B737,İndirimler!$B$2:$B$210,C737)&gt;0,ROUND(G737*(1-SUMIFS(İndirimler!$C$2:$C$210,İndirimler!$A$2:$A$210,B737,İndirimler!$B$2:$B$210,C737)),2),"")</f>
        <v/>
      </c>
      <c r="I737" t="str">
        <f>IF(SUMIFS(İndirimler!$D$2:$D$210,İndirimler!$A$2:$A$210,B737,İndirimler!$B$2:$B$210,C737)&gt;0,ROUND(G737*(1-SUMIFS(İndirimler!$D$2:$D$210,İndirimler!$A$2:$A$210,B737,İndirimler!$B$2:$B$210,C737)),2),"")</f>
        <v/>
      </c>
    </row>
    <row r="738" spans="8:9">
      <c r="H738" t="str">
        <f>IF(SUMIFS(İndirimler!$C$2:$C$210,İndirimler!$A$2:$A$210,B738,İndirimler!$B$2:$B$210,C738)&gt;0,ROUND(G738*(1-SUMIFS(İndirimler!$C$2:$C$210,İndirimler!$A$2:$A$210,B738,İndirimler!$B$2:$B$210,C738)),2),"")</f>
        <v/>
      </c>
      <c r="I738" t="str">
        <f>IF(SUMIFS(İndirimler!$D$2:$D$210,İndirimler!$A$2:$A$210,B738,İndirimler!$B$2:$B$210,C738)&gt;0,ROUND(G738*(1-SUMIFS(İndirimler!$D$2:$D$210,İndirimler!$A$2:$A$210,B738,İndirimler!$B$2:$B$210,C738)),2),"")</f>
        <v/>
      </c>
    </row>
    <row r="739" spans="8:9">
      <c r="H739" t="str">
        <f>IF(SUMIFS(İndirimler!$C$2:$C$210,İndirimler!$A$2:$A$210,B739,İndirimler!$B$2:$B$210,C739)&gt;0,ROUND(G739*(1-SUMIFS(İndirimler!$C$2:$C$210,İndirimler!$A$2:$A$210,B739,İndirimler!$B$2:$B$210,C739)),2),"")</f>
        <v/>
      </c>
      <c r="I739" t="str">
        <f>IF(SUMIFS(İndirimler!$D$2:$D$210,İndirimler!$A$2:$A$210,B739,İndirimler!$B$2:$B$210,C739)&gt;0,ROUND(G739*(1-SUMIFS(İndirimler!$D$2:$D$210,İndirimler!$A$2:$A$210,B739,İndirimler!$B$2:$B$210,C739)),2),"")</f>
        <v/>
      </c>
    </row>
    <row r="740" spans="8:9">
      <c r="H740" t="str">
        <f>IF(SUMIFS(İndirimler!$C$2:$C$210,İndirimler!$A$2:$A$210,B740,İndirimler!$B$2:$B$210,C740)&gt;0,ROUND(G740*(1-SUMIFS(İndirimler!$C$2:$C$210,İndirimler!$A$2:$A$210,B740,İndirimler!$B$2:$B$210,C740)),2),"")</f>
        <v/>
      </c>
      <c r="I740" t="str">
        <f>IF(SUMIFS(İndirimler!$D$2:$D$210,İndirimler!$A$2:$A$210,B740,İndirimler!$B$2:$B$210,C740)&gt;0,ROUND(G740*(1-SUMIFS(İndirimler!$D$2:$D$210,İndirimler!$A$2:$A$210,B740,İndirimler!$B$2:$B$210,C740)),2),"")</f>
        <v/>
      </c>
    </row>
    <row r="741" spans="8:9">
      <c r="H741" t="str">
        <f>IF(SUMIFS(İndirimler!$C$2:$C$210,İndirimler!$A$2:$A$210,B741,İndirimler!$B$2:$B$210,C741)&gt;0,ROUND(G741*(1-SUMIFS(İndirimler!$C$2:$C$210,İndirimler!$A$2:$A$210,B741,İndirimler!$B$2:$B$210,C741)),2),"")</f>
        <v/>
      </c>
      <c r="I741" t="str">
        <f>IF(SUMIFS(İndirimler!$D$2:$D$210,İndirimler!$A$2:$A$210,B741,İndirimler!$B$2:$B$210,C741)&gt;0,ROUND(G741*(1-SUMIFS(İndirimler!$D$2:$D$210,İndirimler!$A$2:$A$210,B741,İndirimler!$B$2:$B$210,C741)),2),"")</f>
        <v/>
      </c>
    </row>
    <row r="742" spans="8:9">
      <c r="H742" t="str">
        <f>IF(SUMIFS(İndirimler!$C$2:$C$210,İndirimler!$A$2:$A$210,B742,İndirimler!$B$2:$B$210,C742)&gt;0,ROUND(G742*(1-SUMIFS(İndirimler!$C$2:$C$210,İndirimler!$A$2:$A$210,B742,İndirimler!$B$2:$B$210,C742)),2),"")</f>
        <v/>
      </c>
      <c r="I742" t="str">
        <f>IF(SUMIFS(İndirimler!$D$2:$D$210,İndirimler!$A$2:$A$210,B742,İndirimler!$B$2:$B$210,C742)&gt;0,ROUND(G742*(1-SUMIFS(İndirimler!$D$2:$D$210,İndirimler!$A$2:$A$210,B742,İndirimler!$B$2:$B$210,C742)),2),"")</f>
        <v/>
      </c>
    </row>
    <row r="743" spans="8:9">
      <c r="H743" t="str">
        <f>IF(SUMIFS(İndirimler!$C$2:$C$210,İndirimler!$A$2:$A$210,B743,İndirimler!$B$2:$B$210,C743)&gt;0,ROUND(G743*(1-SUMIFS(İndirimler!$C$2:$C$210,İndirimler!$A$2:$A$210,B743,İndirimler!$B$2:$B$210,C743)),2),"")</f>
        <v/>
      </c>
      <c r="I743" t="str">
        <f>IF(SUMIFS(İndirimler!$D$2:$D$210,İndirimler!$A$2:$A$210,B743,İndirimler!$B$2:$B$210,C743)&gt;0,ROUND(G743*(1-SUMIFS(İndirimler!$D$2:$D$210,İndirimler!$A$2:$A$210,B743,İndirimler!$B$2:$B$210,C743)),2),"")</f>
        <v/>
      </c>
    </row>
    <row r="744" spans="8:9">
      <c r="H744" t="str">
        <f>IF(SUMIFS(İndirimler!$C$2:$C$210,İndirimler!$A$2:$A$210,B744,İndirimler!$B$2:$B$210,C744)&gt;0,ROUND(G744*(1-SUMIFS(İndirimler!$C$2:$C$210,İndirimler!$A$2:$A$210,B744,İndirimler!$B$2:$B$210,C744)),2),"")</f>
        <v/>
      </c>
      <c r="I744" t="str">
        <f>IF(SUMIFS(İndirimler!$D$2:$D$210,İndirimler!$A$2:$A$210,B744,İndirimler!$B$2:$B$210,C744)&gt;0,ROUND(G744*(1-SUMIFS(İndirimler!$D$2:$D$210,İndirimler!$A$2:$A$210,B744,İndirimler!$B$2:$B$210,C744)),2),"")</f>
        <v/>
      </c>
    </row>
    <row r="745" spans="8:9">
      <c r="H745" t="str">
        <f>IF(SUMIFS(İndirimler!$C$2:$C$210,İndirimler!$A$2:$A$210,B745,İndirimler!$B$2:$B$210,C745)&gt;0,ROUND(G745*(1-SUMIFS(İndirimler!$C$2:$C$210,İndirimler!$A$2:$A$210,B745,İndirimler!$B$2:$B$210,C745)),2),"")</f>
        <v/>
      </c>
      <c r="I745" t="str">
        <f>IF(SUMIFS(İndirimler!$D$2:$D$210,İndirimler!$A$2:$A$210,B745,İndirimler!$B$2:$B$210,C745)&gt;0,ROUND(G745*(1-SUMIFS(İndirimler!$D$2:$D$210,İndirimler!$A$2:$A$210,B745,İndirimler!$B$2:$B$210,C745)),2),"")</f>
        <v/>
      </c>
    </row>
    <row r="746" spans="8:9">
      <c r="H746" t="str">
        <f>IF(SUMIFS(İndirimler!$C$2:$C$210,İndirimler!$A$2:$A$210,B746,İndirimler!$B$2:$B$210,C746)&gt;0,ROUND(G746*(1-SUMIFS(İndirimler!$C$2:$C$210,İndirimler!$A$2:$A$210,B746,İndirimler!$B$2:$B$210,C746)),2),"")</f>
        <v/>
      </c>
      <c r="I746" t="str">
        <f>IF(SUMIFS(İndirimler!$D$2:$D$210,İndirimler!$A$2:$A$210,B746,İndirimler!$B$2:$B$210,C746)&gt;0,ROUND(G746*(1-SUMIFS(İndirimler!$D$2:$D$210,İndirimler!$A$2:$A$210,B746,İndirimler!$B$2:$B$210,C746)),2),"")</f>
        <v/>
      </c>
    </row>
    <row r="747" spans="8:9">
      <c r="H747" t="str">
        <f>IF(SUMIFS(İndirimler!$C$2:$C$210,İndirimler!$A$2:$A$210,B747,İndirimler!$B$2:$B$210,C747)&gt;0,ROUND(G747*(1-SUMIFS(İndirimler!$C$2:$C$210,İndirimler!$A$2:$A$210,B747,İndirimler!$B$2:$B$210,C747)),2),"")</f>
        <v/>
      </c>
      <c r="I747" t="str">
        <f>IF(SUMIFS(İndirimler!$D$2:$D$210,İndirimler!$A$2:$A$210,B747,İndirimler!$B$2:$B$210,C747)&gt;0,ROUND(G747*(1-SUMIFS(İndirimler!$D$2:$D$210,İndirimler!$A$2:$A$210,B747,İndirimler!$B$2:$B$210,C747)),2),"")</f>
        <v/>
      </c>
    </row>
    <row r="748" spans="8:9">
      <c r="H748" t="str">
        <f>IF(SUMIFS(İndirimler!$C$2:$C$210,İndirimler!$A$2:$A$210,B748,İndirimler!$B$2:$B$210,C748)&gt;0,ROUND(G748*(1-SUMIFS(İndirimler!$C$2:$C$210,İndirimler!$A$2:$A$210,B748,İndirimler!$B$2:$B$210,C748)),2),"")</f>
        <v/>
      </c>
      <c r="I748" t="str">
        <f>IF(SUMIFS(İndirimler!$D$2:$D$210,İndirimler!$A$2:$A$210,B748,İndirimler!$B$2:$B$210,C748)&gt;0,ROUND(G748*(1-SUMIFS(İndirimler!$D$2:$D$210,İndirimler!$A$2:$A$210,B748,İndirimler!$B$2:$B$210,C748)),2),"")</f>
        <v/>
      </c>
    </row>
    <row r="749" spans="8:9">
      <c r="H749" t="str">
        <f>IF(SUMIFS(İndirimler!$C$2:$C$210,İndirimler!$A$2:$A$210,B749,İndirimler!$B$2:$B$210,C749)&gt;0,ROUND(G749*(1-SUMIFS(İndirimler!$C$2:$C$210,İndirimler!$A$2:$A$210,B749,İndirimler!$B$2:$B$210,C749)),2),"")</f>
        <v/>
      </c>
      <c r="I749" t="str">
        <f>IF(SUMIFS(İndirimler!$D$2:$D$210,İndirimler!$A$2:$A$210,B749,İndirimler!$B$2:$B$210,C749)&gt;0,ROUND(G749*(1-SUMIFS(İndirimler!$D$2:$D$210,İndirimler!$A$2:$A$210,B749,İndirimler!$B$2:$B$210,C749)),2),"")</f>
        <v/>
      </c>
    </row>
    <row r="750" spans="8:9">
      <c r="H750" t="str">
        <f>IF(SUMIFS(İndirimler!$C$2:$C$210,İndirimler!$A$2:$A$210,B750,İndirimler!$B$2:$B$210,C750)&gt;0,ROUND(G750*(1-SUMIFS(İndirimler!$C$2:$C$210,İndirimler!$A$2:$A$210,B750,İndirimler!$B$2:$B$210,C750)),2),"")</f>
        <v/>
      </c>
      <c r="I750" t="str">
        <f>IF(SUMIFS(İndirimler!$D$2:$D$210,İndirimler!$A$2:$A$210,B750,İndirimler!$B$2:$B$210,C750)&gt;0,ROUND(G750*(1-SUMIFS(İndirimler!$D$2:$D$210,İndirimler!$A$2:$A$210,B750,İndirimler!$B$2:$B$210,C750)),2),"")</f>
        <v/>
      </c>
    </row>
    <row r="751" spans="8:9">
      <c r="H751" t="str">
        <f>IF(SUMIFS(İndirimler!$C$2:$C$210,İndirimler!$A$2:$A$210,B751,İndirimler!$B$2:$B$210,C751)&gt;0,ROUND(G751*(1-SUMIFS(İndirimler!$C$2:$C$210,İndirimler!$A$2:$A$210,B751,İndirimler!$B$2:$B$210,C751)),2),"")</f>
        <v/>
      </c>
      <c r="I751" t="str">
        <f>IF(SUMIFS(İndirimler!$D$2:$D$210,İndirimler!$A$2:$A$210,B751,İndirimler!$B$2:$B$210,C751)&gt;0,ROUND(G751*(1-SUMIFS(İndirimler!$D$2:$D$210,İndirimler!$A$2:$A$210,B751,İndirimler!$B$2:$B$210,C751)),2),"")</f>
        <v/>
      </c>
    </row>
    <row r="752" spans="8:9">
      <c r="H752" t="str">
        <f>IF(SUMIFS(İndirimler!$C$2:$C$210,İndirimler!$A$2:$A$210,B752,İndirimler!$B$2:$B$210,C752)&gt;0,ROUND(G752*(1-SUMIFS(İndirimler!$C$2:$C$210,İndirimler!$A$2:$A$210,B752,İndirimler!$B$2:$B$210,C752)),2),"")</f>
        <v/>
      </c>
      <c r="I752" t="str">
        <f>IF(SUMIFS(İndirimler!$D$2:$D$210,İndirimler!$A$2:$A$210,B752,İndirimler!$B$2:$B$210,C752)&gt;0,ROUND(G752*(1-SUMIFS(İndirimler!$D$2:$D$210,İndirimler!$A$2:$A$210,B752,İndirimler!$B$2:$B$210,C752)),2),"")</f>
        <v/>
      </c>
    </row>
    <row r="753" spans="8:9">
      <c r="H753" t="str">
        <f>IF(SUMIFS(İndirimler!$C$2:$C$210,İndirimler!$A$2:$A$210,B753,İndirimler!$B$2:$B$210,C753)&gt;0,ROUND(G753*(1-SUMIFS(İndirimler!$C$2:$C$210,İndirimler!$A$2:$A$210,B753,İndirimler!$B$2:$B$210,C753)),2),"")</f>
        <v/>
      </c>
      <c r="I753" t="str">
        <f>IF(SUMIFS(İndirimler!$D$2:$D$210,İndirimler!$A$2:$A$210,B753,İndirimler!$B$2:$B$210,C753)&gt;0,ROUND(G753*(1-SUMIFS(İndirimler!$D$2:$D$210,İndirimler!$A$2:$A$210,B753,İndirimler!$B$2:$B$210,C753)),2),"")</f>
        <v/>
      </c>
    </row>
    <row r="754" spans="8:9">
      <c r="H754" t="str">
        <f>IF(SUMIFS(İndirimler!$C$2:$C$210,İndirimler!$A$2:$A$210,B754,İndirimler!$B$2:$B$210,C754)&gt;0,ROUND(G754*(1-SUMIFS(İndirimler!$C$2:$C$210,İndirimler!$A$2:$A$210,B754,İndirimler!$B$2:$B$210,C754)),2),"")</f>
        <v/>
      </c>
      <c r="I754" t="str">
        <f>IF(SUMIFS(İndirimler!$D$2:$D$210,İndirimler!$A$2:$A$210,B754,İndirimler!$B$2:$B$210,C754)&gt;0,ROUND(G754*(1-SUMIFS(İndirimler!$D$2:$D$210,İndirimler!$A$2:$A$210,B754,İndirimler!$B$2:$B$210,C754)),2),"")</f>
        <v/>
      </c>
    </row>
    <row r="755" spans="8:9">
      <c r="H755" t="str">
        <f>IF(SUMIFS(İndirimler!$C$2:$C$210,İndirimler!$A$2:$A$210,B755,İndirimler!$B$2:$B$210,C755)&gt;0,ROUND(G755*(1-SUMIFS(İndirimler!$C$2:$C$210,İndirimler!$A$2:$A$210,B755,İndirimler!$B$2:$B$210,C755)),2),"")</f>
        <v/>
      </c>
      <c r="I755" t="str">
        <f>IF(SUMIFS(İndirimler!$D$2:$D$210,İndirimler!$A$2:$A$210,B755,İndirimler!$B$2:$B$210,C755)&gt;0,ROUND(G755*(1-SUMIFS(İndirimler!$D$2:$D$210,İndirimler!$A$2:$A$210,B755,İndirimler!$B$2:$B$210,C755)),2),"")</f>
        <v/>
      </c>
    </row>
    <row r="756" spans="8:9">
      <c r="H756" t="str">
        <f>IF(SUMIFS(İndirimler!$C$2:$C$210,İndirimler!$A$2:$A$210,B756,İndirimler!$B$2:$B$210,C756)&gt;0,ROUND(G756*(1-SUMIFS(İndirimler!$C$2:$C$210,İndirimler!$A$2:$A$210,B756,İndirimler!$B$2:$B$210,C756)),2),"")</f>
        <v/>
      </c>
      <c r="I756" t="str">
        <f>IF(SUMIFS(İndirimler!$D$2:$D$210,İndirimler!$A$2:$A$210,B756,İndirimler!$B$2:$B$210,C756)&gt;0,ROUND(G756*(1-SUMIFS(İndirimler!$D$2:$D$210,İndirimler!$A$2:$A$210,B756,İndirimler!$B$2:$B$210,C756)),2),"")</f>
        <v/>
      </c>
    </row>
    <row r="757" spans="8:9">
      <c r="H757" t="str">
        <f>IF(SUMIFS(İndirimler!$C$2:$C$210,İndirimler!$A$2:$A$210,B757,İndirimler!$B$2:$B$210,C757)&gt;0,ROUND(G757*(1-SUMIFS(İndirimler!$C$2:$C$210,İndirimler!$A$2:$A$210,B757,İndirimler!$B$2:$B$210,C757)),2),"")</f>
        <v/>
      </c>
      <c r="I757" t="str">
        <f>IF(SUMIFS(İndirimler!$D$2:$D$210,İndirimler!$A$2:$A$210,B757,İndirimler!$B$2:$B$210,C757)&gt;0,ROUND(G757*(1-SUMIFS(İndirimler!$D$2:$D$210,İndirimler!$A$2:$A$210,B757,İndirimler!$B$2:$B$210,C757)),2),"")</f>
        <v/>
      </c>
    </row>
    <row r="758" spans="8:9">
      <c r="H758" t="str">
        <f>IF(SUMIFS(İndirimler!$C$2:$C$210,İndirimler!$A$2:$A$210,B758,İndirimler!$B$2:$B$210,C758)&gt;0,ROUND(G758*(1-SUMIFS(İndirimler!$C$2:$C$210,İndirimler!$A$2:$A$210,B758,İndirimler!$B$2:$B$210,C758)),2),"")</f>
        <v/>
      </c>
      <c r="I758" t="str">
        <f>IF(SUMIFS(İndirimler!$D$2:$D$210,İndirimler!$A$2:$A$210,B758,İndirimler!$B$2:$B$210,C758)&gt;0,ROUND(G758*(1-SUMIFS(İndirimler!$D$2:$D$210,İndirimler!$A$2:$A$210,B758,İndirimler!$B$2:$B$210,C758)),2),"")</f>
        <v/>
      </c>
    </row>
    <row r="759" spans="8:9">
      <c r="H759" t="str">
        <f>IF(SUMIFS(İndirimler!$C$2:$C$210,İndirimler!$A$2:$A$210,B759,İndirimler!$B$2:$B$210,C759)&gt;0,ROUND(G759*(1-SUMIFS(İndirimler!$C$2:$C$210,İndirimler!$A$2:$A$210,B759,İndirimler!$B$2:$B$210,C759)),2),"")</f>
        <v/>
      </c>
      <c r="I759" t="str">
        <f>IF(SUMIFS(İndirimler!$D$2:$D$210,İndirimler!$A$2:$A$210,B759,İndirimler!$B$2:$B$210,C759)&gt;0,ROUND(G759*(1-SUMIFS(İndirimler!$D$2:$D$210,İndirimler!$A$2:$A$210,B759,İndirimler!$B$2:$B$210,C759)),2),"")</f>
        <v/>
      </c>
    </row>
    <row r="760" spans="8:9">
      <c r="H760" t="str">
        <f>IF(SUMIFS(İndirimler!$C$2:$C$210,İndirimler!$A$2:$A$210,B760,İndirimler!$B$2:$B$210,C760)&gt;0,ROUND(G760*(1-SUMIFS(İndirimler!$C$2:$C$210,İndirimler!$A$2:$A$210,B760,İndirimler!$B$2:$B$210,C760)),2),"")</f>
        <v/>
      </c>
      <c r="I760" t="str">
        <f>IF(SUMIFS(İndirimler!$D$2:$D$210,İndirimler!$A$2:$A$210,B760,İndirimler!$B$2:$B$210,C760)&gt;0,ROUND(G760*(1-SUMIFS(İndirimler!$D$2:$D$210,İndirimler!$A$2:$A$210,B760,İndirimler!$B$2:$B$210,C760)),2),"")</f>
        <v/>
      </c>
    </row>
    <row r="761" spans="8:9">
      <c r="H761" t="str">
        <f>IF(SUMIFS(İndirimler!$C$2:$C$210,İndirimler!$A$2:$A$210,B761,İndirimler!$B$2:$B$210,C761)&gt;0,ROUND(G761*(1-SUMIFS(İndirimler!$C$2:$C$210,İndirimler!$A$2:$A$210,B761,İndirimler!$B$2:$B$210,C761)),2),"")</f>
        <v/>
      </c>
      <c r="I761" t="str">
        <f>IF(SUMIFS(İndirimler!$D$2:$D$210,İndirimler!$A$2:$A$210,B761,İndirimler!$B$2:$B$210,C761)&gt;0,ROUND(G761*(1-SUMIFS(İndirimler!$D$2:$D$210,İndirimler!$A$2:$A$210,B761,İndirimler!$B$2:$B$210,C761)),2),"")</f>
        <v/>
      </c>
    </row>
    <row r="762" spans="8:9">
      <c r="H762" t="str">
        <f>IF(SUMIFS(İndirimler!$C$2:$C$210,İndirimler!$A$2:$A$210,B762,İndirimler!$B$2:$B$210,C762)&gt;0,ROUND(G762*(1-SUMIFS(İndirimler!$C$2:$C$210,İndirimler!$A$2:$A$210,B762,İndirimler!$B$2:$B$210,C762)),2),"")</f>
        <v/>
      </c>
      <c r="I762" t="str">
        <f>IF(SUMIFS(İndirimler!$D$2:$D$210,İndirimler!$A$2:$A$210,B762,İndirimler!$B$2:$B$210,C762)&gt;0,ROUND(G762*(1-SUMIFS(İndirimler!$D$2:$D$210,İndirimler!$A$2:$A$210,B762,İndirimler!$B$2:$B$210,C762)),2),"")</f>
        <v/>
      </c>
    </row>
    <row r="763" spans="8:9">
      <c r="H763" t="str">
        <f>IF(SUMIFS(İndirimler!$C$2:$C$210,İndirimler!$A$2:$A$210,B763,İndirimler!$B$2:$B$210,C763)&gt;0,ROUND(G763*(1-SUMIFS(İndirimler!$C$2:$C$210,İndirimler!$A$2:$A$210,B763,İndirimler!$B$2:$B$210,C763)),2),"")</f>
        <v/>
      </c>
      <c r="I763" t="str">
        <f>IF(SUMIFS(İndirimler!$D$2:$D$210,İndirimler!$A$2:$A$210,B763,İndirimler!$B$2:$B$210,C763)&gt;0,ROUND(G763*(1-SUMIFS(İndirimler!$D$2:$D$210,İndirimler!$A$2:$A$210,B763,İndirimler!$B$2:$B$210,C763)),2),"")</f>
        <v/>
      </c>
    </row>
    <row r="764" spans="8:9">
      <c r="H764" t="str">
        <f>IF(SUMIFS(İndirimler!$C$2:$C$210,İndirimler!$A$2:$A$210,B764,İndirimler!$B$2:$B$210,C764)&gt;0,ROUND(G764*(1-SUMIFS(İndirimler!$C$2:$C$210,İndirimler!$A$2:$A$210,B764,İndirimler!$B$2:$B$210,C764)),2),"")</f>
        <v/>
      </c>
      <c r="I764" t="str">
        <f>IF(SUMIFS(İndirimler!$D$2:$D$210,İndirimler!$A$2:$A$210,B764,İndirimler!$B$2:$B$210,C764)&gt;0,ROUND(G764*(1-SUMIFS(İndirimler!$D$2:$D$210,İndirimler!$A$2:$A$210,B764,İndirimler!$B$2:$B$210,C764)),2),"")</f>
        <v/>
      </c>
    </row>
    <row r="765" spans="8:9">
      <c r="H765" t="str">
        <f>IF(SUMIFS(İndirimler!$C$2:$C$210,İndirimler!$A$2:$A$210,B765,İndirimler!$B$2:$B$210,C765)&gt;0,ROUND(G765*(1-SUMIFS(İndirimler!$C$2:$C$210,İndirimler!$A$2:$A$210,B765,İndirimler!$B$2:$B$210,C765)),2),"")</f>
        <v/>
      </c>
      <c r="I765" t="str">
        <f>IF(SUMIFS(İndirimler!$D$2:$D$210,İndirimler!$A$2:$A$210,B765,İndirimler!$B$2:$B$210,C765)&gt;0,ROUND(G765*(1-SUMIFS(İndirimler!$D$2:$D$210,İndirimler!$A$2:$A$210,B765,İndirimler!$B$2:$B$210,C765)),2),"")</f>
        <v/>
      </c>
    </row>
    <row r="766" spans="8:9">
      <c r="H766" t="str">
        <f>IF(SUMIFS(İndirimler!$C$2:$C$210,İndirimler!$A$2:$A$210,B766,İndirimler!$B$2:$B$210,C766)&gt;0,ROUND(G766*(1-SUMIFS(İndirimler!$C$2:$C$210,İndirimler!$A$2:$A$210,B766,İndirimler!$B$2:$B$210,C766)),2),"")</f>
        <v/>
      </c>
      <c r="I766" t="str">
        <f>IF(SUMIFS(İndirimler!$D$2:$D$210,İndirimler!$A$2:$A$210,B766,İndirimler!$B$2:$B$210,C766)&gt;0,ROUND(G766*(1-SUMIFS(İndirimler!$D$2:$D$210,İndirimler!$A$2:$A$210,B766,İndirimler!$B$2:$B$210,C766)),2),"")</f>
        <v/>
      </c>
    </row>
    <row r="767" spans="8:9">
      <c r="H767" t="str">
        <f>IF(SUMIFS(İndirimler!$C$2:$C$210,İndirimler!$A$2:$A$210,B767,İndirimler!$B$2:$B$210,C767)&gt;0,ROUND(G767*(1-SUMIFS(İndirimler!$C$2:$C$210,İndirimler!$A$2:$A$210,B767,İndirimler!$B$2:$B$210,C767)),2),"")</f>
        <v/>
      </c>
      <c r="I767" t="str">
        <f>IF(SUMIFS(İndirimler!$D$2:$D$210,İndirimler!$A$2:$A$210,B767,İndirimler!$B$2:$B$210,C767)&gt;0,ROUND(G767*(1-SUMIFS(İndirimler!$D$2:$D$210,İndirimler!$A$2:$A$210,B767,İndirimler!$B$2:$B$210,C767)),2),"")</f>
        <v/>
      </c>
    </row>
    <row r="768" spans="8:9">
      <c r="H768" t="str">
        <f>IF(SUMIFS(İndirimler!$C$2:$C$210,İndirimler!$A$2:$A$210,B768,İndirimler!$B$2:$B$210,C768)&gt;0,ROUND(G768*(1-SUMIFS(İndirimler!$C$2:$C$210,İndirimler!$A$2:$A$210,B768,İndirimler!$B$2:$B$210,C768)),2),"")</f>
        <v/>
      </c>
      <c r="I768" t="str">
        <f>IF(SUMIFS(İndirimler!$D$2:$D$210,İndirimler!$A$2:$A$210,B768,İndirimler!$B$2:$B$210,C768)&gt;0,ROUND(G768*(1-SUMIFS(İndirimler!$D$2:$D$210,İndirimler!$A$2:$A$210,B768,İndirimler!$B$2:$B$210,C768)),2),"")</f>
        <v/>
      </c>
    </row>
    <row r="769" spans="8:9">
      <c r="H769" t="str">
        <f>IF(SUMIFS(İndirimler!$C$2:$C$210,İndirimler!$A$2:$A$210,B769,İndirimler!$B$2:$B$210,C769)&gt;0,ROUND(G769*(1-SUMIFS(İndirimler!$C$2:$C$210,İndirimler!$A$2:$A$210,B769,İndirimler!$B$2:$B$210,C769)),2),"")</f>
        <v/>
      </c>
      <c r="I769" t="str">
        <f>IF(SUMIFS(İndirimler!$D$2:$D$210,İndirimler!$A$2:$A$210,B769,İndirimler!$B$2:$B$210,C769)&gt;0,ROUND(G769*(1-SUMIFS(İndirimler!$D$2:$D$210,İndirimler!$A$2:$A$210,B769,İndirimler!$B$2:$B$210,C769)),2),"")</f>
        <v/>
      </c>
    </row>
    <row r="770" spans="8:9">
      <c r="H770" t="str">
        <f>IF(SUMIFS(İndirimler!$C$2:$C$210,İndirimler!$A$2:$A$210,B770,İndirimler!$B$2:$B$210,C770)&gt;0,ROUND(G770*(1-SUMIFS(İndirimler!$C$2:$C$210,İndirimler!$A$2:$A$210,B770,İndirimler!$B$2:$B$210,C770)),2),"")</f>
        <v/>
      </c>
      <c r="I770" t="str">
        <f>IF(SUMIFS(İndirimler!$D$2:$D$210,İndirimler!$A$2:$A$210,B770,İndirimler!$B$2:$B$210,C770)&gt;0,ROUND(G770*(1-SUMIFS(İndirimler!$D$2:$D$210,İndirimler!$A$2:$A$210,B770,İndirimler!$B$2:$B$210,C770)),2),"")</f>
        <v/>
      </c>
    </row>
    <row r="771" spans="8:9">
      <c r="H771" t="str">
        <f>IF(SUMIFS(İndirimler!$C$2:$C$210,İndirimler!$A$2:$A$210,B771,İndirimler!$B$2:$B$210,C771)&gt;0,ROUND(G771*(1-SUMIFS(İndirimler!$C$2:$C$210,İndirimler!$A$2:$A$210,B771,İndirimler!$B$2:$B$210,C771)),2),"")</f>
        <v/>
      </c>
      <c r="I771" t="str">
        <f>IF(SUMIFS(İndirimler!$D$2:$D$210,İndirimler!$A$2:$A$210,B771,İndirimler!$B$2:$B$210,C771)&gt;0,ROUND(G771*(1-SUMIFS(İndirimler!$D$2:$D$210,İndirimler!$A$2:$A$210,B771,İndirimler!$B$2:$B$210,C771)),2),"")</f>
        <v/>
      </c>
    </row>
    <row r="772" spans="8:9">
      <c r="H772" t="str">
        <f>IF(SUMIFS(İndirimler!$C$2:$C$210,İndirimler!$A$2:$A$210,B772,İndirimler!$B$2:$B$210,C772)&gt;0,ROUND(G772*(1-SUMIFS(İndirimler!$C$2:$C$210,İndirimler!$A$2:$A$210,B772,İndirimler!$B$2:$B$210,C772)),2),"")</f>
        <v/>
      </c>
      <c r="I772" t="str">
        <f>IF(SUMIFS(İndirimler!$D$2:$D$210,İndirimler!$A$2:$A$210,B772,İndirimler!$B$2:$B$210,C772)&gt;0,ROUND(G772*(1-SUMIFS(İndirimler!$D$2:$D$210,İndirimler!$A$2:$A$210,B772,İndirimler!$B$2:$B$210,C772)),2),"")</f>
        <v/>
      </c>
    </row>
    <row r="773" spans="8:9">
      <c r="H773" t="str">
        <f>IF(SUMIFS(İndirimler!$C$2:$C$210,İndirimler!$A$2:$A$210,B773,İndirimler!$B$2:$B$210,C773)&gt;0,ROUND(G773*(1-SUMIFS(İndirimler!$C$2:$C$210,İndirimler!$A$2:$A$210,B773,İndirimler!$B$2:$B$210,C773)),2),"")</f>
        <v/>
      </c>
      <c r="I773" t="str">
        <f>IF(SUMIFS(İndirimler!$D$2:$D$210,İndirimler!$A$2:$A$210,B773,İndirimler!$B$2:$B$210,C773)&gt;0,ROUND(G773*(1-SUMIFS(İndirimler!$D$2:$D$210,İndirimler!$A$2:$A$210,B773,İndirimler!$B$2:$B$210,C773)),2),"")</f>
        <v/>
      </c>
    </row>
    <row r="774" spans="8:9">
      <c r="H774" t="str">
        <f>IF(SUMIFS(İndirimler!$C$2:$C$210,İndirimler!$A$2:$A$210,B774,İndirimler!$B$2:$B$210,C774)&gt;0,ROUND(G774*(1-SUMIFS(İndirimler!$C$2:$C$210,İndirimler!$A$2:$A$210,B774,İndirimler!$B$2:$B$210,C774)),2),"")</f>
        <v/>
      </c>
      <c r="I774" t="str">
        <f>IF(SUMIFS(İndirimler!$D$2:$D$210,İndirimler!$A$2:$A$210,B774,İndirimler!$B$2:$B$210,C774)&gt;0,ROUND(G774*(1-SUMIFS(İndirimler!$D$2:$D$210,İndirimler!$A$2:$A$210,B774,İndirimler!$B$2:$B$210,C774)),2),"")</f>
        <v/>
      </c>
    </row>
    <row r="775" spans="8:9">
      <c r="H775" t="str">
        <f>IF(SUMIFS(İndirimler!$C$2:$C$210,İndirimler!$A$2:$A$210,B775,İndirimler!$B$2:$B$210,C775)&gt;0,ROUND(G775*(1-SUMIFS(İndirimler!$C$2:$C$210,İndirimler!$A$2:$A$210,B775,İndirimler!$B$2:$B$210,C775)),2),"")</f>
        <v/>
      </c>
      <c r="I775" t="str">
        <f>IF(SUMIFS(İndirimler!$D$2:$D$210,İndirimler!$A$2:$A$210,B775,İndirimler!$B$2:$B$210,C775)&gt;0,ROUND(G775*(1-SUMIFS(İndirimler!$D$2:$D$210,İndirimler!$A$2:$A$210,B775,İndirimler!$B$2:$B$210,C775)),2),"")</f>
        <v/>
      </c>
    </row>
    <row r="776" spans="8:9">
      <c r="H776" t="str">
        <f>IF(SUMIFS(İndirimler!$C$2:$C$210,İndirimler!$A$2:$A$210,B776,İndirimler!$B$2:$B$210,C776)&gt;0,ROUND(G776*(1-SUMIFS(İndirimler!$C$2:$C$210,İndirimler!$A$2:$A$210,B776,İndirimler!$B$2:$B$210,C776)),2),"")</f>
        <v/>
      </c>
      <c r="I776" t="str">
        <f>IF(SUMIFS(İndirimler!$D$2:$D$210,İndirimler!$A$2:$A$210,B776,İndirimler!$B$2:$B$210,C776)&gt;0,ROUND(G776*(1-SUMIFS(İndirimler!$D$2:$D$210,İndirimler!$A$2:$A$210,B776,İndirimler!$B$2:$B$210,C776)),2),"")</f>
        <v/>
      </c>
    </row>
    <row r="777" spans="8:9">
      <c r="H777" t="str">
        <f>IF(SUMIFS(İndirimler!$C$2:$C$210,İndirimler!$A$2:$A$210,B777,İndirimler!$B$2:$B$210,C777)&gt;0,ROUND(G777*(1-SUMIFS(İndirimler!$C$2:$C$210,İndirimler!$A$2:$A$210,B777,İndirimler!$B$2:$B$210,C777)),2),"")</f>
        <v/>
      </c>
      <c r="I777" t="str">
        <f>IF(SUMIFS(İndirimler!$D$2:$D$210,İndirimler!$A$2:$A$210,B777,İndirimler!$B$2:$B$210,C777)&gt;0,ROUND(G777*(1-SUMIFS(İndirimler!$D$2:$D$210,İndirimler!$A$2:$A$210,B777,İndirimler!$B$2:$B$210,C777)),2),"")</f>
        <v/>
      </c>
    </row>
    <row r="778" spans="8:9">
      <c r="H778" t="str">
        <f>IF(SUMIFS(İndirimler!$C$2:$C$210,İndirimler!$A$2:$A$210,B778,İndirimler!$B$2:$B$210,C778)&gt;0,ROUND(G778*(1-SUMIFS(İndirimler!$C$2:$C$210,İndirimler!$A$2:$A$210,B778,İndirimler!$B$2:$B$210,C778)),2),"")</f>
        <v/>
      </c>
      <c r="I778" t="str">
        <f>IF(SUMIFS(İndirimler!$D$2:$D$210,İndirimler!$A$2:$A$210,B778,İndirimler!$B$2:$B$210,C778)&gt;0,ROUND(G778*(1-SUMIFS(İndirimler!$D$2:$D$210,İndirimler!$A$2:$A$210,B778,İndirimler!$B$2:$B$210,C778)),2),"")</f>
        <v/>
      </c>
    </row>
    <row r="779" spans="8:9">
      <c r="H779" t="str">
        <f>IF(SUMIFS(İndirimler!$C$2:$C$210,İndirimler!$A$2:$A$210,B779,İndirimler!$B$2:$B$210,C779)&gt;0,ROUND(G779*(1-SUMIFS(İndirimler!$C$2:$C$210,İndirimler!$A$2:$A$210,B779,İndirimler!$B$2:$B$210,C779)),2),"")</f>
        <v/>
      </c>
      <c r="I779" t="str">
        <f>IF(SUMIFS(İndirimler!$D$2:$D$210,İndirimler!$A$2:$A$210,B779,İndirimler!$B$2:$B$210,C779)&gt;0,ROUND(G779*(1-SUMIFS(İndirimler!$D$2:$D$210,İndirimler!$A$2:$A$210,B779,İndirimler!$B$2:$B$210,C779)),2),"")</f>
        <v/>
      </c>
    </row>
    <row r="780" spans="8:9">
      <c r="H780" t="str">
        <f>IF(SUMIFS(İndirimler!$C$2:$C$210,İndirimler!$A$2:$A$210,B780,İndirimler!$B$2:$B$210,C780)&gt;0,ROUND(G780*(1-SUMIFS(İndirimler!$C$2:$C$210,İndirimler!$A$2:$A$210,B780,İndirimler!$B$2:$B$210,C780)),2),"")</f>
        <v/>
      </c>
      <c r="I780" t="str">
        <f>IF(SUMIFS(İndirimler!$D$2:$D$210,İndirimler!$A$2:$A$210,B780,İndirimler!$B$2:$B$210,C780)&gt;0,ROUND(G780*(1-SUMIFS(İndirimler!$D$2:$D$210,İndirimler!$A$2:$A$210,B780,İndirimler!$B$2:$B$210,C780)),2),"")</f>
        <v/>
      </c>
    </row>
    <row r="781" spans="8:9">
      <c r="H781" t="str">
        <f>IF(SUMIFS(İndirimler!$C$2:$C$210,İndirimler!$A$2:$A$210,B781,İndirimler!$B$2:$B$210,C781)&gt;0,ROUND(G781*(1-SUMIFS(İndirimler!$C$2:$C$210,İndirimler!$A$2:$A$210,B781,İndirimler!$B$2:$B$210,C781)),2),"")</f>
        <v/>
      </c>
      <c r="I781" t="str">
        <f>IF(SUMIFS(İndirimler!$D$2:$D$210,İndirimler!$A$2:$A$210,B781,İndirimler!$B$2:$B$210,C781)&gt;0,ROUND(G781*(1-SUMIFS(İndirimler!$D$2:$D$210,İndirimler!$A$2:$A$210,B781,İndirimler!$B$2:$B$210,C781)),2),"")</f>
        <v/>
      </c>
    </row>
    <row r="782" spans="8:9">
      <c r="H782" t="str">
        <f>IF(SUMIFS(İndirimler!$C$2:$C$210,İndirimler!$A$2:$A$210,B782,İndirimler!$B$2:$B$210,C782)&gt;0,ROUND(G782*(1-SUMIFS(İndirimler!$C$2:$C$210,İndirimler!$A$2:$A$210,B782,İndirimler!$B$2:$B$210,C782)),2),"")</f>
        <v/>
      </c>
      <c r="I782" t="str">
        <f>IF(SUMIFS(İndirimler!$D$2:$D$210,İndirimler!$A$2:$A$210,B782,İndirimler!$B$2:$B$210,C782)&gt;0,ROUND(G782*(1-SUMIFS(İndirimler!$D$2:$D$210,İndirimler!$A$2:$A$210,B782,İndirimler!$B$2:$B$210,C782)),2),"")</f>
        <v/>
      </c>
    </row>
    <row r="783" spans="8:9">
      <c r="H783" t="str">
        <f>IF(SUMIFS(İndirimler!$C$2:$C$210,İndirimler!$A$2:$A$210,B783,İndirimler!$B$2:$B$210,C783)&gt;0,ROUND(G783*(1-SUMIFS(İndirimler!$C$2:$C$210,İndirimler!$A$2:$A$210,B783,İndirimler!$B$2:$B$210,C783)),2),"")</f>
        <v/>
      </c>
      <c r="I783" t="str">
        <f>IF(SUMIFS(İndirimler!$D$2:$D$210,İndirimler!$A$2:$A$210,B783,İndirimler!$B$2:$B$210,C783)&gt;0,ROUND(G783*(1-SUMIFS(İndirimler!$D$2:$D$210,İndirimler!$A$2:$A$210,B783,İndirimler!$B$2:$B$210,C783)),2),"")</f>
        <v/>
      </c>
    </row>
    <row r="784" spans="8:9">
      <c r="H784" t="str">
        <f>IF(SUMIFS(İndirimler!$C$2:$C$210,İndirimler!$A$2:$A$210,B784,İndirimler!$B$2:$B$210,C784)&gt;0,ROUND(G784*(1-SUMIFS(İndirimler!$C$2:$C$210,İndirimler!$A$2:$A$210,B784,İndirimler!$B$2:$B$210,C784)),2),"")</f>
        <v/>
      </c>
      <c r="I784" t="str">
        <f>IF(SUMIFS(İndirimler!$D$2:$D$210,İndirimler!$A$2:$A$210,B784,İndirimler!$B$2:$B$210,C784)&gt;0,ROUND(G784*(1-SUMIFS(İndirimler!$D$2:$D$210,İndirimler!$A$2:$A$210,B784,İndirimler!$B$2:$B$210,C784)),2),"")</f>
        <v/>
      </c>
    </row>
    <row r="785" spans="8:9">
      <c r="H785" t="str">
        <f>IF(SUMIFS(İndirimler!$C$2:$C$210,İndirimler!$A$2:$A$210,B785,İndirimler!$B$2:$B$210,C785)&gt;0,ROUND(G785*(1-SUMIFS(İndirimler!$C$2:$C$210,İndirimler!$A$2:$A$210,B785,İndirimler!$B$2:$B$210,C785)),2),"")</f>
        <v/>
      </c>
      <c r="I785" t="str">
        <f>IF(SUMIFS(İndirimler!$D$2:$D$210,İndirimler!$A$2:$A$210,B785,İndirimler!$B$2:$B$210,C785)&gt;0,ROUND(G785*(1-SUMIFS(İndirimler!$D$2:$D$210,İndirimler!$A$2:$A$210,B785,İndirimler!$B$2:$B$210,C785)),2),"")</f>
        <v/>
      </c>
    </row>
    <row r="786" spans="8:9">
      <c r="H786" t="str">
        <f>IF(SUMIFS(İndirimler!$C$2:$C$210,İndirimler!$A$2:$A$210,B786,İndirimler!$B$2:$B$210,C786)&gt;0,ROUND(G786*(1-SUMIFS(İndirimler!$C$2:$C$210,İndirimler!$A$2:$A$210,B786,İndirimler!$B$2:$B$210,C786)),2),"")</f>
        <v/>
      </c>
      <c r="I786" t="str">
        <f>IF(SUMIFS(İndirimler!$D$2:$D$210,İndirimler!$A$2:$A$210,B786,İndirimler!$B$2:$B$210,C786)&gt;0,ROUND(G786*(1-SUMIFS(İndirimler!$D$2:$D$210,İndirimler!$A$2:$A$210,B786,İndirimler!$B$2:$B$210,C786)),2),"")</f>
        <v/>
      </c>
    </row>
    <row r="787" spans="8:9">
      <c r="H787" t="str">
        <f>IF(SUMIFS(İndirimler!$C$2:$C$210,İndirimler!$A$2:$A$210,B787,İndirimler!$B$2:$B$210,C787)&gt;0,ROUND(G787*(1-SUMIFS(İndirimler!$C$2:$C$210,İndirimler!$A$2:$A$210,B787,İndirimler!$B$2:$B$210,C787)),2),"")</f>
        <v/>
      </c>
      <c r="I787" t="str">
        <f>IF(SUMIFS(İndirimler!$D$2:$D$210,İndirimler!$A$2:$A$210,B787,İndirimler!$B$2:$B$210,C787)&gt;0,ROUND(G787*(1-SUMIFS(İndirimler!$D$2:$D$210,İndirimler!$A$2:$A$210,B787,İndirimler!$B$2:$B$210,C787)),2),"")</f>
        <v/>
      </c>
    </row>
    <row r="788" spans="8:9">
      <c r="H788" t="str">
        <f>IF(SUMIFS(İndirimler!$C$2:$C$210,İndirimler!$A$2:$A$210,B788,İndirimler!$B$2:$B$210,C788)&gt;0,ROUND(G788*(1-SUMIFS(İndirimler!$C$2:$C$210,İndirimler!$A$2:$A$210,B788,İndirimler!$B$2:$B$210,C788)),2),"")</f>
        <v/>
      </c>
      <c r="I788" t="str">
        <f>IF(SUMIFS(İndirimler!$D$2:$D$210,İndirimler!$A$2:$A$210,B788,İndirimler!$B$2:$B$210,C788)&gt;0,ROUND(G788*(1-SUMIFS(İndirimler!$D$2:$D$210,İndirimler!$A$2:$A$210,B788,İndirimler!$B$2:$B$210,C788)),2),"")</f>
        <v/>
      </c>
    </row>
    <row r="789" spans="8:9">
      <c r="H789" t="str">
        <f>IF(SUMIFS(İndirimler!$C$2:$C$210,İndirimler!$A$2:$A$210,B789,İndirimler!$B$2:$B$210,C789)&gt;0,ROUND(G789*(1-SUMIFS(İndirimler!$C$2:$C$210,İndirimler!$A$2:$A$210,B789,İndirimler!$B$2:$B$210,C789)),2),"")</f>
        <v/>
      </c>
      <c r="I789" t="str">
        <f>IF(SUMIFS(İndirimler!$D$2:$D$210,İndirimler!$A$2:$A$210,B789,İndirimler!$B$2:$B$210,C789)&gt;0,ROUND(G789*(1-SUMIFS(İndirimler!$D$2:$D$210,İndirimler!$A$2:$A$210,B789,İndirimler!$B$2:$B$210,C789)),2),"")</f>
        <v/>
      </c>
    </row>
    <row r="790" spans="8:9">
      <c r="H790" t="str">
        <f>IF(SUMIFS(İndirimler!$C$2:$C$210,İndirimler!$A$2:$A$210,B790,İndirimler!$B$2:$B$210,C790)&gt;0,ROUND(G790*(1-SUMIFS(İndirimler!$C$2:$C$210,İndirimler!$A$2:$A$210,B790,İndirimler!$B$2:$B$210,C790)),2),"")</f>
        <v/>
      </c>
      <c r="I790" t="str">
        <f>IF(SUMIFS(İndirimler!$D$2:$D$210,İndirimler!$A$2:$A$210,B790,İndirimler!$B$2:$B$210,C790)&gt;0,ROUND(G790*(1-SUMIFS(İndirimler!$D$2:$D$210,İndirimler!$A$2:$A$210,B790,İndirimler!$B$2:$B$210,C790)),2),"")</f>
        <v/>
      </c>
    </row>
    <row r="791" spans="8:9">
      <c r="H791" t="str">
        <f>IF(SUMIFS(İndirimler!$C$2:$C$210,İndirimler!$A$2:$A$210,B791,İndirimler!$B$2:$B$210,C791)&gt;0,ROUND(G791*(1-SUMIFS(İndirimler!$C$2:$C$210,İndirimler!$A$2:$A$210,B791,İndirimler!$B$2:$B$210,C791)),2),"")</f>
        <v/>
      </c>
      <c r="I791" t="str">
        <f>IF(SUMIFS(İndirimler!$D$2:$D$210,İndirimler!$A$2:$A$210,B791,İndirimler!$B$2:$B$210,C791)&gt;0,ROUND(G791*(1-SUMIFS(İndirimler!$D$2:$D$210,İndirimler!$A$2:$A$210,B791,İndirimler!$B$2:$B$210,C791)),2),"")</f>
        <v/>
      </c>
    </row>
    <row r="792" spans="8:9">
      <c r="H792" t="str">
        <f>IF(SUMIFS(İndirimler!$C$2:$C$210,İndirimler!$A$2:$A$210,B792,İndirimler!$B$2:$B$210,C792)&gt;0,ROUND(G792*(1-SUMIFS(İndirimler!$C$2:$C$210,İndirimler!$A$2:$A$210,B792,İndirimler!$B$2:$B$210,C792)),2),"")</f>
        <v/>
      </c>
      <c r="I792" t="str">
        <f>IF(SUMIFS(İndirimler!$D$2:$D$210,İndirimler!$A$2:$A$210,B792,İndirimler!$B$2:$B$210,C792)&gt;0,ROUND(G792*(1-SUMIFS(İndirimler!$D$2:$D$210,İndirimler!$A$2:$A$210,B792,İndirimler!$B$2:$B$210,C792)),2),"")</f>
        <v/>
      </c>
    </row>
    <row r="793" spans="8:9">
      <c r="H793" t="str">
        <f>IF(SUMIFS(İndirimler!$C$2:$C$210,İndirimler!$A$2:$A$210,B793,İndirimler!$B$2:$B$210,C793)&gt;0,ROUND(G793*(1-SUMIFS(İndirimler!$C$2:$C$210,İndirimler!$A$2:$A$210,B793,İndirimler!$B$2:$B$210,C793)),2),"")</f>
        <v/>
      </c>
      <c r="I793" t="str">
        <f>IF(SUMIFS(İndirimler!$D$2:$D$210,İndirimler!$A$2:$A$210,B793,İndirimler!$B$2:$B$210,C793)&gt;0,ROUND(G793*(1-SUMIFS(İndirimler!$D$2:$D$210,İndirimler!$A$2:$A$210,B793,İndirimler!$B$2:$B$210,C793)),2),"")</f>
        <v/>
      </c>
    </row>
    <row r="794" spans="8:9">
      <c r="H794" t="str">
        <f>IF(SUMIFS(İndirimler!$C$2:$C$210,İndirimler!$A$2:$A$210,B794,İndirimler!$B$2:$B$210,C794)&gt;0,ROUND(G794*(1-SUMIFS(İndirimler!$C$2:$C$210,İndirimler!$A$2:$A$210,B794,İndirimler!$B$2:$B$210,C794)),2),"")</f>
        <v/>
      </c>
      <c r="I794" t="str">
        <f>IF(SUMIFS(İndirimler!$D$2:$D$210,İndirimler!$A$2:$A$210,B794,İndirimler!$B$2:$B$210,C794)&gt;0,ROUND(G794*(1-SUMIFS(İndirimler!$D$2:$D$210,İndirimler!$A$2:$A$210,B794,İndirimler!$B$2:$B$210,C794)),2),"")</f>
        <v/>
      </c>
    </row>
    <row r="795" spans="8:9">
      <c r="H795" t="str">
        <f>IF(SUMIFS(İndirimler!$C$2:$C$210,İndirimler!$A$2:$A$210,B795,İndirimler!$B$2:$B$210,C795)&gt;0,ROUND(G795*(1-SUMIFS(İndirimler!$C$2:$C$210,İndirimler!$A$2:$A$210,B795,İndirimler!$B$2:$B$210,C795)),2),"")</f>
        <v/>
      </c>
      <c r="I795" t="str">
        <f>IF(SUMIFS(İndirimler!$D$2:$D$210,İndirimler!$A$2:$A$210,B795,İndirimler!$B$2:$B$210,C795)&gt;0,ROUND(G795*(1-SUMIFS(İndirimler!$D$2:$D$210,İndirimler!$A$2:$A$210,B795,İndirimler!$B$2:$B$210,C795)),2),"")</f>
        <v/>
      </c>
    </row>
    <row r="796" spans="8:9">
      <c r="H796" t="str">
        <f>IF(SUMIFS(İndirimler!$C$2:$C$210,İndirimler!$A$2:$A$210,B796,İndirimler!$B$2:$B$210,C796)&gt;0,ROUND(G796*(1-SUMIFS(İndirimler!$C$2:$C$210,İndirimler!$A$2:$A$210,B796,İndirimler!$B$2:$B$210,C796)),2),"")</f>
        <v/>
      </c>
      <c r="I796" t="str">
        <f>IF(SUMIFS(İndirimler!$D$2:$D$210,İndirimler!$A$2:$A$210,B796,İndirimler!$B$2:$B$210,C796)&gt;0,ROUND(G796*(1-SUMIFS(İndirimler!$D$2:$D$210,İndirimler!$A$2:$A$210,B796,İndirimler!$B$2:$B$210,C796)),2),"")</f>
        <v/>
      </c>
    </row>
    <row r="797" spans="8:9">
      <c r="H797" t="str">
        <f>IF(SUMIFS(İndirimler!$C$2:$C$210,İndirimler!$A$2:$A$210,B797,İndirimler!$B$2:$B$210,C797)&gt;0,ROUND(G797*(1-SUMIFS(İndirimler!$C$2:$C$210,İndirimler!$A$2:$A$210,B797,İndirimler!$B$2:$B$210,C797)),2),"")</f>
        <v/>
      </c>
      <c r="I797" t="str">
        <f>IF(SUMIFS(İndirimler!$D$2:$D$210,İndirimler!$A$2:$A$210,B797,İndirimler!$B$2:$B$210,C797)&gt;0,ROUND(G797*(1-SUMIFS(İndirimler!$D$2:$D$210,İndirimler!$A$2:$A$210,B797,İndirimler!$B$2:$B$210,C797)),2),"")</f>
        <v/>
      </c>
    </row>
    <row r="798" spans="8:9">
      <c r="H798" t="str">
        <f>IF(SUMIFS(İndirimler!$C$2:$C$210,İndirimler!$A$2:$A$210,B798,İndirimler!$B$2:$B$210,C798)&gt;0,ROUND(G798*(1-SUMIFS(İndirimler!$C$2:$C$210,İndirimler!$A$2:$A$210,B798,İndirimler!$B$2:$B$210,C798)),2),"")</f>
        <v/>
      </c>
      <c r="I798" t="str">
        <f>IF(SUMIFS(İndirimler!$D$2:$D$210,İndirimler!$A$2:$A$210,B798,İndirimler!$B$2:$B$210,C798)&gt;0,ROUND(G798*(1-SUMIFS(İndirimler!$D$2:$D$210,İndirimler!$A$2:$A$210,B798,İndirimler!$B$2:$B$210,C798)),2),"")</f>
        <v/>
      </c>
    </row>
    <row r="799" spans="8:9">
      <c r="H799" t="str">
        <f>IF(SUMIFS(İndirimler!$C$2:$C$210,İndirimler!$A$2:$A$210,B799,İndirimler!$B$2:$B$210,C799)&gt;0,ROUND(G799*(1-SUMIFS(İndirimler!$C$2:$C$210,İndirimler!$A$2:$A$210,B799,İndirimler!$B$2:$B$210,C799)),2),"")</f>
        <v/>
      </c>
      <c r="I799" t="str">
        <f>IF(SUMIFS(İndirimler!$D$2:$D$210,İndirimler!$A$2:$A$210,B799,İndirimler!$B$2:$B$210,C799)&gt;0,ROUND(G799*(1-SUMIFS(İndirimler!$D$2:$D$210,İndirimler!$A$2:$A$210,B799,İndirimler!$B$2:$B$210,C799)),2),"")</f>
        <v/>
      </c>
    </row>
    <row r="800" spans="8:9">
      <c r="H800" t="str">
        <f>IF(SUMIFS(İndirimler!$C$2:$C$210,İndirimler!$A$2:$A$210,B800,İndirimler!$B$2:$B$210,C800)&gt;0,ROUND(G800*(1-SUMIFS(İndirimler!$C$2:$C$210,İndirimler!$A$2:$A$210,B800,İndirimler!$B$2:$B$210,C800)),2),"")</f>
        <v/>
      </c>
      <c r="I800" t="str">
        <f>IF(SUMIFS(İndirimler!$D$2:$D$210,İndirimler!$A$2:$A$210,B800,İndirimler!$B$2:$B$210,C800)&gt;0,ROUND(G800*(1-SUMIFS(İndirimler!$D$2:$D$210,İndirimler!$A$2:$A$210,B800,İndirimler!$B$2:$B$210,C800)),2),"")</f>
        <v/>
      </c>
    </row>
    <row r="801" spans="8:9">
      <c r="H801" t="str">
        <f>IF(SUMIFS(İndirimler!$C$2:$C$210,İndirimler!$A$2:$A$210,B801,İndirimler!$B$2:$B$210,C801)&gt;0,ROUND(G801*(1-SUMIFS(İndirimler!$C$2:$C$210,İndirimler!$A$2:$A$210,B801,İndirimler!$B$2:$B$210,C801)),2),"")</f>
        <v/>
      </c>
      <c r="I801" t="str">
        <f>IF(SUMIFS(İndirimler!$D$2:$D$210,İndirimler!$A$2:$A$210,B801,İndirimler!$B$2:$B$210,C801)&gt;0,ROUND(G801*(1-SUMIFS(İndirimler!$D$2:$D$210,İndirimler!$A$2:$A$210,B801,İndirimler!$B$2:$B$210,C801)),2),"")</f>
        <v/>
      </c>
    </row>
    <row r="802" spans="8:9">
      <c r="H802" t="str">
        <f>IF(SUMIFS(İndirimler!$C$2:$C$210,İndirimler!$A$2:$A$210,B802,İndirimler!$B$2:$B$210,C802)&gt;0,ROUND(G802*(1-SUMIFS(İndirimler!$C$2:$C$210,İndirimler!$A$2:$A$210,B802,İndirimler!$B$2:$B$210,C802)),2),"")</f>
        <v/>
      </c>
      <c r="I802" t="str">
        <f>IF(SUMIFS(İndirimler!$D$2:$D$210,İndirimler!$A$2:$A$210,B802,İndirimler!$B$2:$B$210,C802)&gt;0,ROUND(G802*(1-SUMIFS(İndirimler!$D$2:$D$210,İndirimler!$A$2:$A$210,B802,İndirimler!$B$2:$B$210,C802)),2),"")</f>
        <v/>
      </c>
    </row>
    <row r="803" spans="8:9">
      <c r="H803" t="str">
        <f>IF(SUMIFS(İndirimler!$C$2:$C$210,İndirimler!$A$2:$A$210,B803,İndirimler!$B$2:$B$210,C803)&gt;0,ROUND(G803*(1-SUMIFS(İndirimler!$C$2:$C$210,İndirimler!$A$2:$A$210,B803,İndirimler!$B$2:$B$210,C803)),2),"")</f>
        <v/>
      </c>
      <c r="I803" t="str">
        <f>IF(SUMIFS(İndirimler!$D$2:$D$210,İndirimler!$A$2:$A$210,B803,İndirimler!$B$2:$B$210,C803)&gt;0,ROUND(G803*(1-SUMIFS(İndirimler!$D$2:$D$210,İndirimler!$A$2:$A$210,B803,İndirimler!$B$2:$B$210,C803)),2),"")</f>
        <v/>
      </c>
    </row>
    <row r="804" spans="8:9">
      <c r="H804" t="str">
        <f>IF(SUMIFS(İndirimler!$C$2:$C$210,İndirimler!$A$2:$A$210,B804,İndirimler!$B$2:$B$210,C804)&gt;0,ROUND(G804*(1-SUMIFS(İndirimler!$C$2:$C$210,İndirimler!$A$2:$A$210,B804,İndirimler!$B$2:$B$210,C804)),2),"")</f>
        <v/>
      </c>
      <c r="I804" t="str">
        <f>IF(SUMIFS(İndirimler!$D$2:$D$210,İndirimler!$A$2:$A$210,B804,İndirimler!$B$2:$B$210,C804)&gt;0,ROUND(G804*(1-SUMIFS(İndirimler!$D$2:$D$210,İndirimler!$A$2:$A$210,B804,İndirimler!$B$2:$B$210,C804)),2),"")</f>
        <v/>
      </c>
    </row>
    <row r="805" spans="8:9">
      <c r="H805" t="str">
        <f>IF(SUMIFS(İndirimler!$C$2:$C$210,İndirimler!$A$2:$A$210,B805,İndirimler!$B$2:$B$210,C805)&gt;0,ROUND(G805*(1-SUMIFS(İndirimler!$C$2:$C$210,İndirimler!$A$2:$A$210,B805,İndirimler!$B$2:$B$210,C805)),2),"")</f>
        <v/>
      </c>
      <c r="I805" t="str">
        <f>IF(SUMIFS(İndirimler!$D$2:$D$210,İndirimler!$A$2:$A$210,B805,İndirimler!$B$2:$B$210,C805)&gt;0,ROUND(G805*(1-SUMIFS(İndirimler!$D$2:$D$210,İndirimler!$A$2:$A$210,B805,İndirimler!$B$2:$B$210,C805)),2),"")</f>
        <v/>
      </c>
    </row>
    <row r="806" spans="8:9">
      <c r="H806" t="str">
        <f>IF(SUMIFS(İndirimler!$C$2:$C$210,İndirimler!$A$2:$A$210,B806,İndirimler!$B$2:$B$210,C806)&gt;0,ROUND(G806*(1-SUMIFS(İndirimler!$C$2:$C$210,İndirimler!$A$2:$A$210,B806,İndirimler!$B$2:$B$210,C806)),2),"")</f>
        <v/>
      </c>
      <c r="I806" t="str">
        <f>IF(SUMIFS(İndirimler!$D$2:$D$210,İndirimler!$A$2:$A$210,B806,İndirimler!$B$2:$B$210,C806)&gt;0,ROUND(G806*(1-SUMIFS(İndirimler!$D$2:$D$210,İndirimler!$A$2:$A$210,B806,İndirimler!$B$2:$B$210,C806)),2),"")</f>
        <v/>
      </c>
    </row>
    <row r="807" spans="8:9">
      <c r="H807" t="str">
        <f>IF(SUMIFS(İndirimler!$C$2:$C$210,İndirimler!$A$2:$A$210,B807,İndirimler!$B$2:$B$210,C807)&gt;0,ROUND(G807*(1-SUMIFS(İndirimler!$C$2:$C$210,İndirimler!$A$2:$A$210,B807,İndirimler!$B$2:$B$210,C807)),2),"")</f>
        <v/>
      </c>
      <c r="I807" t="str">
        <f>IF(SUMIFS(İndirimler!$D$2:$D$210,İndirimler!$A$2:$A$210,B807,İndirimler!$B$2:$B$210,C807)&gt;0,ROUND(G807*(1-SUMIFS(İndirimler!$D$2:$D$210,İndirimler!$A$2:$A$210,B807,İndirimler!$B$2:$B$210,C807)),2),"")</f>
        <v/>
      </c>
    </row>
    <row r="808" spans="8:9">
      <c r="H808" t="str">
        <f>IF(SUMIFS(İndirimler!$C$2:$C$210,İndirimler!$A$2:$A$210,B808,İndirimler!$B$2:$B$210,C808)&gt;0,ROUND(G808*(1-SUMIFS(İndirimler!$C$2:$C$210,İndirimler!$A$2:$A$210,B808,İndirimler!$B$2:$B$210,C808)),2),"")</f>
        <v/>
      </c>
      <c r="I808" t="str">
        <f>IF(SUMIFS(İndirimler!$D$2:$D$210,İndirimler!$A$2:$A$210,B808,İndirimler!$B$2:$B$210,C808)&gt;0,ROUND(G808*(1-SUMIFS(İndirimler!$D$2:$D$210,İndirimler!$A$2:$A$210,B808,İndirimler!$B$2:$B$210,C808)),2),"")</f>
        <v/>
      </c>
    </row>
    <row r="809" spans="8:9">
      <c r="H809" t="str">
        <f>IF(SUMIFS(İndirimler!$C$2:$C$210,İndirimler!$A$2:$A$210,B809,İndirimler!$B$2:$B$210,C809)&gt;0,ROUND(G809*(1-SUMIFS(İndirimler!$C$2:$C$210,İndirimler!$A$2:$A$210,B809,İndirimler!$B$2:$B$210,C809)),2),"")</f>
        <v/>
      </c>
      <c r="I809" t="str">
        <f>IF(SUMIFS(İndirimler!$D$2:$D$210,İndirimler!$A$2:$A$210,B809,İndirimler!$B$2:$B$210,C809)&gt;0,ROUND(G809*(1-SUMIFS(İndirimler!$D$2:$D$210,İndirimler!$A$2:$A$210,B809,İndirimler!$B$2:$B$210,C809)),2),"")</f>
        <v/>
      </c>
    </row>
    <row r="810" spans="8:9">
      <c r="H810" t="str">
        <f>IF(SUMIFS(İndirimler!$C$2:$C$210,İndirimler!$A$2:$A$210,B810,İndirimler!$B$2:$B$210,C810)&gt;0,ROUND(G810*(1-SUMIFS(İndirimler!$C$2:$C$210,İndirimler!$A$2:$A$210,B810,İndirimler!$B$2:$B$210,C810)),2),"")</f>
        <v/>
      </c>
      <c r="I810" t="str">
        <f>IF(SUMIFS(İndirimler!$D$2:$D$210,İndirimler!$A$2:$A$210,B810,İndirimler!$B$2:$B$210,C810)&gt;0,ROUND(G810*(1-SUMIFS(İndirimler!$D$2:$D$210,İndirimler!$A$2:$A$210,B810,İndirimler!$B$2:$B$210,C810)),2),"")</f>
        <v/>
      </c>
    </row>
    <row r="811" spans="8:9">
      <c r="H811" t="str">
        <f>IF(SUMIFS(İndirimler!$C$2:$C$210,İndirimler!$A$2:$A$210,B811,İndirimler!$B$2:$B$210,C811)&gt;0,ROUND(G811*(1-SUMIFS(İndirimler!$C$2:$C$210,İndirimler!$A$2:$A$210,B811,İndirimler!$B$2:$B$210,C811)),2),"")</f>
        <v/>
      </c>
      <c r="I811" t="str">
        <f>IF(SUMIFS(İndirimler!$D$2:$D$210,İndirimler!$A$2:$A$210,B811,İndirimler!$B$2:$B$210,C811)&gt;0,ROUND(G811*(1-SUMIFS(İndirimler!$D$2:$D$210,İndirimler!$A$2:$A$210,B811,İndirimler!$B$2:$B$210,C811)),2),"")</f>
        <v/>
      </c>
    </row>
    <row r="812" spans="8:9">
      <c r="H812" t="str">
        <f>IF(SUMIFS(İndirimler!$C$2:$C$210,İndirimler!$A$2:$A$210,B812,İndirimler!$B$2:$B$210,C812)&gt;0,ROUND(G812*(1-SUMIFS(İndirimler!$C$2:$C$210,İndirimler!$A$2:$A$210,B812,İndirimler!$B$2:$B$210,C812)),2),"")</f>
        <v/>
      </c>
      <c r="I812" t="str">
        <f>IF(SUMIFS(İndirimler!$D$2:$D$210,İndirimler!$A$2:$A$210,B812,İndirimler!$B$2:$B$210,C812)&gt;0,ROUND(G812*(1-SUMIFS(İndirimler!$D$2:$D$210,İndirimler!$A$2:$A$210,B812,İndirimler!$B$2:$B$210,C812)),2),"")</f>
        <v/>
      </c>
    </row>
    <row r="813" spans="8:9">
      <c r="H813" t="str">
        <f>IF(SUMIFS(İndirimler!$C$2:$C$210,İndirimler!$A$2:$A$210,B813,İndirimler!$B$2:$B$210,C813)&gt;0,ROUND(G813*(1-SUMIFS(İndirimler!$C$2:$C$210,İndirimler!$A$2:$A$210,B813,İndirimler!$B$2:$B$210,C813)),2),"")</f>
        <v/>
      </c>
      <c r="I813" t="str">
        <f>IF(SUMIFS(İndirimler!$D$2:$D$210,İndirimler!$A$2:$A$210,B813,İndirimler!$B$2:$B$210,C813)&gt;0,ROUND(G813*(1-SUMIFS(İndirimler!$D$2:$D$210,İndirimler!$A$2:$A$210,B813,İndirimler!$B$2:$B$210,C813)),2),"")</f>
        <v/>
      </c>
    </row>
    <row r="814" spans="8:9">
      <c r="H814" t="str">
        <f>IF(SUMIFS(İndirimler!$C$2:$C$210,İndirimler!$A$2:$A$210,B814,İndirimler!$B$2:$B$210,C814)&gt;0,ROUND(G814*(1-SUMIFS(İndirimler!$C$2:$C$210,İndirimler!$A$2:$A$210,B814,İndirimler!$B$2:$B$210,C814)),2),"")</f>
        <v/>
      </c>
      <c r="I814" t="str">
        <f>IF(SUMIFS(İndirimler!$D$2:$D$210,İndirimler!$A$2:$A$210,B814,İndirimler!$B$2:$B$210,C814)&gt;0,ROUND(G814*(1-SUMIFS(İndirimler!$D$2:$D$210,İndirimler!$A$2:$A$210,B814,İndirimler!$B$2:$B$210,C814)),2),"")</f>
        <v/>
      </c>
    </row>
    <row r="815" spans="8:9">
      <c r="H815" t="str">
        <f>IF(SUMIFS(İndirimler!$C$2:$C$210,İndirimler!$A$2:$A$210,B815,İndirimler!$B$2:$B$210,C815)&gt;0,ROUND(G815*(1-SUMIFS(İndirimler!$C$2:$C$210,İndirimler!$A$2:$A$210,B815,İndirimler!$B$2:$B$210,C815)),2),"")</f>
        <v/>
      </c>
      <c r="I815" t="str">
        <f>IF(SUMIFS(İndirimler!$D$2:$D$210,İndirimler!$A$2:$A$210,B815,İndirimler!$B$2:$B$210,C815)&gt;0,ROUND(G815*(1-SUMIFS(İndirimler!$D$2:$D$210,İndirimler!$A$2:$A$210,B815,İndirimler!$B$2:$B$210,C815)),2),"")</f>
        <v/>
      </c>
    </row>
    <row r="816" spans="8:9">
      <c r="H816" t="str">
        <f>IF(SUMIFS(İndirimler!$C$2:$C$210,İndirimler!$A$2:$A$210,B816,İndirimler!$B$2:$B$210,C816)&gt;0,ROUND(G816*(1-SUMIFS(İndirimler!$C$2:$C$210,İndirimler!$A$2:$A$210,B816,İndirimler!$B$2:$B$210,C816)),2),"")</f>
        <v/>
      </c>
      <c r="I816" t="str">
        <f>IF(SUMIFS(İndirimler!$D$2:$D$210,İndirimler!$A$2:$A$210,B816,İndirimler!$B$2:$B$210,C816)&gt;0,ROUND(G816*(1-SUMIFS(İndirimler!$D$2:$D$210,İndirimler!$A$2:$A$210,B816,İndirimler!$B$2:$B$210,C816)),2),"")</f>
        <v/>
      </c>
    </row>
    <row r="817" spans="8:9">
      <c r="H817" t="str">
        <f>IF(SUMIFS(İndirimler!$C$2:$C$210,İndirimler!$A$2:$A$210,B817,İndirimler!$B$2:$B$210,C817)&gt;0,ROUND(G817*(1-SUMIFS(İndirimler!$C$2:$C$210,İndirimler!$A$2:$A$210,B817,İndirimler!$B$2:$B$210,C817)),2),"")</f>
        <v/>
      </c>
      <c r="I817" t="str">
        <f>IF(SUMIFS(İndirimler!$D$2:$D$210,İndirimler!$A$2:$A$210,B817,İndirimler!$B$2:$B$210,C817)&gt;0,ROUND(G817*(1-SUMIFS(İndirimler!$D$2:$D$210,İndirimler!$A$2:$A$210,B817,İndirimler!$B$2:$B$210,C817)),2),"")</f>
        <v/>
      </c>
    </row>
    <row r="818" spans="8:9">
      <c r="H818" t="str">
        <f>IF(SUMIFS(İndirimler!$C$2:$C$210,İndirimler!$A$2:$A$210,B818,İndirimler!$B$2:$B$210,C818)&gt;0,ROUND(G818*(1-SUMIFS(İndirimler!$C$2:$C$210,İndirimler!$A$2:$A$210,B818,İndirimler!$B$2:$B$210,C818)),2),"")</f>
        <v/>
      </c>
      <c r="I818" t="str">
        <f>IF(SUMIFS(İndirimler!$D$2:$D$210,İndirimler!$A$2:$A$210,B818,İndirimler!$B$2:$B$210,C818)&gt;0,ROUND(G818*(1-SUMIFS(İndirimler!$D$2:$D$210,İndirimler!$A$2:$A$210,B818,İndirimler!$B$2:$B$210,C818)),2),"")</f>
        <v/>
      </c>
    </row>
    <row r="819" spans="8:9">
      <c r="H819" t="str">
        <f>IF(SUMIFS(İndirimler!$C$2:$C$210,İndirimler!$A$2:$A$210,B819,İndirimler!$B$2:$B$210,C819)&gt;0,ROUND(G819*(1-SUMIFS(İndirimler!$C$2:$C$210,İndirimler!$A$2:$A$210,B819,İndirimler!$B$2:$B$210,C819)),2),"")</f>
        <v/>
      </c>
      <c r="I819" t="str">
        <f>IF(SUMIFS(İndirimler!$D$2:$D$210,İndirimler!$A$2:$A$210,B819,İndirimler!$B$2:$B$210,C819)&gt;0,ROUND(G819*(1-SUMIFS(İndirimler!$D$2:$D$210,İndirimler!$A$2:$A$210,B819,İndirimler!$B$2:$B$210,C819)),2),"")</f>
        <v/>
      </c>
    </row>
    <row r="820" spans="8:9">
      <c r="H820" t="str">
        <f>IF(SUMIFS(İndirimler!$C$2:$C$210,İndirimler!$A$2:$A$210,B820,İndirimler!$B$2:$B$210,C820)&gt;0,ROUND(G820*(1-SUMIFS(İndirimler!$C$2:$C$210,İndirimler!$A$2:$A$210,B820,İndirimler!$B$2:$B$210,C820)),2),"")</f>
        <v/>
      </c>
      <c r="I820" t="str">
        <f>IF(SUMIFS(İndirimler!$D$2:$D$210,İndirimler!$A$2:$A$210,B820,İndirimler!$B$2:$B$210,C820)&gt;0,ROUND(G820*(1-SUMIFS(İndirimler!$D$2:$D$210,İndirimler!$A$2:$A$210,B820,İndirimler!$B$2:$B$210,C820)),2),"")</f>
        <v/>
      </c>
    </row>
    <row r="821" spans="8:9">
      <c r="H821" t="str">
        <f>IF(SUMIFS(İndirimler!$C$2:$C$210,İndirimler!$A$2:$A$210,B821,İndirimler!$B$2:$B$210,C821)&gt;0,ROUND(G821*(1-SUMIFS(İndirimler!$C$2:$C$210,İndirimler!$A$2:$A$210,B821,İndirimler!$B$2:$B$210,C821)),2),"")</f>
        <v/>
      </c>
      <c r="I821" t="str">
        <f>IF(SUMIFS(İndirimler!$D$2:$D$210,İndirimler!$A$2:$A$210,B821,İndirimler!$B$2:$B$210,C821)&gt;0,ROUND(G821*(1-SUMIFS(İndirimler!$D$2:$D$210,İndirimler!$A$2:$A$210,B821,İndirimler!$B$2:$B$210,C821)),2),"")</f>
        <v/>
      </c>
    </row>
    <row r="822" spans="8:9">
      <c r="H822" t="str">
        <f>IF(SUMIFS(İndirimler!$C$2:$C$210,İndirimler!$A$2:$A$210,B822,İndirimler!$B$2:$B$210,C822)&gt;0,ROUND(G822*(1-SUMIFS(İndirimler!$C$2:$C$210,İndirimler!$A$2:$A$210,B822,İndirimler!$B$2:$B$210,C822)),2),"")</f>
        <v/>
      </c>
      <c r="I822" t="str">
        <f>IF(SUMIFS(İndirimler!$D$2:$D$210,İndirimler!$A$2:$A$210,B822,İndirimler!$B$2:$B$210,C822)&gt;0,ROUND(G822*(1-SUMIFS(İndirimler!$D$2:$D$210,İndirimler!$A$2:$A$210,B822,İndirimler!$B$2:$B$210,C822)),2),"")</f>
        <v/>
      </c>
    </row>
    <row r="823" spans="8:9">
      <c r="H823" t="str">
        <f>IF(SUMIFS(İndirimler!$C$2:$C$210,İndirimler!$A$2:$A$210,B823,İndirimler!$B$2:$B$210,C823)&gt;0,ROUND(G823*(1-SUMIFS(İndirimler!$C$2:$C$210,İndirimler!$A$2:$A$210,B823,İndirimler!$B$2:$B$210,C823)),2),"")</f>
        <v/>
      </c>
      <c r="I823" t="str">
        <f>IF(SUMIFS(İndirimler!$D$2:$D$210,İndirimler!$A$2:$A$210,B823,İndirimler!$B$2:$B$210,C823)&gt;0,ROUND(G823*(1-SUMIFS(İndirimler!$D$2:$D$210,İndirimler!$A$2:$A$210,B823,İndirimler!$B$2:$B$210,C823)),2),"")</f>
        <v/>
      </c>
    </row>
    <row r="824" spans="8:9">
      <c r="H824" t="str">
        <f>IF(SUMIFS(İndirimler!$C$2:$C$210,İndirimler!$A$2:$A$210,B824,İndirimler!$B$2:$B$210,C824)&gt;0,ROUND(G824*(1-SUMIFS(İndirimler!$C$2:$C$210,İndirimler!$A$2:$A$210,B824,İndirimler!$B$2:$B$210,C824)),2),"")</f>
        <v/>
      </c>
      <c r="I824" t="str">
        <f>IF(SUMIFS(İndirimler!$D$2:$D$210,İndirimler!$A$2:$A$210,B824,İndirimler!$B$2:$B$210,C824)&gt;0,ROUND(G824*(1-SUMIFS(İndirimler!$D$2:$D$210,İndirimler!$A$2:$A$210,B824,İndirimler!$B$2:$B$210,C824)),2),"")</f>
        <v/>
      </c>
    </row>
    <row r="825" spans="8:9">
      <c r="H825" t="str">
        <f>IF(SUMIFS(İndirimler!$C$2:$C$210,İndirimler!$A$2:$A$210,B825,İndirimler!$B$2:$B$210,C825)&gt;0,ROUND(G825*(1-SUMIFS(İndirimler!$C$2:$C$210,İndirimler!$A$2:$A$210,B825,İndirimler!$B$2:$B$210,C825)),2),"")</f>
        <v/>
      </c>
      <c r="I825" t="str">
        <f>IF(SUMIFS(İndirimler!$D$2:$D$210,İndirimler!$A$2:$A$210,B825,İndirimler!$B$2:$B$210,C825)&gt;0,ROUND(G825*(1-SUMIFS(İndirimler!$D$2:$D$210,İndirimler!$A$2:$A$210,B825,İndirimler!$B$2:$B$210,C825)),2),"")</f>
        <v/>
      </c>
    </row>
    <row r="826" spans="8:9">
      <c r="H826" t="str">
        <f>IF(SUMIFS(İndirimler!$C$2:$C$210,İndirimler!$A$2:$A$210,B826,İndirimler!$B$2:$B$210,C826)&gt;0,ROUND(G826*(1-SUMIFS(İndirimler!$C$2:$C$210,İndirimler!$A$2:$A$210,B826,İndirimler!$B$2:$B$210,C826)),2),"")</f>
        <v/>
      </c>
      <c r="I826" t="str">
        <f>IF(SUMIFS(İndirimler!$D$2:$D$210,İndirimler!$A$2:$A$210,B826,İndirimler!$B$2:$B$210,C826)&gt;0,ROUND(G826*(1-SUMIFS(İndirimler!$D$2:$D$210,İndirimler!$A$2:$A$210,B826,İndirimler!$B$2:$B$210,C826)),2),"")</f>
        <v/>
      </c>
    </row>
    <row r="827" spans="8:9">
      <c r="H827" t="str">
        <f>IF(SUMIFS(İndirimler!$C$2:$C$210,İndirimler!$A$2:$A$210,B827,İndirimler!$B$2:$B$210,C827)&gt;0,ROUND(G827*(1-SUMIFS(İndirimler!$C$2:$C$210,İndirimler!$A$2:$A$210,B827,İndirimler!$B$2:$B$210,C827)),2),"")</f>
        <v/>
      </c>
      <c r="I827" t="str">
        <f>IF(SUMIFS(İndirimler!$D$2:$D$210,İndirimler!$A$2:$A$210,B827,İndirimler!$B$2:$B$210,C827)&gt;0,ROUND(G827*(1-SUMIFS(İndirimler!$D$2:$D$210,İndirimler!$A$2:$A$210,B827,İndirimler!$B$2:$B$210,C827)),2),"")</f>
        <v/>
      </c>
    </row>
    <row r="828" spans="8:9">
      <c r="H828" t="str">
        <f>IF(SUMIFS(İndirimler!$C$2:$C$210,İndirimler!$A$2:$A$210,B828,İndirimler!$B$2:$B$210,C828)&gt;0,ROUND(G828*(1-SUMIFS(İndirimler!$C$2:$C$210,İndirimler!$A$2:$A$210,B828,İndirimler!$B$2:$B$210,C828)),2),"")</f>
        <v/>
      </c>
      <c r="I828" t="str">
        <f>IF(SUMIFS(İndirimler!$D$2:$D$210,İndirimler!$A$2:$A$210,B828,İndirimler!$B$2:$B$210,C828)&gt;0,ROUND(G828*(1-SUMIFS(İndirimler!$D$2:$D$210,İndirimler!$A$2:$A$210,B828,İndirimler!$B$2:$B$210,C828)),2),"")</f>
        <v/>
      </c>
    </row>
    <row r="829" spans="8:9">
      <c r="H829" t="str">
        <f>IF(SUMIFS(İndirimler!$C$2:$C$210,İndirimler!$A$2:$A$210,B829,İndirimler!$B$2:$B$210,C829)&gt;0,ROUND(G829*(1-SUMIFS(İndirimler!$C$2:$C$210,İndirimler!$A$2:$A$210,B829,İndirimler!$B$2:$B$210,C829)),2),"")</f>
        <v/>
      </c>
      <c r="I829" t="str">
        <f>IF(SUMIFS(İndirimler!$D$2:$D$210,İndirimler!$A$2:$A$210,B829,İndirimler!$B$2:$B$210,C829)&gt;0,ROUND(G829*(1-SUMIFS(İndirimler!$D$2:$D$210,İndirimler!$A$2:$A$210,B829,İndirimler!$B$2:$B$210,C829)),2),"")</f>
        <v/>
      </c>
    </row>
    <row r="830" spans="8:9">
      <c r="H830" t="str">
        <f>IF(SUMIFS(İndirimler!$C$2:$C$210,İndirimler!$A$2:$A$210,B830,İndirimler!$B$2:$B$210,C830)&gt;0,ROUND(G830*(1-SUMIFS(İndirimler!$C$2:$C$210,İndirimler!$A$2:$A$210,B830,İndirimler!$B$2:$B$210,C830)),2),"")</f>
        <v/>
      </c>
      <c r="I830" t="str">
        <f>IF(SUMIFS(İndirimler!$D$2:$D$210,İndirimler!$A$2:$A$210,B830,İndirimler!$B$2:$B$210,C830)&gt;0,ROUND(G830*(1-SUMIFS(İndirimler!$D$2:$D$210,İndirimler!$A$2:$A$210,B830,İndirimler!$B$2:$B$210,C830)),2),"")</f>
        <v/>
      </c>
    </row>
    <row r="831" spans="8:9">
      <c r="H831" t="str">
        <f>IF(SUMIFS(İndirimler!$C$2:$C$210,İndirimler!$A$2:$A$210,B831,İndirimler!$B$2:$B$210,C831)&gt;0,ROUND(G831*(1-SUMIFS(İndirimler!$C$2:$C$210,İndirimler!$A$2:$A$210,B831,İndirimler!$B$2:$B$210,C831)),2),"")</f>
        <v/>
      </c>
      <c r="I831" t="str">
        <f>IF(SUMIFS(İndirimler!$D$2:$D$210,İndirimler!$A$2:$A$210,B831,İndirimler!$B$2:$B$210,C831)&gt;0,ROUND(G831*(1-SUMIFS(İndirimler!$D$2:$D$210,İndirimler!$A$2:$A$210,B831,İndirimler!$B$2:$B$210,C831)),2),"")</f>
        <v/>
      </c>
    </row>
    <row r="832" spans="8:9">
      <c r="H832" t="str">
        <f>IF(SUMIFS(İndirimler!$C$2:$C$210,İndirimler!$A$2:$A$210,B832,İndirimler!$B$2:$B$210,C832)&gt;0,ROUND(G832*(1-SUMIFS(İndirimler!$C$2:$C$210,İndirimler!$A$2:$A$210,B832,İndirimler!$B$2:$B$210,C832)),2),"")</f>
        <v/>
      </c>
      <c r="I832" t="str">
        <f>IF(SUMIFS(İndirimler!$D$2:$D$210,İndirimler!$A$2:$A$210,B832,İndirimler!$B$2:$B$210,C832)&gt;0,ROUND(G832*(1-SUMIFS(İndirimler!$D$2:$D$210,İndirimler!$A$2:$A$210,B832,İndirimler!$B$2:$B$210,C832)),2),"")</f>
        <v/>
      </c>
    </row>
    <row r="833" spans="8:9">
      <c r="H833" t="str">
        <f>IF(SUMIFS(İndirimler!$C$2:$C$210,İndirimler!$A$2:$A$210,B833,İndirimler!$B$2:$B$210,C833)&gt;0,ROUND(G833*(1-SUMIFS(İndirimler!$C$2:$C$210,İndirimler!$A$2:$A$210,B833,İndirimler!$B$2:$B$210,C833)),2),"")</f>
        <v/>
      </c>
      <c r="I833" t="str">
        <f>IF(SUMIFS(İndirimler!$D$2:$D$210,İndirimler!$A$2:$A$210,B833,İndirimler!$B$2:$B$210,C833)&gt;0,ROUND(G833*(1-SUMIFS(İndirimler!$D$2:$D$210,İndirimler!$A$2:$A$210,B833,İndirimler!$B$2:$B$210,C833)),2),"")</f>
        <v/>
      </c>
    </row>
    <row r="834" spans="8:9">
      <c r="H834" t="str">
        <f>IF(SUMIFS(İndirimler!$C$2:$C$210,İndirimler!$A$2:$A$210,B834,İndirimler!$B$2:$B$210,C834)&gt;0,ROUND(G834*(1-SUMIFS(İndirimler!$C$2:$C$210,İndirimler!$A$2:$A$210,B834,İndirimler!$B$2:$B$210,C834)),2),"")</f>
        <v/>
      </c>
      <c r="I834" t="str">
        <f>IF(SUMIFS(İndirimler!$D$2:$D$210,İndirimler!$A$2:$A$210,B834,İndirimler!$B$2:$B$210,C834)&gt;0,ROUND(G834*(1-SUMIFS(İndirimler!$D$2:$D$210,İndirimler!$A$2:$A$210,B834,İndirimler!$B$2:$B$210,C834)),2),"")</f>
        <v/>
      </c>
    </row>
    <row r="835" spans="8:9">
      <c r="H835" t="str">
        <f>IF(SUMIFS(İndirimler!$C$2:$C$210,İndirimler!$A$2:$A$210,B835,İndirimler!$B$2:$B$210,C835)&gt;0,ROUND(G835*(1-SUMIFS(İndirimler!$C$2:$C$210,İndirimler!$A$2:$A$210,B835,İndirimler!$B$2:$B$210,C835)),2),"")</f>
        <v/>
      </c>
      <c r="I835" t="str">
        <f>IF(SUMIFS(İndirimler!$D$2:$D$210,İndirimler!$A$2:$A$210,B835,İndirimler!$B$2:$B$210,C835)&gt;0,ROUND(G835*(1-SUMIFS(İndirimler!$D$2:$D$210,İndirimler!$A$2:$A$210,B835,İndirimler!$B$2:$B$210,C835)),2),"")</f>
        <v/>
      </c>
    </row>
    <row r="836" spans="8:9">
      <c r="H836" t="str">
        <f>IF(SUMIFS(İndirimler!$C$2:$C$210,İndirimler!$A$2:$A$210,B836,İndirimler!$B$2:$B$210,C836)&gt;0,ROUND(G836*(1-SUMIFS(İndirimler!$C$2:$C$210,İndirimler!$A$2:$A$210,B836,İndirimler!$B$2:$B$210,C836)),2),"")</f>
        <v/>
      </c>
      <c r="I836" t="str">
        <f>IF(SUMIFS(İndirimler!$D$2:$D$210,İndirimler!$A$2:$A$210,B836,İndirimler!$B$2:$B$210,C836)&gt;0,ROUND(G836*(1-SUMIFS(İndirimler!$D$2:$D$210,İndirimler!$A$2:$A$210,B836,İndirimler!$B$2:$B$210,C836)),2),"")</f>
        <v/>
      </c>
    </row>
    <row r="837" spans="8:9">
      <c r="H837" t="str">
        <f>IF(SUMIFS(İndirimler!$C$2:$C$210,İndirimler!$A$2:$A$210,B837,İndirimler!$B$2:$B$210,C837)&gt;0,ROUND(G837*(1-SUMIFS(İndirimler!$C$2:$C$210,İndirimler!$A$2:$A$210,B837,İndirimler!$B$2:$B$210,C837)),2),"")</f>
        <v/>
      </c>
      <c r="I837" t="str">
        <f>IF(SUMIFS(İndirimler!$D$2:$D$210,İndirimler!$A$2:$A$210,B837,İndirimler!$B$2:$B$210,C837)&gt;0,ROUND(G837*(1-SUMIFS(İndirimler!$D$2:$D$210,İndirimler!$A$2:$A$210,B837,İndirimler!$B$2:$B$210,C837)),2),"")</f>
        <v/>
      </c>
    </row>
    <row r="838" spans="8:9">
      <c r="H838" t="str">
        <f>IF(SUMIFS(İndirimler!$C$2:$C$210,İndirimler!$A$2:$A$210,B838,İndirimler!$B$2:$B$210,C838)&gt;0,ROUND(G838*(1-SUMIFS(İndirimler!$C$2:$C$210,İndirimler!$A$2:$A$210,B838,İndirimler!$B$2:$B$210,C838)),2),"")</f>
        <v/>
      </c>
      <c r="I838" t="str">
        <f>IF(SUMIFS(İndirimler!$D$2:$D$210,İndirimler!$A$2:$A$210,B838,İndirimler!$B$2:$B$210,C838)&gt;0,ROUND(G838*(1-SUMIFS(İndirimler!$D$2:$D$210,İndirimler!$A$2:$A$210,B838,İndirimler!$B$2:$B$210,C838)),2),"")</f>
        <v/>
      </c>
    </row>
    <row r="839" spans="8:9">
      <c r="H839" t="str">
        <f>IF(SUMIFS(İndirimler!$C$2:$C$210,İndirimler!$A$2:$A$210,B839,İndirimler!$B$2:$B$210,C839)&gt;0,ROUND(G839*(1-SUMIFS(İndirimler!$C$2:$C$210,İndirimler!$A$2:$A$210,B839,İndirimler!$B$2:$B$210,C839)),2),"")</f>
        <v/>
      </c>
      <c r="I839" t="str">
        <f>IF(SUMIFS(İndirimler!$D$2:$D$210,İndirimler!$A$2:$A$210,B839,İndirimler!$B$2:$B$210,C839)&gt;0,ROUND(G839*(1-SUMIFS(İndirimler!$D$2:$D$210,İndirimler!$A$2:$A$210,B839,İndirimler!$B$2:$B$210,C839)),2),"")</f>
        <v/>
      </c>
    </row>
    <row r="840" spans="8:9">
      <c r="H840" t="str">
        <f>IF(SUMIFS(İndirimler!$C$2:$C$210,İndirimler!$A$2:$A$210,B840,İndirimler!$B$2:$B$210,C840)&gt;0,ROUND(G840*(1-SUMIFS(İndirimler!$C$2:$C$210,İndirimler!$A$2:$A$210,B840,İndirimler!$B$2:$B$210,C840)),2),"")</f>
        <v/>
      </c>
      <c r="I840" t="str">
        <f>IF(SUMIFS(İndirimler!$D$2:$D$210,İndirimler!$A$2:$A$210,B840,İndirimler!$B$2:$B$210,C840)&gt;0,ROUND(G840*(1-SUMIFS(İndirimler!$D$2:$D$210,İndirimler!$A$2:$A$210,B840,İndirimler!$B$2:$B$210,C840)),2),"")</f>
        <v/>
      </c>
    </row>
    <row r="841" spans="8:9">
      <c r="H841" t="str">
        <f>IF(SUMIFS(İndirimler!$C$2:$C$210,İndirimler!$A$2:$A$210,B841,İndirimler!$B$2:$B$210,C841)&gt;0,ROUND(G841*(1-SUMIFS(İndirimler!$C$2:$C$210,İndirimler!$A$2:$A$210,B841,İndirimler!$B$2:$B$210,C841)),2),"")</f>
        <v/>
      </c>
      <c r="I841" t="str">
        <f>IF(SUMIFS(İndirimler!$D$2:$D$210,İndirimler!$A$2:$A$210,B841,İndirimler!$B$2:$B$210,C841)&gt;0,ROUND(G841*(1-SUMIFS(İndirimler!$D$2:$D$210,İndirimler!$A$2:$A$210,B841,İndirimler!$B$2:$B$210,C841)),2),"")</f>
        <v/>
      </c>
    </row>
    <row r="842" spans="8:9">
      <c r="H842" t="str">
        <f>IF(SUMIFS(İndirimler!$C$2:$C$210,İndirimler!$A$2:$A$210,B842,İndirimler!$B$2:$B$210,C842)&gt;0,ROUND(G842*(1-SUMIFS(İndirimler!$C$2:$C$210,İndirimler!$A$2:$A$210,B842,İndirimler!$B$2:$B$210,C842)),2),"")</f>
        <v/>
      </c>
      <c r="I842" t="str">
        <f>IF(SUMIFS(İndirimler!$D$2:$D$210,İndirimler!$A$2:$A$210,B842,İndirimler!$B$2:$B$210,C842)&gt;0,ROUND(G842*(1-SUMIFS(İndirimler!$D$2:$D$210,İndirimler!$A$2:$A$210,B842,İndirimler!$B$2:$B$210,C842)),2),"")</f>
        <v/>
      </c>
    </row>
    <row r="843" spans="8:9">
      <c r="H843" t="str">
        <f>IF(SUMIFS(İndirimler!$C$2:$C$210,İndirimler!$A$2:$A$210,B843,İndirimler!$B$2:$B$210,C843)&gt;0,ROUND(G843*(1-SUMIFS(İndirimler!$C$2:$C$210,İndirimler!$A$2:$A$210,B843,İndirimler!$B$2:$B$210,C843)),2),"")</f>
        <v/>
      </c>
      <c r="I843" t="str">
        <f>IF(SUMIFS(İndirimler!$D$2:$D$210,İndirimler!$A$2:$A$210,B843,İndirimler!$B$2:$B$210,C843)&gt;0,ROUND(G843*(1-SUMIFS(İndirimler!$D$2:$D$210,İndirimler!$A$2:$A$210,B843,İndirimler!$B$2:$B$210,C843)),2),"")</f>
        <v/>
      </c>
    </row>
    <row r="844" spans="8:9">
      <c r="H844" t="str">
        <f>IF(SUMIFS(İndirimler!$C$2:$C$210,İndirimler!$A$2:$A$210,B844,İndirimler!$B$2:$B$210,C844)&gt;0,ROUND(G844*(1-SUMIFS(İndirimler!$C$2:$C$210,İndirimler!$A$2:$A$210,B844,İndirimler!$B$2:$B$210,C844)),2),"")</f>
        <v/>
      </c>
      <c r="I844" t="str">
        <f>IF(SUMIFS(İndirimler!$D$2:$D$210,İndirimler!$A$2:$A$210,B844,İndirimler!$B$2:$B$210,C844)&gt;0,ROUND(G844*(1-SUMIFS(İndirimler!$D$2:$D$210,İndirimler!$A$2:$A$210,B844,İndirimler!$B$2:$B$210,C844)),2),"")</f>
        <v/>
      </c>
    </row>
    <row r="845" spans="8:9">
      <c r="H845" t="str">
        <f>IF(SUMIFS(İndirimler!$C$2:$C$210,İndirimler!$A$2:$A$210,B845,İndirimler!$B$2:$B$210,C845)&gt;0,ROUND(G845*(1-SUMIFS(İndirimler!$C$2:$C$210,İndirimler!$A$2:$A$210,B845,İndirimler!$B$2:$B$210,C845)),2),"")</f>
        <v/>
      </c>
      <c r="I845" t="str">
        <f>IF(SUMIFS(İndirimler!$D$2:$D$210,İndirimler!$A$2:$A$210,B845,İndirimler!$B$2:$B$210,C845)&gt;0,ROUND(G845*(1-SUMIFS(İndirimler!$D$2:$D$210,İndirimler!$A$2:$A$210,B845,İndirimler!$B$2:$B$210,C845)),2),"")</f>
        <v/>
      </c>
    </row>
    <row r="846" spans="8:9">
      <c r="H846" t="str">
        <f>IF(SUMIFS(İndirimler!$C$2:$C$210,İndirimler!$A$2:$A$210,B846,İndirimler!$B$2:$B$210,C846)&gt;0,ROUND(G846*(1-SUMIFS(İndirimler!$C$2:$C$210,İndirimler!$A$2:$A$210,B846,İndirimler!$B$2:$B$210,C846)),2),"")</f>
        <v/>
      </c>
      <c r="I846" t="str">
        <f>IF(SUMIFS(İndirimler!$D$2:$D$210,İndirimler!$A$2:$A$210,B846,İndirimler!$B$2:$B$210,C846)&gt;0,ROUND(G846*(1-SUMIFS(İndirimler!$D$2:$D$210,İndirimler!$A$2:$A$210,B846,İndirimler!$B$2:$B$210,C846)),2),"")</f>
        <v/>
      </c>
    </row>
    <row r="847" spans="8:9">
      <c r="H847" t="str">
        <f>IF(SUMIFS(İndirimler!$C$2:$C$210,İndirimler!$A$2:$A$210,B847,İndirimler!$B$2:$B$210,C847)&gt;0,ROUND(G847*(1-SUMIFS(İndirimler!$C$2:$C$210,İndirimler!$A$2:$A$210,B847,İndirimler!$B$2:$B$210,C847)),2),"")</f>
        <v/>
      </c>
      <c r="I847" t="str">
        <f>IF(SUMIFS(İndirimler!$D$2:$D$210,İndirimler!$A$2:$A$210,B847,İndirimler!$B$2:$B$210,C847)&gt;0,ROUND(G847*(1-SUMIFS(İndirimler!$D$2:$D$210,İndirimler!$A$2:$A$210,B847,İndirimler!$B$2:$B$210,C847)),2),"")</f>
        <v/>
      </c>
    </row>
    <row r="848" spans="8:9">
      <c r="H848" t="str">
        <f>IF(SUMIFS(İndirimler!$C$2:$C$210,İndirimler!$A$2:$A$210,B848,İndirimler!$B$2:$B$210,C848)&gt;0,ROUND(G848*(1-SUMIFS(İndirimler!$C$2:$C$210,İndirimler!$A$2:$A$210,B848,İndirimler!$B$2:$B$210,C848)),2),"")</f>
        <v/>
      </c>
      <c r="I848" t="str">
        <f>IF(SUMIFS(İndirimler!$D$2:$D$210,İndirimler!$A$2:$A$210,B848,İndirimler!$B$2:$B$210,C848)&gt;0,ROUND(G848*(1-SUMIFS(İndirimler!$D$2:$D$210,İndirimler!$A$2:$A$210,B848,İndirimler!$B$2:$B$210,C848)),2),"")</f>
        <v/>
      </c>
    </row>
    <row r="849" spans="8:9">
      <c r="H849" t="str">
        <f>IF(SUMIFS(İndirimler!$C$2:$C$210,İndirimler!$A$2:$A$210,B849,İndirimler!$B$2:$B$210,C849)&gt;0,ROUND(G849*(1-SUMIFS(İndirimler!$C$2:$C$210,İndirimler!$A$2:$A$210,B849,İndirimler!$B$2:$B$210,C849)),2),"")</f>
        <v/>
      </c>
      <c r="I849" t="str">
        <f>IF(SUMIFS(İndirimler!$D$2:$D$210,İndirimler!$A$2:$A$210,B849,İndirimler!$B$2:$B$210,C849)&gt;0,ROUND(G849*(1-SUMIFS(İndirimler!$D$2:$D$210,İndirimler!$A$2:$A$210,B849,İndirimler!$B$2:$B$210,C849)),2),"")</f>
        <v/>
      </c>
    </row>
    <row r="850" spans="8:9">
      <c r="H850" t="str">
        <f>IF(SUMIFS(İndirimler!$C$2:$C$210,İndirimler!$A$2:$A$210,B850,İndirimler!$B$2:$B$210,C850)&gt;0,ROUND(G850*(1-SUMIFS(İndirimler!$C$2:$C$210,İndirimler!$A$2:$A$210,B850,İndirimler!$B$2:$B$210,C850)),2),"")</f>
        <v/>
      </c>
      <c r="I850" t="str">
        <f>IF(SUMIFS(İndirimler!$D$2:$D$210,İndirimler!$A$2:$A$210,B850,İndirimler!$B$2:$B$210,C850)&gt;0,ROUND(G850*(1-SUMIFS(İndirimler!$D$2:$D$210,İndirimler!$A$2:$A$210,B850,İndirimler!$B$2:$B$210,C850)),2),"")</f>
        <v/>
      </c>
    </row>
    <row r="851" spans="8:9">
      <c r="H851" t="str">
        <f>IF(SUMIFS(İndirimler!$C$2:$C$210,İndirimler!$A$2:$A$210,B851,İndirimler!$B$2:$B$210,C851)&gt;0,ROUND(G851*(1-SUMIFS(İndirimler!$C$2:$C$210,İndirimler!$A$2:$A$210,B851,İndirimler!$B$2:$B$210,C851)),2),"")</f>
        <v/>
      </c>
      <c r="I851" t="str">
        <f>IF(SUMIFS(İndirimler!$D$2:$D$210,İndirimler!$A$2:$A$210,B851,İndirimler!$B$2:$B$210,C851)&gt;0,ROUND(G851*(1-SUMIFS(İndirimler!$D$2:$D$210,İndirimler!$A$2:$A$210,B851,İndirimler!$B$2:$B$210,C851)),2),"")</f>
        <v/>
      </c>
    </row>
    <row r="852" spans="8:9">
      <c r="H852" t="str">
        <f>IF(SUMIFS(İndirimler!$C$2:$C$210,İndirimler!$A$2:$A$210,B852,İndirimler!$B$2:$B$210,C852)&gt;0,ROUND(G852*(1-SUMIFS(İndirimler!$C$2:$C$210,İndirimler!$A$2:$A$210,B852,İndirimler!$B$2:$B$210,C852)),2),"")</f>
        <v/>
      </c>
      <c r="I852" t="str">
        <f>IF(SUMIFS(İndirimler!$D$2:$D$210,İndirimler!$A$2:$A$210,B852,İndirimler!$B$2:$B$210,C852)&gt;0,ROUND(G852*(1-SUMIFS(İndirimler!$D$2:$D$210,İndirimler!$A$2:$A$210,B852,İndirimler!$B$2:$B$210,C852)),2),"")</f>
        <v/>
      </c>
    </row>
    <row r="853" spans="8:9">
      <c r="H853" t="str">
        <f>IF(SUMIFS(İndirimler!$C$2:$C$210,İndirimler!$A$2:$A$210,B853,İndirimler!$B$2:$B$210,C853)&gt;0,ROUND(G853*(1-SUMIFS(İndirimler!$C$2:$C$210,İndirimler!$A$2:$A$210,B853,İndirimler!$B$2:$B$210,C853)),2),"")</f>
        <v/>
      </c>
      <c r="I853" t="str">
        <f>IF(SUMIFS(İndirimler!$D$2:$D$210,İndirimler!$A$2:$A$210,B853,İndirimler!$B$2:$B$210,C853)&gt;0,ROUND(G853*(1-SUMIFS(İndirimler!$D$2:$D$210,İndirimler!$A$2:$A$210,B853,İndirimler!$B$2:$B$210,C853)),2),"")</f>
        <v/>
      </c>
    </row>
    <row r="854" spans="8:9">
      <c r="H854" t="str">
        <f>IF(SUMIFS(İndirimler!$C$2:$C$210,İndirimler!$A$2:$A$210,B854,İndirimler!$B$2:$B$210,C854)&gt;0,ROUND(G854*(1-SUMIFS(İndirimler!$C$2:$C$210,İndirimler!$A$2:$A$210,B854,İndirimler!$B$2:$B$210,C854)),2),"")</f>
        <v/>
      </c>
      <c r="I854" t="str">
        <f>IF(SUMIFS(İndirimler!$D$2:$D$210,İndirimler!$A$2:$A$210,B854,İndirimler!$B$2:$B$210,C854)&gt;0,ROUND(G854*(1-SUMIFS(İndirimler!$D$2:$D$210,İndirimler!$A$2:$A$210,B854,İndirimler!$B$2:$B$210,C854)),2),"")</f>
        <v/>
      </c>
    </row>
    <row r="855" spans="8:9">
      <c r="H855" t="str">
        <f>IF(SUMIFS(İndirimler!$C$2:$C$210,İndirimler!$A$2:$A$210,B855,İndirimler!$B$2:$B$210,C855)&gt;0,ROUND(G855*(1-SUMIFS(İndirimler!$C$2:$C$210,İndirimler!$A$2:$A$210,B855,İndirimler!$B$2:$B$210,C855)),2),"")</f>
        <v/>
      </c>
      <c r="I855" t="str">
        <f>IF(SUMIFS(İndirimler!$D$2:$D$210,İndirimler!$A$2:$A$210,B855,İndirimler!$B$2:$B$210,C855)&gt;0,ROUND(G855*(1-SUMIFS(İndirimler!$D$2:$D$210,İndirimler!$A$2:$A$210,B855,İndirimler!$B$2:$B$210,C855)),2),"")</f>
        <v/>
      </c>
    </row>
    <row r="856" spans="8:9">
      <c r="H856" t="str">
        <f>IF(SUMIFS(İndirimler!$C$2:$C$210,İndirimler!$A$2:$A$210,B856,İndirimler!$B$2:$B$210,C856)&gt;0,ROUND(G856*(1-SUMIFS(İndirimler!$C$2:$C$210,İndirimler!$A$2:$A$210,B856,İndirimler!$B$2:$B$210,C856)),2),"")</f>
        <v/>
      </c>
      <c r="I856" t="str">
        <f>IF(SUMIFS(İndirimler!$D$2:$D$210,İndirimler!$A$2:$A$210,B856,İndirimler!$B$2:$B$210,C856)&gt;0,ROUND(G856*(1-SUMIFS(İndirimler!$D$2:$D$210,İndirimler!$A$2:$A$210,B856,İndirimler!$B$2:$B$210,C856)),2),"")</f>
        <v/>
      </c>
    </row>
    <row r="857" spans="8:9">
      <c r="H857" t="str">
        <f>IF(SUMIFS(İndirimler!$C$2:$C$210,İndirimler!$A$2:$A$210,B857,İndirimler!$B$2:$B$210,C857)&gt;0,ROUND(G857*(1-SUMIFS(İndirimler!$C$2:$C$210,İndirimler!$A$2:$A$210,B857,İndirimler!$B$2:$B$210,C857)),2),"")</f>
        <v/>
      </c>
      <c r="I857" t="str">
        <f>IF(SUMIFS(İndirimler!$D$2:$D$210,İndirimler!$A$2:$A$210,B857,İndirimler!$B$2:$B$210,C857)&gt;0,ROUND(G857*(1-SUMIFS(İndirimler!$D$2:$D$210,İndirimler!$A$2:$A$210,B857,İndirimler!$B$2:$B$210,C857)),2),"")</f>
        <v/>
      </c>
    </row>
    <row r="858" spans="8:9">
      <c r="H858" t="str">
        <f>IF(SUMIFS(İndirimler!$C$2:$C$210,İndirimler!$A$2:$A$210,B858,İndirimler!$B$2:$B$210,C858)&gt;0,ROUND(G858*(1-SUMIFS(İndirimler!$C$2:$C$210,İndirimler!$A$2:$A$210,B858,İndirimler!$B$2:$B$210,C858)),2),"")</f>
        <v/>
      </c>
      <c r="I858" t="str">
        <f>IF(SUMIFS(İndirimler!$D$2:$D$210,İndirimler!$A$2:$A$210,B858,İndirimler!$B$2:$B$210,C858)&gt;0,ROUND(G858*(1-SUMIFS(İndirimler!$D$2:$D$210,İndirimler!$A$2:$A$210,B858,İndirimler!$B$2:$B$210,C858)),2),"")</f>
        <v/>
      </c>
    </row>
    <row r="859" spans="8:9">
      <c r="H859" t="str">
        <f>IF(SUMIFS(İndirimler!$C$2:$C$210,İndirimler!$A$2:$A$210,B859,İndirimler!$B$2:$B$210,C859)&gt;0,ROUND(G859*(1-SUMIFS(İndirimler!$C$2:$C$210,İndirimler!$A$2:$A$210,B859,İndirimler!$B$2:$B$210,C859)),2),"")</f>
        <v/>
      </c>
      <c r="I859" t="str">
        <f>IF(SUMIFS(İndirimler!$D$2:$D$210,İndirimler!$A$2:$A$210,B859,İndirimler!$B$2:$B$210,C859)&gt;0,ROUND(G859*(1-SUMIFS(İndirimler!$D$2:$D$210,İndirimler!$A$2:$A$210,B859,İndirimler!$B$2:$B$210,C859)),2),"")</f>
        <v/>
      </c>
    </row>
    <row r="860" spans="8:9">
      <c r="H860" t="str">
        <f>IF(SUMIFS(İndirimler!$C$2:$C$210,İndirimler!$A$2:$A$210,B860,İndirimler!$B$2:$B$210,C860)&gt;0,ROUND(G860*(1-SUMIFS(İndirimler!$C$2:$C$210,İndirimler!$A$2:$A$210,B860,İndirimler!$B$2:$B$210,C860)),2),"")</f>
        <v/>
      </c>
      <c r="I860" t="str">
        <f>IF(SUMIFS(İndirimler!$D$2:$D$210,İndirimler!$A$2:$A$210,B860,İndirimler!$B$2:$B$210,C860)&gt;0,ROUND(G860*(1-SUMIFS(İndirimler!$D$2:$D$210,İndirimler!$A$2:$A$210,B860,İndirimler!$B$2:$B$210,C860)),2),"")</f>
        <v/>
      </c>
    </row>
    <row r="861" spans="8:9">
      <c r="H861" t="str">
        <f>IF(SUMIFS(İndirimler!$C$2:$C$210,İndirimler!$A$2:$A$210,B861,İndirimler!$B$2:$B$210,C861)&gt;0,ROUND(G861*(1-SUMIFS(İndirimler!$C$2:$C$210,İndirimler!$A$2:$A$210,B861,İndirimler!$B$2:$B$210,C861)),2),"")</f>
        <v/>
      </c>
      <c r="I861" t="str">
        <f>IF(SUMIFS(İndirimler!$D$2:$D$210,İndirimler!$A$2:$A$210,B861,İndirimler!$B$2:$B$210,C861)&gt;0,ROUND(G861*(1-SUMIFS(İndirimler!$D$2:$D$210,İndirimler!$A$2:$A$210,B861,İndirimler!$B$2:$B$210,C861)),2),"")</f>
        <v/>
      </c>
    </row>
    <row r="862" spans="8:9">
      <c r="H862" t="str">
        <f>IF(SUMIFS(İndirimler!$C$2:$C$210,İndirimler!$A$2:$A$210,B862,İndirimler!$B$2:$B$210,C862)&gt;0,ROUND(G862*(1-SUMIFS(İndirimler!$C$2:$C$210,İndirimler!$A$2:$A$210,B862,İndirimler!$B$2:$B$210,C862)),2),"")</f>
        <v/>
      </c>
      <c r="I862" t="str">
        <f>IF(SUMIFS(İndirimler!$D$2:$D$210,İndirimler!$A$2:$A$210,B862,İndirimler!$B$2:$B$210,C862)&gt;0,ROUND(G862*(1-SUMIFS(İndirimler!$D$2:$D$210,İndirimler!$A$2:$A$210,B862,İndirimler!$B$2:$B$210,C862)),2),"")</f>
        <v/>
      </c>
    </row>
    <row r="863" spans="8:9">
      <c r="H863" t="str">
        <f>IF(SUMIFS(İndirimler!$C$2:$C$210,İndirimler!$A$2:$A$210,B863,İndirimler!$B$2:$B$210,C863)&gt;0,ROUND(G863*(1-SUMIFS(İndirimler!$C$2:$C$210,İndirimler!$A$2:$A$210,B863,İndirimler!$B$2:$B$210,C863)),2),"")</f>
        <v/>
      </c>
      <c r="I863" t="str">
        <f>IF(SUMIFS(İndirimler!$D$2:$D$210,İndirimler!$A$2:$A$210,B863,İndirimler!$B$2:$B$210,C863)&gt;0,ROUND(G863*(1-SUMIFS(İndirimler!$D$2:$D$210,İndirimler!$A$2:$A$210,B863,İndirimler!$B$2:$B$210,C863)),2),"")</f>
        <v/>
      </c>
    </row>
    <row r="864" spans="8:9">
      <c r="H864" t="str">
        <f>IF(SUMIFS(İndirimler!$C$2:$C$210,İndirimler!$A$2:$A$210,B864,İndirimler!$B$2:$B$210,C864)&gt;0,ROUND(G864*(1-SUMIFS(İndirimler!$C$2:$C$210,İndirimler!$A$2:$A$210,B864,İndirimler!$B$2:$B$210,C864)),2),"")</f>
        <v/>
      </c>
      <c r="I864" t="str">
        <f>IF(SUMIFS(İndirimler!$D$2:$D$210,İndirimler!$A$2:$A$210,B864,İndirimler!$B$2:$B$210,C864)&gt;0,ROUND(G864*(1-SUMIFS(İndirimler!$D$2:$D$210,İndirimler!$A$2:$A$210,B864,İndirimler!$B$2:$B$210,C864)),2),"")</f>
        <v/>
      </c>
    </row>
    <row r="865" spans="8:9">
      <c r="H865" t="str">
        <f>IF(SUMIFS(İndirimler!$C$2:$C$210,İndirimler!$A$2:$A$210,B865,İndirimler!$B$2:$B$210,C865)&gt;0,ROUND(G865*(1-SUMIFS(İndirimler!$C$2:$C$210,İndirimler!$A$2:$A$210,B865,İndirimler!$B$2:$B$210,C865)),2),"")</f>
        <v/>
      </c>
      <c r="I865" t="str">
        <f>IF(SUMIFS(İndirimler!$D$2:$D$210,İndirimler!$A$2:$A$210,B865,İndirimler!$B$2:$B$210,C865)&gt;0,ROUND(G865*(1-SUMIFS(İndirimler!$D$2:$D$210,İndirimler!$A$2:$A$210,B865,İndirimler!$B$2:$B$210,C865)),2),"")</f>
        <v/>
      </c>
    </row>
    <row r="866" spans="8:9">
      <c r="H866" t="str">
        <f>IF(SUMIFS(İndirimler!$C$2:$C$210,İndirimler!$A$2:$A$210,B866,İndirimler!$B$2:$B$210,C866)&gt;0,ROUND(G866*(1-SUMIFS(İndirimler!$C$2:$C$210,İndirimler!$A$2:$A$210,B866,İndirimler!$B$2:$B$210,C866)),2),"")</f>
        <v/>
      </c>
      <c r="I866" t="str">
        <f>IF(SUMIFS(İndirimler!$D$2:$D$210,İndirimler!$A$2:$A$210,B866,İndirimler!$B$2:$B$210,C866)&gt;0,ROUND(G866*(1-SUMIFS(İndirimler!$D$2:$D$210,İndirimler!$A$2:$A$210,B866,İndirimler!$B$2:$B$210,C866)),2),"")</f>
        <v/>
      </c>
    </row>
    <row r="867" spans="8:9">
      <c r="H867" t="str">
        <f>IF(SUMIFS(İndirimler!$C$2:$C$210,İndirimler!$A$2:$A$210,B867,İndirimler!$B$2:$B$210,C867)&gt;0,ROUND(G867*(1-SUMIFS(İndirimler!$C$2:$C$210,İndirimler!$A$2:$A$210,B867,İndirimler!$B$2:$B$210,C867)),2),"")</f>
        <v/>
      </c>
      <c r="I867" t="str">
        <f>IF(SUMIFS(İndirimler!$D$2:$D$210,İndirimler!$A$2:$A$210,B867,İndirimler!$B$2:$B$210,C867)&gt;0,ROUND(G867*(1-SUMIFS(İndirimler!$D$2:$D$210,İndirimler!$A$2:$A$210,B867,İndirimler!$B$2:$B$210,C867)),2),"")</f>
        <v/>
      </c>
    </row>
    <row r="868" spans="8:9">
      <c r="H868" t="str">
        <f>IF(SUMIFS(İndirimler!$C$2:$C$210,İndirimler!$A$2:$A$210,B868,İndirimler!$B$2:$B$210,C868)&gt;0,ROUND(G868*(1-SUMIFS(İndirimler!$C$2:$C$210,İndirimler!$A$2:$A$210,B868,İndirimler!$B$2:$B$210,C868)),2),"")</f>
        <v/>
      </c>
      <c r="I868" t="str">
        <f>IF(SUMIFS(İndirimler!$D$2:$D$210,İndirimler!$A$2:$A$210,B868,İndirimler!$B$2:$B$210,C868)&gt;0,ROUND(G868*(1-SUMIFS(İndirimler!$D$2:$D$210,İndirimler!$A$2:$A$210,B868,İndirimler!$B$2:$B$210,C868)),2),"")</f>
        <v/>
      </c>
    </row>
    <row r="869" spans="8:9">
      <c r="H869" t="str">
        <f>IF(SUMIFS(İndirimler!$C$2:$C$210,İndirimler!$A$2:$A$210,B869,İndirimler!$B$2:$B$210,C869)&gt;0,ROUND(G869*(1-SUMIFS(İndirimler!$C$2:$C$210,İndirimler!$A$2:$A$210,B869,İndirimler!$B$2:$B$210,C869)),2),"")</f>
        <v/>
      </c>
      <c r="I869" t="str">
        <f>IF(SUMIFS(İndirimler!$D$2:$D$210,İndirimler!$A$2:$A$210,B869,İndirimler!$B$2:$B$210,C869)&gt;0,ROUND(G869*(1-SUMIFS(İndirimler!$D$2:$D$210,İndirimler!$A$2:$A$210,B869,İndirimler!$B$2:$B$210,C869)),2),"")</f>
        <v/>
      </c>
    </row>
    <row r="870" spans="8:9">
      <c r="H870" t="str">
        <f>IF(SUMIFS(İndirimler!$C$2:$C$210,İndirimler!$A$2:$A$210,B870,İndirimler!$B$2:$B$210,C870)&gt;0,ROUND(G870*(1-SUMIFS(İndirimler!$C$2:$C$210,İndirimler!$A$2:$A$210,B870,İndirimler!$B$2:$B$210,C870)),2),"")</f>
        <v/>
      </c>
      <c r="I870" t="str">
        <f>IF(SUMIFS(İndirimler!$D$2:$D$210,İndirimler!$A$2:$A$210,B870,İndirimler!$B$2:$B$210,C870)&gt;0,ROUND(G870*(1-SUMIFS(İndirimler!$D$2:$D$210,İndirimler!$A$2:$A$210,B870,İndirimler!$B$2:$B$210,C870)),2),"")</f>
        <v/>
      </c>
    </row>
    <row r="871" spans="8:9">
      <c r="H871" t="str">
        <f>IF(SUMIFS(İndirimler!$C$2:$C$210,İndirimler!$A$2:$A$210,B871,İndirimler!$B$2:$B$210,C871)&gt;0,ROUND(G871*(1-SUMIFS(İndirimler!$C$2:$C$210,İndirimler!$A$2:$A$210,B871,İndirimler!$B$2:$B$210,C871)),2),"")</f>
        <v/>
      </c>
      <c r="I871" t="str">
        <f>IF(SUMIFS(İndirimler!$D$2:$D$210,İndirimler!$A$2:$A$210,B871,İndirimler!$B$2:$B$210,C871)&gt;0,ROUND(G871*(1-SUMIFS(İndirimler!$D$2:$D$210,İndirimler!$A$2:$A$210,B871,İndirimler!$B$2:$B$210,C871)),2),"")</f>
        <v/>
      </c>
    </row>
    <row r="872" spans="8:9">
      <c r="H872" t="str">
        <f>IF(SUMIFS(İndirimler!$C$2:$C$210,İndirimler!$A$2:$A$210,B872,İndirimler!$B$2:$B$210,C872)&gt;0,ROUND(G872*(1-SUMIFS(İndirimler!$C$2:$C$210,İndirimler!$A$2:$A$210,B872,İndirimler!$B$2:$B$210,C872)),2),"")</f>
        <v/>
      </c>
      <c r="I872" t="str">
        <f>IF(SUMIFS(İndirimler!$D$2:$D$210,İndirimler!$A$2:$A$210,B872,İndirimler!$B$2:$B$210,C872)&gt;0,ROUND(G872*(1-SUMIFS(İndirimler!$D$2:$D$210,İndirimler!$A$2:$A$210,B872,İndirimler!$B$2:$B$210,C872)),2),"")</f>
        <v/>
      </c>
    </row>
    <row r="873" spans="8:9">
      <c r="H873" t="str">
        <f>IF(SUMIFS(İndirimler!$C$2:$C$210,İndirimler!$A$2:$A$210,B873,İndirimler!$B$2:$B$210,C873)&gt;0,ROUND(G873*(1-SUMIFS(İndirimler!$C$2:$C$210,İndirimler!$A$2:$A$210,B873,İndirimler!$B$2:$B$210,C873)),2),"")</f>
        <v/>
      </c>
      <c r="I873" t="str">
        <f>IF(SUMIFS(İndirimler!$D$2:$D$210,İndirimler!$A$2:$A$210,B873,İndirimler!$B$2:$B$210,C873)&gt;0,ROUND(G873*(1-SUMIFS(İndirimler!$D$2:$D$210,İndirimler!$A$2:$A$210,B873,İndirimler!$B$2:$B$210,C873)),2),"")</f>
        <v/>
      </c>
    </row>
    <row r="874" spans="8:9">
      <c r="H874" t="str">
        <f>IF(SUMIFS(İndirimler!$C$2:$C$210,İndirimler!$A$2:$A$210,B874,İndirimler!$B$2:$B$210,C874)&gt;0,ROUND(G874*(1-SUMIFS(İndirimler!$C$2:$C$210,İndirimler!$A$2:$A$210,B874,İndirimler!$B$2:$B$210,C874)),2),"")</f>
        <v/>
      </c>
      <c r="I874" t="str">
        <f>IF(SUMIFS(İndirimler!$D$2:$D$210,İndirimler!$A$2:$A$210,B874,İndirimler!$B$2:$B$210,C874)&gt;0,ROUND(G874*(1-SUMIFS(İndirimler!$D$2:$D$210,İndirimler!$A$2:$A$210,B874,İndirimler!$B$2:$B$210,C874)),2),"")</f>
        <v/>
      </c>
    </row>
    <row r="875" spans="8:9">
      <c r="H875" t="str">
        <f>IF(SUMIFS(İndirimler!$C$2:$C$210,İndirimler!$A$2:$A$210,B875,İndirimler!$B$2:$B$210,C875)&gt;0,ROUND(G875*(1-SUMIFS(İndirimler!$C$2:$C$210,İndirimler!$A$2:$A$210,B875,İndirimler!$B$2:$B$210,C875)),2),"")</f>
        <v/>
      </c>
      <c r="I875" t="str">
        <f>IF(SUMIFS(İndirimler!$D$2:$D$210,İndirimler!$A$2:$A$210,B875,İndirimler!$B$2:$B$210,C875)&gt;0,ROUND(G875*(1-SUMIFS(İndirimler!$D$2:$D$210,İndirimler!$A$2:$A$210,B875,İndirimler!$B$2:$B$210,C875)),2),"")</f>
        <v/>
      </c>
    </row>
    <row r="876" spans="8:9">
      <c r="H876" t="str">
        <f>IF(SUMIFS(İndirimler!$C$2:$C$210,İndirimler!$A$2:$A$210,B876,İndirimler!$B$2:$B$210,C876)&gt;0,ROUND(G876*(1-SUMIFS(İndirimler!$C$2:$C$210,İndirimler!$A$2:$A$210,B876,İndirimler!$B$2:$B$210,C876)),2),"")</f>
        <v/>
      </c>
      <c r="I876" t="str">
        <f>IF(SUMIFS(İndirimler!$D$2:$D$210,İndirimler!$A$2:$A$210,B876,İndirimler!$B$2:$B$210,C876)&gt;0,ROUND(G876*(1-SUMIFS(İndirimler!$D$2:$D$210,İndirimler!$A$2:$A$210,B876,İndirimler!$B$2:$B$210,C876)),2),"")</f>
        <v/>
      </c>
    </row>
    <row r="877" spans="8:9">
      <c r="H877" t="str">
        <f>IF(SUMIFS(İndirimler!$C$2:$C$210,İndirimler!$A$2:$A$210,B877,İndirimler!$B$2:$B$210,C877)&gt;0,ROUND(G877*(1-SUMIFS(İndirimler!$C$2:$C$210,İndirimler!$A$2:$A$210,B877,İndirimler!$B$2:$B$210,C877)),2),"")</f>
        <v/>
      </c>
      <c r="I877" t="str">
        <f>IF(SUMIFS(İndirimler!$D$2:$D$210,İndirimler!$A$2:$A$210,B877,İndirimler!$B$2:$B$210,C877)&gt;0,ROUND(G877*(1-SUMIFS(İndirimler!$D$2:$D$210,İndirimler!$A$2:$A$210,B877,İndirimler!$B$2:$B$210,C877)),2),"")</f>
        <v/>
      </c>
    </row>
    <row r="878" spans="8:9">
      <c r="H878" t="str">
        <f>IF(SUMIFS(İndirimler!$C$2:$C$210,İndirimler!$A$2:$A$210,B878,İndirimler!$B$2:$B$210,C878)&gt;0,ROUND(G878*(1-SUMIFS(İndirimler!$C$2:$C$210,İndirimler!$A$2:$A$210,B878,İndirimler!$B$2:$B$210,C878)),2),"")</f>
        <v/>
      </c>
      <c r="I878" t="str">
        <f>IF(SUMIFS(İndirimler!$D$2:$D$210,İndirimler!$A$2:$A$210,B878,İndirimler!$B$2:$B$210,C878)&gt;0,ROUND(G878*(1-SUMIFS(İndirimler!$D$2:$D$210,İndirimler!$A$2:$A$210,B878,İndirimler!$B$2:$B$210,C878)),2),"")</f>
        <v/>
      </c>
    </row>
    <row r="879" spans="8:9">
      <c r="H879" t="str">
        <f>IF(SUMIFS(İndirimler!$C$2:$C$210,İndirimler!$A$2:$A$210,B879,İndirimler!$B$2:$B$210,C879)&gt;0,ROUND(G879*(1-SUMIFS(İndirimler!$C$2:$C$210,İndirimler!$A$2:$A$210,B879,İndirimler!$B$2:$B$210,C879)),2),"")</f>
        <v/>
      </c>
      <c r="I879" t="str">
        <f>IF(SUMIFS(İndirimler!$D$2:$D$210,İndirimler!$A$2:$A$210,B879,İndirimler!$B$2:$B$210,C879)&gt;0,ROUND(G879*(1-SUMIFS(İndirimler!$D$2:$D$210,İndirimler!$A$2:$A$210,B879,İndirimler!$B$2:$B$210,C879)),2),"")</f>
        <v/>
      </c>
    </row>
    <row r="880" spans="8:9">
      <c r="H880" t="str">
        <f>IF(SUMIFS(İndirimler!$C$2:$C$210,İndirimler!$A$2:$A$210,B880,İndirimler!$B$2:$B$210,C880)&gt;0,ROUND(G880*(1-SUMIFS(İndirimler!$C$2:$C$210,İndirimler!$A$2:$A$210,B880,İndirimler!$B$2:$B$210,C880)),2),"")</f>
        <v/>
      </c>
      <c r="I880" t="str">
        <f>IF(SUMIFS(İndirimler!$D$2:$D$210,İndirimler!$A$2:$A$210,B880,İndirimler!$B$2:$B$210,C880)&gt;0,ROUND(G880*(1-SUMIFS(İndirimler!$D$2:$D$210,İndirimler!$A$2:$A$210,B880,İndirimler!$B$2:$B$210,C880)),2),"")</f>
        <v/>
      </c>
    </row>
    <row r="881" spans="8:9">
      <c r="H881" t="str">
        <f>IF(SUMIFS(İndirimler!$C$2:$C$210,İndirimler!$A$2:$A$210,B881,İndirimler!$B$2:$B$210,C881)&gt;0,ROUND(G881*(1-SUMIFS(İndirimler!$C$2:$C$210,İndirimler!$A$2:$A$210,B881,İndirimler!$B$2:$B$210,C881)),2),"")</f>
        <v/>
      </c>
      <c r="I881" t="str">
        <f>IF(SUMIFS(İndirimler!$D$2:$D$210,İndirimler!$A$2:$A$210,B881,İndirimler!$B$2:$B$210,C881)&gt;0,ROUND(G881*(1-SUMIFS(İndirimler!$D$2:$D$210,İndirimler!$A$2:$A$210,B881,İndirimler!$B$2:$B$210,C881)),2),"")</f>
        <v/>
      </c>
    </row>
    <row r="882" spans="8:9">
      <c r="H882" t="str">
        <f>IF(SUMIFS(İndirimler!$C$2:$C$210,İndirimler!$A$2:$A$210,B882,İndirimler!$B$2:$B$210,C882)&gt;0,ROUND(G882*(1-SUMIFS(İndirimler!$C$2:$C$210,İndirimler!$A$2:$A$210,B882,İndirimler!$B$2:$B$210,C882)),2),"")</f>
        <v/>
      </c>
      <c r="I882" t="str">
        <f>IF(SUMIFS(İndirimler!$D$2:$D$210,İndirimler!$A$2:$A$210,B882,İndirimler!$B$2:$B$210,C882)&gt;0,ROUND(G882*(1-SUMIFS(İndirimler!$D$2:$D$210,İndirimler!$A$2:$A$210,B882,İndirimler!$B$2:$B$210,C882)),2),"")</f>
        <v/>
      </c>
    </row>
    <row r="883" spans="8:9">
      <c r="H883" t="str">
        <f>IF(SUMIFS(İndirimler!$C$2:$C$210,İndirimler!$A$2:$A$210,B883,İndirimler!$B$2:$B$210,C883)&gt;0,ROUND(G883*(1-SUMIFS(İndirimler!$C$2:$C$210,İndirimler!$A$2:$A$210,B883,İndirimler!$B$2:$B$210,C883)),2),"")</f>
        <v/>
      </c>
      <c r="I883" t="str">
        <f>IF(SUMIFS(İndirimler!$D$2:$D$210,İndirimler!$A$2:$A$210,B883,İndirimler!$B$2:$B$210,C883)&gt;0,ROUND(G883*(1-SUMIFS(İndirimler!$D$2:$D$210,İndirimler!$A$2:$A$210,B883,İndirimler!$B$2:$B$210,C883)),2),"")</f>
        <v/>
      </c>
    </row>
    <row r="884" spans="8:9">
      <c r="H884" t="str">
        <f>IF(SUMIFS(İndirimler!$C$2:$C$210,İndirimler!$A$2:$A$210,B884,İndirimler!$B$2:$B$210,C884)&gt;0,ROUND(G884*(1-SUMIFS(İndirimler!$C$2:$C$210,İndirimler!$A$2:$A$210,B884,İndirimler!$B$2:$B$210,C884)),2),"")</f>
        <v/>
      </c>
      <c r="I884" t="str">
        <f>IF(SUMIFS(İndirimler!$D$2:$D$210,İndirimler!$A$2:$A$210,B884,İndirimler!$B$2:$B$210,C884)&gt;0,ROUND(G884*(1-SUMIFS(İndirimler!$D$2:$D$210,İndirimler!$A$2:$A$210,B884,İndirimler!$B$2:$B$210,C884)),2),"")</f>
        <v/>
      </c>
    </row>
    <row r="885" spans="8:9">
      <c r="H885" t="str">
        <f>IF(SUMIFS(İndirimler!$C$2:$C$210,İndirimler!$A$2:$A$210,B885,İndirimler!$B$2:$B$210,C885)&gt;0,ROUND(G885*(1-SUMIFS(İndirimler!$C$2:$C$210,İndirimler!$A$2:$A$210,B885,İndirimler!$B$2:$B$210,C885)),2),"")</f>
        <v/>
      </c>
      <c r="I885" t="str">
        <f>IF(SUMIFS(İndirimler!$D$2:$D$210,İndirimler!$A$2:$A$210,B885,İndirimler!$B$2:$B$210,C885)&gt;0,ROUND(G885*(1-SUMIFS(İndirimler!$D$2:$D$210,İndirimler!$A$2:$A$210,B885,İndirimler!$B$2:$B$210,C885)),2),"")</f>
        <v/>
      </c>
    </row>
    <row r="886" spans="8:9">
      <c r="H886" t="str">
        <f>IF(SUMIFS(İndirimler!$C$2:$C$210,İndirimler!$A$2:$A$210,B886,İndirimler!$B$2:$B$210,C886)&gt;0,ROUND(G886*(1-SUMIFS(İndirimler!$C$2:$C$210,İndirimler!$A$2:$A$210,B886,İndirimler!$B$2:$B$210,C886)),2),"")</f>
        <v/>
      </c>
      <c r="I886" t="str">
        <f>IF(SUMIFS(İndirimler!$D$2:$D$210,İndirimler!$A$2:$A$210,B886,İndirimler!$B$2:$B$210,C886)&gt;0,ROUND(G886*(1-SUMIFS(İndirimler!$D$2:$D$210,İndirimler!$A$2:$A$210,B886,İndirimler!$B$2:$B$210,C886)),2),"")</f>
        <v/>
      </c>
    </row>
    <row r="887" spans="8:9">
      <c r="H887" t="str">
        <f>IF(SUMIFS(İndirimler!$C$2:$C$210,İndirimler!$A$2:$A$210,B887,İndirimler!$B$2:$B$210,C887)&gt;0,ROUND(G887*(1-SUMIFS(İndirimler!$C$2:$C$210,İndirimler!$A$2:$A$210,B887,İndirimler!$B$2:$B$210,C887)),2),"")</f>
        <v/>
      </c>
      <c r="I887" t="str">
        <f>IF(SUMIFS(İndirimler!$D$2:$D$210,İndirimler!$A$2:$A$210,B887,İndirimler!$B$2:$B$210,C887)&gt;0,ROUND(G887*(1-SUMIFS(İndirimler!$D$2:$D$210,İndirimler!$A$2:$A$210,B887,İndirimler!$B$2:$B$210,C887)),2),"")</f>
        <v/>
      </c>
    </row>
    <row r="888" spans="8:9">
      <c r="H888" t="str">
        <f>IF(SUMIFS(İndirimler!$C$2:$C$210,İndirimler!$A$2:$A$210,B888,İndirimler!$B$2:$B$210,C888)&gt;0,ROUND(G888*(1-SUMIFS(İndirimler!$C$2:$C$210,İndirimler!$A$2:$A$210,B888,İndirimler!$B$2:$B$210,C888)),2),"")</f>
        <v/>
      </c>
      <c r="I888" t="str">
        <f>IF(SUMIFS(İndirimler!$D$2:$D$210,İndirimler!$A$2:$A$210,B888,İndirimler!$B$2:$B$210,C888)&gt;0,ROUND(G888*(1-SUMIFS(İndirimler!$D$2:$D$210,İndirimler!$A$2:$A$210,B888,İndirimler!$B$2:$B$210,C888)),2),"")</f>
        <v/>
      </c>
    </row>
    <row r="889" spans="8:9">
      <c r="H889" t="str">
        <f>IF(SUMIFS(İndirimler!$C$2:$C$210,İndirimler!$A$2:$A$210,B889,İndirimler!$B$2:$B$210,C889)&gt;0,ROUND(G889*(1-SUMIFS(İndirimler!$C$2:$C$210,İndirimler!$A$2:$A$210,B889,İndirimler!$B$2:$B$210,C889)),2),"")</f>
        <v/>
      </c>
      <c r="I889" t="str">
        <f>IF(SUMIFS(İndirimler!$D$2:$D$210,İndirimler!$A$2:$A$210,B889,İndirimler!$B$2:$B$210,C889)&gt;0,ROUND(G889*(1-SUMIFS(İndirimler!$D$2:$D$210,İndirimler!$A$2:$A$210,B889,İndirimler!$B$2:$B$210,C889)),2),"")</f>
        <v/>
      </c>
    </row>
    <row r="890" spans="8:9">
      <c r="H890" t="str">
        <f>IF(SUMIFS(İndirimler!$C$2:$C$210,İndirimler!$A$2:$A$210,B890,İndirimler!$B$2:$B$210,C890)&gt;0,ROUND(G890*(1-SUMIFS(İndirimler!$C$2:$C$210,İndirimler!$A$2:$A$210,B890,İndirimler!$B$2:$B$210,C890)),2),"")</f>
        <v/>
      </c>
      <c r="I890" t="str">
        <f>IF(SUMIFS(İndirimler!$D$2:$D$210,İndirimler!$A$2:$A$210,B890,İndirimler!$B$2:$B$210,C890)&gt;0,ROUND(G890*(1-SUMIFS(İndirimler!$D$2:$D$210,İndirimler!$A$2:$A$210,B890,İndirimler!$B$2:$B$210,C890)),2),"")</f>
        <v/>
      </c>
    </row>
    <row r="891" spans="8:9">
      <c r="H891" t="str">
        <f>IF(SUMIFS(İndirimler!$C$2:$C$210,İndirimler!$A$2:$A$210,B891,İndirimler!$B$2:$B$210,C891)&gt;0,ROUND(G891*(1-SUMIFS(İndirimler!$C$2:$C$210,İndirimler!$A$2:$A$210,B891,İndirimler!$B$2:$B$210,C891)),2),"")</f>
        <v/>
      </c>
      <c r="I891" t="str">
        <f>IF(SUMIFS(İndirimler!$D$2:$D$210,İndirimler!$A$2:$A$210,B891,İndirimler!$B$2:$B$210,C891)&gt;0,ROUND(G891*(1-SUMIFS(İndirimler!$D$2:$D$210,İndirimler!$A$2:$A$210,B891,İndirimler!$B$2:$B$210,C891)),2),"")</f>
        <v/>
      </c>
    </row>
    <row r="892" spans="8:9">
      <c r="H892" t="str">
        <f>IF(SUMIFS(İndirimler!$C$2:$C$210,İndirimler!$A$2:$A$210,B892,İndirimler!$B$2:$B$210,C892)&gt;0,ROUND(G892*(1-SUMIFS(İndirimler!$C$2:$C$210,İndirimler!$A$2:$A$210,B892,İndirimler!$B$2:$B$210,C892)),2),"")</f>
        <v/>
      </c>
      <c r="I892" t="str">
        <f>IF(SUMIFS(İndirimler!$D$2:$D$210,İndirimler!$A$2:$A$210,B892,İndirimler!$B$2:$B$210,C892)&gt;0,ROUND(G892*(1-SUMIFS(İndirimler!$D$2:$D$210,İndirimler!$A$2:$A$210,B892,İndirimler!$B$2:$B$210,C892)),2),"")</f>
        <v/>
      </c>
    </row>
    <row r="893" spans="8:9">
      <c r="H893" t="str">
        <f>IF(SUMIFS(İndirimler!$C$2:$C$210,İndirimler!$A$2:$A$210,B893,İndirimler!$B$2:$B$210,C893)&gt;0,ROUND(G893*(1-SUMIFS(İndirimler!$C$2:$C$210,İndirimler!$A$2:$A$210,B893,İndirimler!$B$2:$B$210,C893)),2),"")</f>
        <v/>
      </c>
      <c r="I893" t="str">
        <f>IF(SUMIFS(İndirimler!$D$2:$D$210,İndirimler!$A$2:$A$210,B893,İndirimler!$B$2:$B$210,C893)&gt;0,ROUND(G893*(1-SUMIFS(İndirimler!$D$2:$D$210,İndirimler!$A$2:$A$210,B893,İndirimler!$B$2:$B$210,C893)),2),"")</f>
        <v/>
      </c>
    </row>
    <row r="894" spans="8:9">
      <c r="H894" t="str">
        <f>IF(SUMIFS(İndirimler!$C$2:$C$210,İndirimler!$A$2:$A$210,B894,İndirimler!$B$2:$B$210,C894)&gt;0,ROUND(G894*(1-SUMIFS(İndirimler!$C$2:$C$210,İndirimler!$A$2:$A$210,B894,İndirimler!$B$2:$B$210,C894)),2),"")</f>
        <v/>
      </c>
      <c r="I894" t="str">
        <f>IF(SUMIFS(İndirimler!$D$2:$D$210,İndirimler!$A$2:$A$210,B894,İndirimler!$B$2:$B$210,C894)&gt;0,ROUND(G894*(1-SUMIFS(İndirimler!$D$2:$D$210,İndirimler!$A$2:$A$210,B894,İndirimler!$B$2:$B$210,C894)),2),"")</f>
        <v/>
      </c>
    </row>
    <row r="895" spans="8:9">
      <c r="H895" t="str">
        <f>IF(SUMIFS(İndirimler!$C$2:$C$210,İndirimler!$A$2:$A$210,B895,İndirimler!$B$2:$B$210,C895)&gt;0,ROUND(G895*(1-SUMIFS(İndirimler!$C$2:$C$210,İndirimler!$A$2:$A$210,B895,İndirimler!$B$2:$B$210,C895)),2),"")</f>
        <v/>
      </c>
      <c r="I895" t="str">
        <f>IF(SUMIFS(İndirimler!$D$2:$D$210,İndirimler!$A$2:$A$210,B895,İndirimler!$B$2:$B$210,C895)&gt;0,ROUND(G895*(1-SUMIFS(İndirimler!$D$2:$D$210,İndirimler!$A$2:$A$210,B895,İndirimler!$B$2:$B$210,C895)),2),"")</f>
        <v/>
      </c>
    </row>
    <row r="896" spans="8:9">
      <c r="H896" t="str">
        <f>IF(SUMIFS(İndirimler!$C$2:$C$210,İndirimler!$A$2:$A$210,B896,İndirimler!$B$2:$B$210,C896)&gt;0,ROUND(G896*(1-SUMIFS(İndirimler!$C$2:$C$210,İndirimler!$A$2:$A$210,B896,İndirimler!$B$2:$B$210,C896)),2),"")</f>
        <v/>
      </c>
      <c r="I896" t="str">
        <f>IF(SUMIFS(İndirimler!$D$2:$D$210,İndirimler!$A$2:$A$210,B896,İndirimler!$B$2:$B$210,C896)&gt;0,ROUND(G896*(1-SUMIFS(İndirimler!$D$2:$D$210,İndirimler!$A$2:$A$210,B896,İndirimler!$B$2:$B$210,C896)),2),"")</f>
        <v/>
      </c>
    </row>
    <row r="897" spans="8:9">
      <c r="H897" t="str">
        <f>IF(SUMIFS(İndirimler!$C$2:$C$210,İndirimler!$A$2:$A$210,B897,İndirimler!$B$2:$B$210,C897)&gt;0,ROUND(G897*(1-SUMIFS(İndirimler!$C$2:$C$210,İndirimler!$A$2:$A$210,B897,İndirimler!$B$2:$B$210,C897)),2),"")</f>
        <v/>
      </c>
      <c r="I897" t="str">
        <f>IF(SUMIFS(İndirimler!$D$2:$D$210,İndirimler!$A$2:$A$210,B897,İndirimler!$B$2:$B$210,C897)&gt;0,ROUND(G897*(1-SUMIFS(İndirimler!$D$2:$D$210,İndirimler!$A$2:$A$210,B897,İndirimler!$B$2:$B$210,C897)),2),"")</f>
        <v/>
      </c>
    </row>
    <row r="898" spans="8:9">
      <c r="H898" t="str">
        <f>IF(SUMIFS(İndirimler!$C$2:$C$210,İndirimler!$A$2:$A$210,B898,İndirimler!$B$2:$B$210,C898)&gt;0,ROUND(G898*(1-SUMIFS(İndirimler!$C$2:$C$210,İndirimler!$A$2:$A$210,B898,İndirimler!$B$2:$B$210,C898)),2),"")</f>
        <v/>
      </c>
      <c r="I898" t="str">
        <f>IF(SUMIFS(İndirimler!$D$2:$D$210,İndirimler!$A$2:$A$210,B898,İndirimler!$B$2:$B$210,C898)&gt;0,ROUND(G898*(1-SUMIFS(İndirimler!$D$2:$D$210,İndirimler!$A$2:$A$210,B898,İndirimler!$B$2:$B$210,C898)),2),"")</f>
        <v/>
      </c>
    </row>
    <row r="899" spans="8:9">
      <c r="H899" t="str">
        <f>IF(SUMIFS(İndirimler!$C$2:$C$210,İndirimler!$A$2:$A$210,B899,İndirimler!$B$2:$B$210,C899)&gt;0,ROUND(G899*(1-SUMIFS(İndirimler!$C$2:$C$210,İndirimler!$A$2:$A$210,B899,İndirimler!$B$2:$B$210,C899)),2),"")</f>
        <v/>
      </c>
      <c r="I899" t="str">
        <f>IF(SUMIFS(İndirimler!$D$2:$D$210,İndirimler!$A$2:$A$210,B899,İndirimler!$B$2:$B$210,C899)&gt;0,ROUND(G899*(1-SUMIFS(İndirimler!$D$2:$D$210,İndirimler!$A$2:$A$210,B899,İndirimler!$B$2:$B$210,C899)),2),"")</f>
        <v/>
      </c>
    </row>
    <row r="900" spans="8:9">
      <c r="H900" t="str">
        <f>IF(SUMIFS(İndirimler!$C$2:$C$210,İndirimler!$A$2:$A$210,B900,İndirimler!$B$2:$B$210,C900)&gt;0,ROUND(G900*(1-SUMIFS(İndirimler!$C$2:$C$210,İndirimler!$A$2:$A$210,B900,İndirimler!$B$2:$B$210,C900)),2),"")</f>
        <v/>
      </c>
      <c r="I900" t="str">
        <f>IF(SUMIFS(İndirimler!$D$2:$D$210,İndirimler!$A$2:$A$210,B900,İndirimler!$B$2:$B$210,C900)&gt;0,ROUND(G900*(1-SUMIFS(İndirimler!$D$2:$D$210,İndirimler!$A$2:$A$210,B900,İndirimler!$B$2:$B$210,C900)),2),"")</f>
        <v/>
      </c>
    </row>
    <row r="901" spans="8:9">
      <c r="H901" t="str">
        <f>IF(SUMIFS(İndirimler!$C$2:$C$210,İndirimler!$A$2:$A$210,B901,İndirimler!$B$2:$B$210,C901)&gt;0,ROUND(G901*(1-SUMIFS(İndirimler!$C$2:$C$210,İndirimler!$A$2:$A$210,B901,İndirimler!$B$2:$B$210,C901)),2),"")</f>
        <v/>
      </c>
      <c r="I901" t="str">
        <f>IF(SUMIFS(İndirimler!$D$2:$D$210,İndirimler!$A$2:$A$210,B901,İndirimler!$B$2:$B$210,C901)&gt;0,ROUND(G901*(1-SUMIFS(İndirimler!$D$2:$D$210,İndirimler!$A$2:$A$210,B901,İndirimler!$B$2:$B$210,C901)),2),"")</f>
        <v/>
      </c>
    </row>
    <row r="902" spans="8:9">
      <c r="H902" t="str">
        <f>IF(SUMIFS(İndirimler!$C$2:$C$210,İndirimler!$A$2:$A$210,B902,İndirimler!$B$2:$B$210,C902)&gt;0,ROUND(G902*(1-SUMIFS(İndirimler!$C$2:$C$210,İndirimler!$A$2:$A$210,B902,İndirimler!$B$2:$B$210,C902)),2),"")</f>
        <v/>
      </c>
      <c r="I902" t="str">
        <f>IF(SUMIFS(İndirimler!$D$2:$D$210,İndirimler!$A$2:$A$210,B902,İndirimler!$B$2:$B$210,C902)&gt;0,ROUND(G902*(1-SUMIFS(İndirimler!$D$2:$D$210,İndirimler!$A$2:$A$210,B902,İndirimler!$B$2:$B$210,C902)),2),"")</f>
        <v/>
      </c>
    </row>
    <row r="903" spans="8:9">
      <c r="H903" t="str">
        <f>IF(SUMIFS(İndirimler!$C$2:$C$210,İndirimler!$A$2:$A$210,B903,İndirimler!$B$2:$B$210,C903)&gt;0,ROUND(G903*(1-SUMIFS(İndirimler!$C$2:$C$210,İndirimler!$A$2:$A$210,B903,İndirimler!$B$2:$B$210,C903)),2),"")</f>
        <v/>
      </c>
      <c r="I903" t="str">
        <f>IF(SUMIFS(İndirimler!$D$2:$D$210,İndirimler!$A$2:$A$210,B903,İndirimler!$B$2:$B$210,C903)&gt;0,ROUND(G903*(1-SUMIFS(İndirimler!$D$2:$D$210,İndirimler!$A$2:$A$210,B903,İndirimler!$B$2:$B$210,C903)),2),"")</f>
        <v/>
      </c>
    </row>
    <row r="904" spans="8:9">
      <c r="H904" t="str">
        <f>IF(SUMIFS(İndirimler!$C$2:$C$210,İndirimler!$A$2:$A$210,B904,İndirimler!$B$2:$B$210,C904)&gt;0,ROUND(G904*(1-SUMIFS(İndirimler!$C$2:$C$210,İndirimler!$A$2:$A$210,B904,İndirimler!$B$2:$B$210,C904)),2),"")</f>
        <v/>
      </c>
      <c r="I904" t="str">
        <f>IF(SUMIFS(İndirimler!$D$2:$D$210,İndirimler!$A$2:$A$210,B904,İndirimler!$B$2:$B$210,C904)&gt;0,ROUND(G904*(1-SUMIFS(İndirimler!$D$2:$D$210,İndirimler!$A$2:$A$210,B904,İndirimler!$B$2:$B$210,C904)),2),"")</f>
        <v/>
      </c>
    </row>
    <row r="905" spans="8:9">
      <c r="H905" t="str">
        <f>IF(SUMIFS(İndirimler!$C$2:$C$210,İndirimler!$A$2:$A$210,B905,İndirimler!$B$2:$B$210,C905)&gt;0,ROUND(G905*(1-SUMIFS(İndirimler!$C$2:$C$210,İndirimler!$A$2:$A$210,B905,İndirimler!$B$2:$B$210,C905)),2),"")</f>
        <v/>
      </c>
      <c r="I905" t="str">
        <f>IF(SUMIFS(İndirimler!$D$2:$D$210,İndirimler!$A$2:$A$210,B905,İndirimler!$B$2:$B$210,C905)&gt;0,ROUND(G905*(1-SUMIFS(İndirimler!$D$2:$D$210,İndirimler!$A$2:$A$210,B905,İndirimler!$B$2:$B$210,C905)),2),"")</f>
        <v/>
      </c>
    </row>
    <row r="906" spans="8:9">
      <c r="H906" t="str">
        <f>IF(SUMIFS(İndirimler!$C$2:$C$210,İndirimler!$A$2:$A$210,B906,İndirimler!$B$2:$B$210,C906)&gt;0,ROUND(G906*(1-SUMIFS(İndirimler!$C$2:$C$210,İndirimler!$A$2:$A$210,B906,İndirimler!$B$2:$B$210,C906)),2),"")</f>
        <v/>
      </c>
      <c r="I906" t="str">
        <f>IF(SUMIFS(İndirimler!$D$2:$D$210,İndirimler!$A$2:$A$210,B906,İndirimler!$B$2:$B$210,C906)&gt;0,ROUND(G906*(1-SUMIFS(İndirimler!$D$2:$D$210,İndirimler!$A$2:$A$210,B906,İndirimler!$B$2:$B$210,C906)),2),"")</f>
        <v/>
      </c>
    </row>
    <row r="907" spans="8:9">
      <c r="H907" t="str">
        <f>IF(SUMIFS(İndirimler!$C$2:$C$210,İndirimler!$A$2:$A$210,B907,İndirimler!$B$2:$B$210,C907)&gt;0,ROUND(G907*(1-SUMIFS(İndirimler!$C$2:$C$210,İndirimler!$A$2:$A$210,B907,İndirimler!$B$2:$B$210,C907)),2),"")</f>
        <v/>
      </c>
      <c r="I907" t="str">
        <f>IF(SUMIFS(İndirimler!$D$2:$D$210,İndirimler!$A$2:$A$210,B907,İndirimler!$B$2:$B$210,C907)&gt;0,ROUND(G907*(1-SUMIFS(İndirimler!$D$2:$D$210,İndirimler!$A$2:$A$210,B907,İndirimler!$B$2:$B$210,C907)),2),"")</f>
        <v/>
      </c>
    </row>
    <row r="908" spans="8:9">
      <c r="H908" t="str">
        <f>IF(SUMIFS(İndirimler!$C$2:$C$210,İndirimler!$A$2:$A$210,B908,İndirimler!$B$2:$B$210,C908)&gt;0,ROUND(G908*(1-SUMIFS(İndirimler!$C$2:$C$210,İndirimler!$A$2:$A$210,B908,İndirimler!$B$2:$B$210,C908)),2),"")</f>
        <v/>
      </c>
      <c r="I908" t="str">
        <f>IF(SUMIFS(İndirimler!$D$2:$D$210,İndirimler!$A$2:$A$210,B908,İndirimler!$B$2:$B$210,C908)&gt;0,ROUND(G908*(1-SUMIFS(İndirimler!$D$2:$D$210,İndirimler!$A$2:$A$210,B908,İndirimler!$B$2:$B$210,C908)),2),"")</f>
        <v/>
      </c>
    </row>
    <row r="909" spans="8:9">
      <c r="H909" t="str">
        <f>IF(SUMIFS(İndirimler!$C$2:$C$210,İndirimler!$A$2:$A$210,B909,İndirimler!$B$2:$B$210,C909)&gt;0,ROUND(G909*(1-SUMIFS(İndirimler!$C$2:$C$210,İndirimler!$A$2:$A$210,B909,İndirimler!$B$2:$B$210,C909)),2),"")</f>
        <v/>
      </c>
      <c r="I909" t="str">
        <f>IF(SUMIFS(İndirimler!$D$2:$D$210,İndirimler!$A$2:$A$210,B909,İndirimler!$B$2:$B$210,C909)&gt;0,ROUND(G909*(1-SUMIFS(İndirimler!$D$2:$D$210,İndirimler!$A$2:$A$210,B909,İndirimler!$B$2:$B$210,C909)),2),"")</f>
        <v/>
      </c>
    </row>
    <row r="910" spans="8:9">
      <c r="H910" t="str">
        <f>IF(SUMIFS(İndirimler!$C$2:$C$210,İndirimler!$A$2:$A$210,B910,İndirimler!$B$2:$B$210,C910)&gt;0,ROUND(G910*(1-SUMIFS(İndirimler!$C$2:$C$210,İndirimler!$A$2:$A$210,B910,İndirimler!$B$2:$B$210,C910)),2),"")</f>
        <v/>
      </c>
      <c r="I910" t="str">
        <f>IF(SUMIFS(İndirimler!$D$2:$D$210,İndirimler!$A$2:$A$210,B910,İndirimler!$B$2:$B$210,C910)&gt;0,ROUND(G910*(1-SUMIFS(İndirimler!$D$2:$D$210,İndirimler!$A$2:$A$210,B910,İndirimler!$B$2:$B$210,C910)),2),"")</f>
        <v/>
      </c>
    </row>
    <row r="911" spans="8:9">
      <c r="H911" t="str">
        <f>IF(SUMIFS(İndirimler!$C$2:$C$210,İndirimler!$A$2:$A$210,B911,İndirimler!$B$2:$B$210,C911)&gt;0,ROUND(G911*(1-SUMIFS(İndirimler!$C$2:$C$210,İndirimler!$A$2:$A$210,B911,İndirimler!$B$2:$B$210,C911)),2),"")</f>
        <v/>
      </c>
      <c r="I911" t="str">
        <f>IF(SUMIFS(İndirimler!$D$2:$D$210,İndirimler!$A$2:$A$210,B911,İndirimler!$B$2:$B$210,C911)&gt;0,ROUND(G911*(1-SUMIFS(İndirimler!$D$2:$D$210,İndirimler!$A$2:$A$210,B911,İndirimler!$B$2:$B$210,C911)),2),"")</f>
        <v/>
      </c>
    </row>
    <row r="912" spans="8:9">
      <c r="H912" t="str">
        <f>IF(SUMIFS(İndirimler!$C$2:$C$210,İndirimler!$A$2:$A$210,B912,İndirimler!$B$2:$B$210,C912)&gt;0,ROUND(G912*(1-SUMIFS(İndirimler!$C$2:$C$210,İndirimler!$A$2:$A$210,B912,İndirimler!$B$2:$B$210,C912)),2),"")</f>
        <v/>
      </c>
      <c r="I912" t="str">
        <f>IF(SUMIFS(İndirimler!$D$2:$D$210,İndirimler!$A$2:$A$210,B912,İndirimler!$B$2:$B$210,C912)&gt;0,ROUND(G912*(1-SUMIFS(İndirimler!$D$2:$D$210,İndirimler!$A$2:$A$210,B912,İndirimler!$B$2:$B$210,C912)),2),"")</f>
        <v/>
      </c>
    </row>
    <row r="913" spans="8:9">
      <c r="H913" t="str">
        <f>IF(SUMIFS(İndirimler!$C$2:$C$210,İndirimler!$A$2:$A$210,B913,İndirimler!$B$2:$B$210,C913)&gt;0,ROUND(G913*(1-SUMIFS(İndirimler!$C$2:$C$210,İndirimler!$A$2:$A$210,B913,İndirimler!$B$2:$B$210,C913)),2),"")</f>
        <v/>
      </c>
      <c r="I913" t="str">
        <f>IF(SUMIFS(İndirimler!$D$2:$D$210,İndirimler!$A$2:$A$210,B913,İndirimler!$B$2:$B$210,C913)&gt;0,ROUND(G913*(1-SUMIFS(İndirimler!$D$2:$D$210,İndirimler!$A$2:$A$210,B913,İndirimler!$B$2:$B$210,C913)),2),"")</f>
        <v/>
      </c>
    </row>
    <row r="914" spans="8:9">
      <c r="H914" t="str">
        <f>IF(SUMIFS(İndirimler!$C$2:$C$210,İndirimler!$A$2:$A$210,B914,İndirimler!$B$2:$B$210,C914)&gt;0,ROUND(G914*(1-SUMIFS(İndirimler!$C$2:$C$210,İndirimler!$A$2:$A$210,B914,İndirimler!$B$2:$B$210,C914)),2),"")</f>
        <v/>
      </c>
      <c r="I914" t="str">
        <f>IF(SUMIFS(İndirimler!$D$2:$D$210,İndirimler!$A$2:$A$210,B914,İndirimler!$B$2:$B$210,C914)&gt;0,ROUND(G914*(1-SUMIFS(İndirimler!$D$2:$D$210,İndirimler!$A$2:$A$210,B914,İndirimler!$B$2:$B$210,C914)),2),"")</f>
        <v/>
      </c>
    </row>
    <row r="915" spans="8:9">
      <c r="H915" t="str">
        <f>IF(SUMIFS(İndirimler!$C$2:$C$210,İndirimler!$A$2:$A$210,B915,İndirimler!$B$2:$B$210,C915)&gt;0,ROUND(G915*(1-SUMIFS(İndirimler!$C$2:$C$210,İndirimler!$A$2:$A$210,B915,İndirimler!$B$2:$B$210,C915)),2),"")</f>
        <v/>
      </c>
      <c r="I915" t="str">
        <f>IF(SUMIFS(İndirimler!$D$2:$D$210,İndirimler!$A$2:$A$210,B915,İndirimler!$B$2:$B$210,C915)&gt;0,ROUND(G915*(1-SUMIFS(İndirimler!$D$2:$D$210,İndirimler!$A$2:$A$210,B915,İndirimler!$B$2:$B$210,C915)),2),"")</f>
        <v/>
      </c>
    </row>
    <row r="916" spans="8:9">
      <c r="H916" t="str">
        <f>IF(SUMIFS(İndirimler!$C$2:$C$210,İndirimler!$A$2:$A$210,B916,İndirimler!$B$2:$B$210,C916)&gt;0,ROUND(G916*(1-SUMIFS(İndirimler!$C$2:$C$210,İndirimler!$A$2:$A$210,B916,İndirimler!$B$2:$B$210,C916)),2),"")</f>
        <v/>
      </c>
      <c r="I916" t="str">
        <f>IF(SUMIFS(İndirimler!$D$2:$D$210,İndirimler!$A$2:$A$210,B916,İndirimler!$B$2:$B$210,C916)&gt;0,ROUND(G916*(1-SUMIFS(İndirimler!$D$2:$D$210,İndirimler!$A$2:$A$210,B916,İndirimler!$B$2:$B$210,C916)),2),"")</f>
        <v/>
      </c>
    </row>
    <row r="917" spans="8:9">
      <c r="H917" t="str">
        <f>IF(SUMIFS(İndirimler!$C$2:$C$210,İndirimler!$A$2:$A$210,B917,İndirimler!$B$2:$B$210,C917)&gt;0,ROUND(G917*(1-SUMIFS(İndirimler!$C$2:$C$210,İndirimler!$A$2:$A$210,B917,İndirimler!$B$2:$B$210,C917)),2),"")</f>
        <v/>
      </c>
      <c r="I917" t="str">
        <f>IF(SUMIFS(İndirimler!$D$2:$D$210,İndirimler!$A$2:$A$210,B917,İndirimler!$B$2:$B$210,C917)&gt;0,ROUND(G917*(1-SUMIFS(İndirimler!$D$2:$D$210,İndirimler!$A$2:$A$210,B917,İndirimler!$B$2:$B$210,C917)),2),"")</f>
        <v/>
      </c>
    </row>
    <row r="918" spans="8:9">
      <c r="H918" t="str">
        <f>IF(SUMIFS(İndirimler!$C$2:$C$210,İndirimler!$A$2:$A$210,B918,İndirimler!$B$2:$B$210,C918)&gt;0,ROUND(G918*(1-SUMIFS(İndirimler!$C$2:$C$210,İndirimler!$A$2:$A$210,B918,İndirimler!$B$2:$B$210,C918)),2),"")</f>
        <v/>
      </c>
      <c r="I918" t="str">
        <f>IF(SUMIFS(İndirimler!$D$2:$D$210,İndirimler!$A$2:$A$210,B918,İndirimler!$B$2:$B$210,C918)&gt;0,ROUND(G918*(1-SUMIFS(İndirimler!$D$2:$D$210,İndirimler!$A$2:$A$210,B918,İndirimler!$B$2:$B$210,C918)),2),"")</f>
        <v/>
      </c>
    </row>
    <row r="919" spans="8:9">
      <c r="H919" t="str">
        <f>IF(SUMIFS(İndirimler!$C$2:$C$210,İndirimler!$A$2:$A$210,B919,İndirimler!$B$2:$B$210,C919)&gt;0,ROUND(G919*(1-SUMIFS(İndirimler!$C$2:$C$210,İndirimler!$A$2:$A$210,B919,İndirimler!$B$2:$B$210,C919)),2),"")</f>
        <v/>
      </c>
      <c r="I919" t="str">
        <f>IF(SUMIFS(İndirimler!$D$2:$D$210,İndirimler!$A$2:$A$210,B919,İndirimler!$B$2:$B$210,C919)&gt;0,ROUND(G919*(1-SUMIFS(İndirimler!$D$2:$D$210,İndirimler!$A$2:$A$210,B919,İndirimler!$B$2:$B$210,C919)),2),"")</f>
        <v/>
      </c>
    </row>
    <row r="920" spans="8:9">
      <c r="H920" t="str">
        <f>IF(SUMIFS(İndirimler!$C$2:$C$210,İndirimler!$A$2:$A$210,B920,İndirimler!$B$2:$B$210,C920)&gt;0,ROUND(G920*(1-SUMIFS(İndirimler!$C$2:$C$210,İndirimler!$A$2:$A$210,B920,İndirimler!$B$2:$B$210,C920)),2),"")</f>
        <v/>
      </c>
      <c r="I920" t="str">
        <f>IF(SUMIFS(İndirimler!$D$2:$D$210,İndirimler!$A$2:$A$210,B920,İndirimler!$B$2:$B$210,C920)&gt;0,ROUND(G920*(1-SUMIFS(İndirimler!$D$2:$D$210,İndirimler!$A$2:$A$210,B920,İndirimler!$B$2:$B$210,C920)),2),"")</f>
        <v/>
      </c>
    </row>
    <row r="921" spans="8:9">
      <c r="H921" t="str">
        <f>IF(SUMIFS(İndirimler!$C$2:$C$210,İndirimler!$A$2:$A$210,B921,İndirimler!$B$2:$B$210,C921)&gt;0,ROUND(G921*(1-SUMIFS(İndirimler!$C$2:$C$210,İndirimler!$A$2:$A$210,B921,İndirimler!$B$2:$B$210,C921)),2),"")</f>
        <v/>
      </c>
      <c r="I921" t="str">
        <f>IF(SUMIFS(İndirimler!$D$2:$D$210,İndirimler!$A$2:$A$210,B921,İndirimler!$B$2:$B$210,C921)&gt;0,ROUND(G921*(1-SUMIFS(İndirimler!$D$2:$D$210,İndirimler!$A$2:$A$210,B921,İndirimler!$B$2:$B$210,C921)),2),"")</f>
        <v/>
      </c>
    </row>
    <row r="922" spans="8:9">
      <c r="H922" t="str">
        <f>IF(SUMIFS(İndirimler!$C$2:$C$210,İndirimler!$A$2:$A$210,B922,İndirimler!$B$2:$B$210,C922)&gt;0,ROUND(G922*(1-SUMIFS(İndirimler!$C$2:$C$210,İndirimler!$A$2:$A$210,B922,İndirimler!$B$2:$B$210,C922)),2),"")</f>
        <v/>
      </c>
      <c r="I922" t="str">
        <f>IF(SUMIFS(İndirimler!$D$2:$D$210,İndirimler!$A$2:$A$210,B922,İndirimler!$B$2:$B$210,C922)&gt;0,ROUND(G922*(1-SUMIFS(İndirimler!$D$2:$D$210,İndirimler!$A$2:$A$210,B922,İndirimler!$B$2:$B$210,C922)),2),"")</f>
        <v/>
      </c>
    </row>
    <row r="923" spans="8:9">
      <c r="H923" t="str">
        <f>IF(SUMIFS(İndirimler!$C$2:$C$210,İndirimler!$A$2:$A$210,B923,İndirimler!$B$2:$B$210,C923)&gt;0,ROUND(G923*(1-SUMIFS(İndirimler!$C$2:$C$210,İndirimler!$A$2:$A$210,B923,İndirimler!$B$2:$B$210,C923)),2),"")</f>
        <v/>
      </c>
      <c r="I923" t="str">
        <f>IF(SUMIFS(İndirimler!$D$2:$D$210,İndirimler!$A$2:$A$210,B923,İndirimler!$B$2:$B$210,C923)&gt;0,ROUND(G923*(1-SUMIFS(İndirimler!$D$2:$D$210,İndirimler!$A$2:$A$210,B923,İndirimler!$B$2:$B$210,C923)),2),"")</f>
        <v/>
      </c>
    </row>
    <row r="924" spans="8:9">
      <c r="H924" t="str">
        <f>IF(SUMIFS(İndirimler!$C$2:$C$210,İndirimler!$A$2:$A$210,B924,İndirimler!$B$2:$B$210,C924)&gt;0,ROUND(G924*(1-SUMIFS(İndirimler!$C$2:$C$210,İndirimler!$A$2:$A$210,B924,İndirimler!$B$2:$B$210,C924)),2),"")</f>
        <v/>
      </c>
      <c r="I924" t="str">
        <f>IF(SUMIFS(İndirimler!$D$2:$D$210,İndirimler!$A$2:$A$210,B924,İndirimler!$B$2:$B$210,C924)&gt;0,ROUND(G924*(1-SUMIFS(İndirimler!$D$2:$D$210,İndirimler!$A$2:$A$210,B924,İndirimler!$B$2:$B$210,C924)),2),"")</f>
        <v/>
      </c>
    </row>
    <row r="925" spans="8:9">
      <c r="H925" t="str">
        <f>IF(SUMIFS(İndirimler!$C$2:$C$210,İndirimler!$A$2:$A$210,B925,İndirimler!$B$2:$B$210,C925)&gt;0,ROUND(G925*(1-SUMIFS(İndirimler!$C$2:$C$210,İndirimler!$A$2:$A$210,B925,İndirimler!$B$2:$B$210,C925)),2),"")</f>
        <v/>
      </c>
      <c r="I925" t="str">
        <f>IF(SUMIFS(İndirimler!$D$2:$D$210,İndirimler!$A$2:$A$210,B925,İndirimler!$B$2:$B$210,C925)&gt;0,ROUND(G925*(1-SUMIFS(İndirimler!$D$2:$D$210,İndirimler!$A$2:$A$210,B925,İndirimler!$B$2:$B$210,C925)),2),"")</f>
        <v/>
      </c>
    </row>
    <row r="926" spans="8:9">
      <c r="H926" t="str">
        <f>IF(SUMIFS(İndirimler!$C$2:$C$210,İndirimler!$A$2:$A$210,B926,İndirimler!$B$2:$B$210,C926)&gt;0,ROUND(G926*(1-SUMIFS(İndirimler!$C$2:$C$210,İndirimler!$A$2:$A$210,B926,İndirimler!$B$2:$B$210,C926)),2),"")</f>
        <v/>
      </c>
      <c r="I926" t="str">
        <f>IF(SUMIFS(İndirimler!$D$2:$D$210,İndirimler!$A$2:$A$210,B926,İndirimler!$B$2:$B$210,C926)&gt;0,ROUND(G926*(1-SUMIFS(İndirimler!$D$2:$D$210,İndirimler!$A$2:$A$210,B926,İndirimler!$B$2:$B$210,C926)),2),"")</f>
        <v/>
      </c>
    </row>
    <row r="927" spans="8:9">
      <c r="H927" t="str">
        <f>IF(SUMIFS(İndirimler!$C$2:$C$210,İndirimler!$A$2:$A$210,B927,İndirimler!$B$2:$B$210,C927)&gt;0,ROUND(G927*(1-SUMIFS(İndirimler!$C$2:$C$210,İndirimler!$A$2:$A$210,B927,İndirimler!$B$2:$B$210,C927)),2),"")</f>
        <v/>
      </c>
      <c r="I927" t="str">
        <f>IF(SUMIFS(İndirimler!$D$2:$D$210,İndirimler!$A$2:$A$210,B927,İndirimler!$B$2:$B$210,C927)&gt;0,ROUND(G927*(1-SUMIFS(İndirimler!$D$2:$D$210,İndirimler!$A$2:$A$210,B927,İndirimler!$B$2:$B$210,C927)),2),"")</f>
        <v/>
      </c>
    </row>
    <row r="928" spans="8:9">
      <c r="H928" t="str">
        <f>IF(SUMIFS(İndirimler!$C$2:$C$210,İndirimler!$A$2:$A$210,B928,İndirimler!$B$2:$B$210,C928)&gt;0,ROUND(G928*(1-SUMIFS(İndirimler!$C$2:$C$210,İndirimler!$A$2:$A$210,B928,İndirimler!$B$2:$B$210,C928)),2),"")</f>
        <v/>
      </c>
      <c r="I928" t="str">
        <f>IF(SUMIFS(İndirimler!$D$2:$D$210,İndirimler!$A$2:$A$210,B928,İndirimler!$B$2:$B$210,C928)&gt;0,ROUND(G928*(1-SUMIFS(İndirimler!$D$2:$D$210,İndirimler!$A$2:$A$210,B928,İndirimler!$B$2:$B$210,C928)),2),"")</f>
        <v/>
      </c>
    </row>
    <row r="929" spans="8:9">
      <c r="H929" t="str">
        <f>IF(SUMIFS(İndirimler!$C$2:$C$210,İndirimler!$A$2:$A$210,B929,İndirimler!$B$2:$B$210,C929)&gt;0,ROUND(G929*(1-SUMIFS(İndirimler!$C$2:$C$210,İndirimler!$A$2:$A$210,B929,İndirimler!$B$2:$B$210,C929)),2),"")</f>
        <v/>
      </c>
      <c r="I929" t="str">
        <f>IF(SUMIFS(İndirimler!$D$2:$D$210,İndirimler!$A$2:$A$210,B929,İndirimler!$B$2:$B$210,C929)&gt;0,ROUND(G929*(1-SUMIFS(İndirimler!$D$2:$D$210,İndirimler!$A$2:$A$210,B929,İndirimler!$B$2:$B$210,C929)),2),"")</f>
        <v/>
      </c>
    </row>
    <row r="930" spans="8:9">
      <c r="H930" t="str">
        <f>IF(SUMIFS(İndirimler!$C$2:$C$210,İndirimler!$A$2:$A$210,B930,İndirimler!$B$2:$B$210,C930)&gt;0,ROUND(G930*(1-SUMIFS(İndirimler!$C$2:$C$210,İndirimler!$A$2:$A$210,B930,İndirimler!$B$2:$B$210,C930)),2),"")</f>
        <v/>
      </c>
      <c r="I930" t="str">
        <f>IF(SUMIFS(İndirimler!$D$2:$D$210,İndirimler!$A$2:$A$210,B930,İndirimler!$B$2:$B$210,C930)&gt;0,ROUND(G930*(1-SUMIFS(İndirimler!$D$2:$D$210,İndirimler!$A$2:$A$210,B930,İndirimler!$B$2:$B$210,C930)),2),"")</f>
        <v/>
      </c>
    </row>
    <row r="931" spans="8:9">
      <c r="H931" t="str">
        <f>IF(SUMIFS(İndirimler!$C$2:$C$210,İndirimler!$A$2:$A$210,B931,İndirimler!$B$2:$B$210,C931)&gt;0,ROUND(G931*(1-SUMIFS(İndirimler!$C$2:$C$210,İndirimler!$A$2:$A$210,B931,İndirimler!$B$2:$B$210,C931)),2),"")</f>
        <v/>
      </c>
      <c r="I931" t="str">
        <f>IF(SUMIFS(İndirimler!$D$2:$D$210,İndirimler!$A$2:$A$210,B931,İndirimler!$B$2:$B$210,C931)&gt;0,ROUND(G931*(1-SUMIFS(İndirimler!$D$2:$D$210,İndirimler!$A$2:$A$210,B931,İndirimler!$B$2:$B$210,C931)),2),"")</f>
        <v/>
      </c>
    </row>
    <row r="932" spans="8:9">
      <c r="H932" t="str">
        <f>IF(SUMIFS(İndirimler!$C$2:$C$210,İndirimler!$A$2:$A$210,B932,İndirimler!$B$2:$B$210,C932)&gt;0,ROUND(G932*(1-SUMIFS(İndirimler!$C$2:$C$210,İndirimler!$A$2:$A$210,B932,İndirimler!$B$2:$B$210,C932)),2),"")</f>
        <v/>
      </c>
      <c r="I932" t="str">
        <f>IF(SUMIFS(İndirimler!$D$2:$D$210,İndirimler!$A$2:$A$210,B932,İndirimler!$B$2:$B$210,C932)&gt;0,ROUND(G932*(1-SUMIFS(İndirimler!$D$2:$D$210,İndirimler!$A$2:$A$210,B932,İndirimler!$B$2:$B$210,C932)),2),"")</f>
        <v/>
      </c>
    </row>
    <row r="933" spans="8:9">
      <c r="H933" t="str">
        <f>IF(SUMIFS(İndirimler!$C$2:$C$210,İndirimler!$A$2:$A$210,B933,İndirimler!$B$2:$B$210,C933)&gt;0,ROUND(G933*(1-SUMIFS(İndirimler!$C$2:$C$210,İndirimler!$A$2:$A$210,B933,İndirimler!$B$2:$B$210,C933)),2),"")</f>
        <v/>
      </c>
      <c r="I933" t="str">
        <f>IF(SUMIFS(İndirimler!$D$2:$D$210,İndirimler!$A$2:$A$210,B933,İndirimler!$B$2:$B$210,C933)&gt;0,ROUND(G933*(1-SUMIFS(İndirimler!$D$2:$D$210,İndirimler!$A$2:$A$210,B933,İndirimler!$B$2:$B$210,C933)),2),"")</f>
        <v/>
      </c>
    </row>
    <row r="934" spans="8:9">
      <c r="H934" t="str">
        <f>IF(SUMIFS(İndirimler!$C$2:$C$210,İndirimler!$A$2:$A$210,B934,İndirimler!$B$2:$B$210,C934)&gt;0,ROUND(G934*(1-SUMIFS(İndirimler!$C$2:$C$210,İndirimler!$A$2:$A$210,B934,İndirimler!$B$2:$B$210,C934)),2),"")</f>
        <v/>
      </c>
      <c r="I934" t="str">
        <f>IF(SUMIFS(İndirimler!$D$2:$D$210,İndirimler!$A$2:$A$210,B934,İndirimler!$B$2:$B$210,C934)&gt;0,ROUND(G934*(1-SUMIFS(İndirimler!$D$2:$D$210,İndirimler!$A$2:$A$210,B934,İndirimler!$B$2:$B$210,C934)),2),"")</f>
        <v/>
      </c>
    </row>
    <row r="935" spans="8:9">
      <c r="H935" t="str">
        <f>IF(SUMIFS(İndirimler!$C$2:$C$210,İndirimler!$A$2:$A$210,B935,İndirimler!$B$2:$B$210,C935)&gt;0,ROUND(G935*(1-SUMIFS(İndirimler!$C$2:$C$210,İndirimler!$A$2:$A$210,B935,İndirimler!$B$2:$B$210,C935)),2),"")</f>
        <v/>
      </c>
      <c r="I935" t="str">
        <f>IF(SUMIFS(İndirimler!$D$2:$D$210,İndirimler!$A$2:$A$210,B935,İndirimler!$B$2:$B$210,C935)&gt;0,ROUND(G935*(1-SUMIFS(İndirimler!$D$2:$D$210,İndirimler!$A$2:$A$210,B935,İndirimler!$B$2:$B$210,C935)),2),"")</f>
        <v/>
      </c>
    </row>
    <row r="936" spans="8:9">
      <c r="H936" t="str">
        <f>IF(SUMIFS(İndirimler!$C$2:$C$210,İndirimler!$A$2:$A$210,B936,İndirimler!$B$2:$B$210,C936)&gt;0,ROUND(G936*(1-SUMIFS(İndirimler!$C$2:$C$210,İndirimler!$A$2:$A$210,B936,İndirimler!$B$2:$B$210,C936)),2),"")</f>
        <v/>
      </c>
      <c r="I936" t="str">
        <f>IF(SUMIFS(İndirimler!$D$2:$D$210,İndirimler!$A$2:$A$210,B936,İndirimler!$B$2:$B$210,C936)&gt;0,ROUND(G936*(1-SUMIFS(İndirimler!$D$2:$D$210,İndirimler!$A$2:$A$210,B936,İndirimler!$B$2:$B$210,C936)),2),"")</f>
        <v/>
      </c>
    </row>
    <row r="937" spans="8:9">
      <c r="H937" t="str">
        <f>IF(SUMIFS(İndirimler!$C$2:$C$210,İndirimler!$A$2:$A$210,B937,İndirimler!$B$2:$B$210,C937)&gt;0,ROUND(G937*(1-SUMIFS(İndirimler!$C$2:$C$210,İndirimler!$A$2:$A$210,B937,İndirimler!$B$2:$B$210,C937)),2),"")</f>
        <v/>
      </c>
      <c r="I937" t="str">
        <f>IF(SUMIFS(İndirimler!$D$2:$D$210,İndirimler!$A$2:$A$210,B937,İndirimler!$B$2:$B$210,C937)&gt;0,ROUND(G937*(1-SUMIFS(İndirimler!$D$2:$D$210,İndirimler!$A$2:$A$210,B937,İndirimler!$B$2:$B$210,C937)),2),"")</f>
        <v/>
      </c>
    </row>
    <row r="938" spans="8:9">
      <c r="H938" t="str">
        <f>IF(SUMIFS(İndirimler!$C$2:$C$210,İndirimler!$A$2:$A$210,B938,İndirimler!$B$2:$B$210,C938)&gt;0,ROUND(G938*(1-SUMIFS(İndirimler!$C$2:$C$210,İndirimler!$A$2:$A$210,B938,İndirimler!$B$2:$B$210,C938)),2),"")</f>
        <v/>
      </c>
      <c r="I938" t="str">
        <f>IF(SUMIFS(İndirimler!$D$2:$D$210,İndirimler!$A$2:$A$210,B938,İndirimler!$B$2:$B$210,C938)&gt;0,ROUND(G938*(1-SUMIFS(İndirimler!$D$2:$D$210,İndirimler!$A$2:$A$210,B938,İndirimler!$B$2:$B$210,C938)),2),"")</f>
        <v/>
      </c>
    </row>
    <row r="939" spans="8:9">
      <c r="H939" t="str">
        <f>IF(SUMIFS(İndirimler!$C$2:$C$210,İndirimler!$A$2:$A$210,B939,İndirimler!$B$2:$B$210,C939)&gt;0,ROUND(G939*(1-SUMIFS(İndirimler!$C$2:$C$210,İndirimler!$A$2:$A$210,B939,İndirimler!$B$2:$B$210,C939)),2),"")</f>
        <v/>
      </c>
      <c r="I939" t="str">
        <f>IF(SUMIFS(İndirimler!$D$2:$D$210,İndirimler!$A$2:$A$210,B939,İndirimler!$B$2:$B$210,C939)&gt;0,ROUND(G939*(1-SUMIFS(İndirimler!$D$2:$D$210,İndirimler!$A$2:$A$210,B939,İndirimler!$B$2:$B$210,C939)),2),"")</f>
        <v/>
      </c>
    </row>
    <row r="940" spans="8:9">
      <c r="H940" t="str">
        <f>IF(SUMIFS(İndirimler!$C$2:$C$210,İndirimler!$A$2:$A$210,B940,İndirimler!$B$2:$B$210,C940)&gt;0,ROUND(G940*(1-SUMIFS(İndirimler!$C$2:$C$210,İndirimler!$A$2:$A$210,B940,İndirimler!$B$2:$B$210,C940)),2),"")</f>
        <v/>
      </c>
      <c r="I940" t="str">
        <f>IF(SUMIFS(İndirimler!$D$2:$D$210,İndirimler!$A$2:$A$210,B940,İndirimler!$B$2:$B$210,C940)&gt;0,ROUND(G940*(1-SUMIFS(İndirimler!$D$2:$D$210,İndirimler!$A$2:$A$210,B940,İndirimler!$B$2:$B$210,C940)),2),"")</f>
        <v/>
      </c>
    </row>
    <row r="941" spans="8:9">
      <c r="H941" t="str">
        <f>IF(SUMIFS(İndirimler!$C$2:$C$210,İndirimler!$A$2:$A$210,B941,İndirimler!$B$2:$B$210,C941)&gt;0,ROUND(G941*(1-SUMIFS(İndirimler!$C$2:$C$210,İndirimler!$A$2:$A$210,B941,İndirimler!$B$2:$B$210,C941)),2),"")</f>
        <v/>
      </c>
      <c r="I941" t="str">
        <f>IF(SUMIFS(İndirimler!$D$2:$D$210,İndirimler!$A$2:$A$210,B941,İndirimler!$B$2:$B$210,C941)&gt;0,ROUND(G941*(1-SUMIFS(İndirimler!$D$2:$D$210,İndirimler!$A$2:$A$210,B941,İndirimler!$B$2:$B$210,C941)),2),"")</f>
        <v/>
      </c>
    </row>
    <row r="942" spans="8:9">
      <c r="H942" t="str">
        <f>IF(SUMIFS(İndirimler!$C$2:$C$210,İndirimler!$A$2:$A$210,B942,İndirimler!$B$2:$B$210,C942)&gt;0,ROUND(G942*(1-SUMIFS(İndirimler!$C$2:$C$210,İndirimler!$A$2:$A$210,B942,İndirimler!$B$2:$B$210,C942)),2),"")</f>
        <v/>
      </c>
      <c r="I942" t="str">
        <f>IF(SUMIFS(İndirimler!$D$2:$D$210,İndirimler!$A$2:$A$210,B942,İndirimler!$B$2:$B$210,C942)&gt;0,ROUND(G942*(1-SUMIFS(İndirimler!$D$2:$D$210,İndirimler!$A$2:$A$210,B942,İndirimler!$B$2:$B$210,C942)),2),"")</f>
        <v/>
      </c>
    </row>
    <row r="943" spans="8:9">
      <c r="H943" t="str">
        <f>IF(SUMIFS(İndirimler!$C$2:$C$210,İndirimler!$A$2:$A$210,B943,İndirimler!$B$2:$B$210,C943)&gt;0,ROUND(G943*(1-SUMIFS(İndirimler!$C$2:$C$210,İndirimler!$A$2:$A$210,B943,İndirimler!$B$2:$B$210,C943)),2),"")</f>
        <v/>
      </c>
      <c r="I943" t="str">
        <f>IF(SUMIFS(İndirimler!$D$2:$D$210,İndirimler!$A$2:$A$210,B943,İndirimler!$B$2:$B$210,C943)&gt;0,ROUND(G943*(1-SUMIFS(İndirimler!$D$2:$D$210,İndirimler!$A$2:$A$210,B943,İndirimler!$B$2:$B$210,C943)),2),"")</f>
        <v/>
      </c>
    </row>
    <row r="944" spans="8:9">
      <c r="H944" t="str">
        <f>IF(SUMIFS(İndirimler!$C$2:$C$210,İndirimler!$A$2:$A$210,B944,İndirimler!$B$2:$B$210,C944)&gt;0,ROUND(G944*(1-SUMIFS(İndirimler!$C$2:$C$210,İndirimler!$A$2:$A$210,B944,İndirimler!$B$2:$B$210,C944)),2),"")</f>
        <v/>
      </c>
      <c r="I944" t="str">
        <f>IF(SUMIFS(İndirimler!$D$2:$D$210,İndirimler!$A$2:$A$210,B944,İndirimler!$B$2:$B$210,C944)&gt;0,ROUND(G944*(1-SUMIFS(İndirimler!$D$2:$D$210,İndirimler!$A$2:$A$210,B944,İndirimler!$B$2:$B$210,C944)),2),"")</f>
        <v/>
      </c>
    </row>
    <row r="945" spans="8:9">
      <c r="H945" t="str">
        <f>IF(SUMIFS(İndirimler!$C$2:$C$210,İndirimler!$A$2:$A$210,B945,İndirimler!$B$2:$B$210,C945)&gt;0,ROUND(G945*(1-SUMIFS(İndirimler!$C$2:$C$210,İndirimler!$A$2:$A$210,B945,İndirimler!$B$2:$B$210,C945)),2),"")</f>
        <v/>
      </c>
      <c r="I945" t="str">
        <f>IF(SUMIFS(İndirimler!$D$2:$D$210,İndirimler!$A$2:$A$210,B945,İndirimler!$B$2:$B$210,C945)&gt;0,ROUND(G945*(1-SUMIFS(İndirimler!$D$2:$D$210,İndirimler!$A$2:$A$210,B945,İndirimler!$B$2:$B$210,C945)),2),"")</f>
        <v/>
      </c>
    </row>
    <row r="946" spans="8:9">
      <c r="H946" t="str">
        <f>IF(SUMIFS(İndirimler!$C$2:$C$210,İndirimler!$A$2:$A$210,B946,İndirimler!$B$2:$B$210,C946)&gt;0,ROUND(G946*(1-SUMIFS(İndirimler!$C$2:$C$210,İndirimler!$A$2:$A$210,B946,İndirimler!$B$2:$B$210,C946)),2),"")</f>
        <v/>
      </c>
      <c r="I946" t="str">
        <f>IF(SUMIFS(İndirimler!$D$2:$D$210,İndirimler!$A$2:$A$210,B946,İndirimler!$B$2:$B$210,C946)&gt;0,ROUND(G946*(1-SUMIFS(İndirimler!$D$2:$D$210,İndirimler!$A$2:$A$210,B946,İndirimler!$B$2:$B$210,C946)),2),"")</f>
        <v/>
      </c>
    </row>
    <row r="947" spans="8:9">
      <c r="H947" t="str">
        <f>IF(SUMIFS(İndirimler!$C$2:$C$210,İndirimler!$A$2:$A$210,B947,İndirimler!$B$2:$B$210,C947)&gt;0,ROUND(G947*(1-SUMIFS(İndirimler!$C$2:$C$210,İndirimler!$A$2:$A$210,B947,İndirimler!$B$2:$B$210,C947)),2),"")</f>
        <v/>
      </c>
      <c r="I947" t="str">
        <f>IF(SUMIFS(İndirimler!$D$2:$D$210,İndirimler!$A$2:$A$210,B947,İndirimler!$B$2:$B$210,C947)&gt;0,ROUND(G947*(1-SUMIFS(İndirimler!$D$2:$D$210,İndirimler!$A$2:$A$210,B947,İndirimler!$B$2:$B$210,C947)),2),"")</f>
        <v/>
      </c>
    </row>
    <row r="948" spans="8:9">
      <c r="H948" t="str">
        <f>IF(SUMIFS(İndirimler!$C$2:$C$210,İndirimler!$A$2:$A$210,B948,İndirimler!$B$2:$B$210,C948)&gt;0,ROUND(G948*(1-SUMIFS(İndirimler!$C$2:$C$210,İndirimler!$A$2:$A$210,B948,İndirimler!$B$2:$B$210,C948)),2),"")</f>
        <v/>
      </c>
      <c r="I948" t="str">
        <f>IF(SUMIFS(İndirimler!$D$2:$D$210,İndirimler!$A$2:$A$210,B948,İndirimler!$B$2:$B$210,C948)&gt;0,ROUND(G948*(1-SUMIFS(İndirimler!$D$2:$D$210,İndirimler!$A$2:$A$210,B948,İndirimler!$B$2:$B$210,C948)),2),"")</f>
        <v/>
      </c>
    </row>
    <row r="949" spans="8:9">
      <c r="H949" t="str">
        <f>IF(SUMIFS(İndirimler!$C$2:$C$210,İndirimler!$A$2:$A$210,B949,İndirimler!$B$2:$B$210,C949)&gt;0,ROUND(G949*(1-SUMIFS(İndirimler!$C$2:$C$210,İndirimler!$A$2:$A$210,B949,İndirimler!$B$2:$B$210,C949)),2),"")</f>
        <v/>
      </c>
      <c r="I949" t="str">
        <f>IF(SUMIFS(İndirimler!$D$2:$D$210,İndirimler!$A$2:$A$210,B949,İndirimler!$B$2:$B$210,C949)&gt;0,ROUND(G949*(1-SUMIFS(İndirimler!$D$2:$D$210,İndirimler!$A$2:$A$210,B949,İndirimler!$B$2:$B$210,C949)),2),"")</f>
        <v/>
      </c>
    </row>
    <row r="950" spans="8:9">
      <c r="H950" t="str">
        <f>IF(SUMIFS(İndirimler!$C$2:$C$210,İndirimler!$A$2:$A$210,B950,İndirimler!$B$2:$B$210,C950)&gt;0,ROUND(G950*(1-SUMIFS(İndirimler!$C$2:$C$210,İndirimler!$A$2:$A$210,B950,İndirimler!$B$2:$B$210,C950)),2),"")</f>
        <v/>
      </c>
      <c r="I950" t="str">
        <f>IF(SUMIFS(İndirimler!$D$2:$D$210,İndirimler!$A$2:$A$210,B950,İndirimler!$B$2:$B$210,C950)&gt;0,ROUND(G950*(1-SUMIFS(İndirimler!$D$2:$D$210,İndirimler!$A$2:$A$210,B950,İndirimler!$B$2:$B$210,C950)),2),"")</f>
        <v/>
      </c>
    </row>
    <row r="951" spans="8:9">
      <c r="H951" t="str">
        <f>IF(SUMIFS(İndirimler!$C$2:$C$210,İndirimler!$A$2:$A$210,B951,İndirimler!$B$2:$B$210,C951)&gt;0,ROUND(G951*(1-SUMIFS(İndirimler!$C$2:$C$210,İndirimler!$A$2:$A$210,B951,İndirimler!$B$2:$B$210,C951)),2),"")</f>
        <v/>
      </c>
      <c r="I951" t="str">
        <f>IF(SUMIFS(İndirimler!$D$2:$D$210,İndirimler!$A$2:$A$210,B951,İndirimler!$B$2:$B$210,C951)&gt;0,ROUND(G951*(1-SUMIFS(İndirimler!$D$2:$D$210,İndirimler!$A$2:$A$210,B951,İndirimler!$B$2:$B$210,C951)),2),"")</f>
        <v/>
      </c>
    </row>
    <row r="952" spans="8:9">
      <c r="H952" t="str">
        <f>IF(SUMIFS(İndirimler!$C$2:$C$210,İndirimler!$A$2:$A$210,B952,İndirimler!$B$2:$B$210,C952)&gt;0,ROUND(G952*(1-SUMIFS(İndirimler!$C$2:$C$210,İndirimler!$A$2:$A$210,B952,İndirimler!$B$2:$B$210,C952)),2),"")</f>
        <v/>
      </c>
      <c r="I952" t="str">
        <f>IF(SUMIFS(İndirimler!$D$2:$D$210,İndirimler!$A$2:$A$210,B952,İndirimler!$B$2:$B$210,C952)&gt;0,ROUND(G952*(1-SUMIFS(İndirimler!$D$2:$D$210,İndirimler!$A$2:$A$210,B952,İndirimler!$B$2:$B$210,C952)),2),"")</f>
        <v/>
      </c>
    </row>
    <row r="953" spans="8:9">
      <c r="H953" t="str">
        <f>IF(SUMIFS(İndirimler!$C$2:$C$210,İndirimler!$A$2:$A$210,B953,İndirimler!$B$2:$B$210,C953)&gt;0,ROUND(G953*(1-SUMIFS(İndirimler!$C$2:$C$210,İndirimler!$A$2:$A$210,B953,İndirimler!$B$2:$B$210,C953)),2),"")</f>
        <v/>
      </c>
      <c r="I953" t="str">
        <f>IF(SUMIFS(İndirimler!$D$2:$D$210,İndirimler!$A$2:$A$210,B953,İndirimler!$B$2:$B$210,C953)&gt;0,ROUND(G953*(1-SUMIFS(İndirimler!$D$2:$D$210,İndirimler!$A$2:$A$210,B953,İndirimler!$B$2:$B$210,C953)),2),"")</f>
        <v/>
      </c>
    </row>
    <row r="954" spans="8:9">
      <c r="H954" t="str">
        <f>IF(SUMIFS(İndirimler!$C$2:$C$210,İndirimler!$A$2:$A$210,B954,İndirimler!$B$2:$B$210,C954)&gt;0,ROUND(G954*(1-SUMIFS(İndirimler!$C$2:$C$210,İndirimler!$A$2:$A$210,B954,İndirimler!$B$2:$B$210,C954)),2),"")</f>
        <v/>
      </c>
      <c r="I954" t="str">
        <f>IF(SUMIFS(İndirimler!$D$2:$D$210,İndirimler!$A$2:$A$210,B954,İndirimler!$B$2:$B$210,C954)&gt;0,ROUND(G954*(1-SUMIFS(İndirimler!$D$2:$D$210,İndirimler!$A$2:$A$210,B954,İndirimler!$B$2:$B$210,C954)),2),"")</f>
        <v/>
      </c>
    </row>
    <row r="955" spans="8:9">
      <c r="H955" t="str">
        <f>IF(SUMIFS(İndirimler!$C$2:$C$210,İndirimler!$A$2:$A$210,B955,İndirimler!$B$2:$B$210,C955)&gt;0,ROUND(G955*(1-SUMIFS(İndirimler!$C$2:$C$210,İndirimler!$A$2:$A$210,B955,İndirimler!$B$2:$B$210,C955)),2),"")</f>
        <v/>
      </c>
      <c r="I955" t="str">
        <f>IF(SUMIFS(İndirimler!$D$2:$D$210,İndirimler!$A$2:$A$210,B955,İndirimler!$B$2:$B$210,C955)&gt;0,ROUND(G955*(1-SUMIFS(İndirimler!$D$2:$D$210,İndirimler!$A$2:$A$210,B955,İndirimler!$B$2:$B$210,C955)),2),"")</f>
        <v/>
      </c>
    </row>
    <row r="956" spans="8:9">
      <c r="H956" t="str">
        <f>IF(SUMIFS(İndirimler!$C$2:$C$210,İndirimler!$A$2:$A$210,B956,İndirimler!$B$2:$B$210,C956)&gt;0,ROUND(G956*(1-SUMIFS(İndirimler!$C$2:$C$210,İndirimler!$A$2:$A$210,B956,İndirimler!$B$2:$B$210,C956)),2),"")</f>
        <v/>
      </c>
      <c r="I956" t="str">
        <f>IF(SUMIFS(İndirimler!$D$2:$D$210,İndirimler!$A$2:$A$210,B956,İndirimler!$B$2:$B$210,C956)&gt;0,ROUND(G956*(1-SUMIFS(İndirimler!$D$2:$D$210,İndirimler!$A$2:$A$210,B956,İndirimler!$B$2:$B$210,C956)),2),"")</f>
        <v/>
      </c>
    </row>
    <row r="957" spans="8:9">
      <c r="H957" t="str">
        <f>IF(SUMIFS(İndirimler!$C$2:$C$210,İndirimler!$A$2:$A$210,B957,İndirimler!$B$2:$B$210,C957)&gt;0,ROUND(G957*(1-SUMIFS(İndirimler!$C$2:$C$210,İndirimler!$A$2:$A$210,B957,İndirimler!$B$2:$B$210,C957)),2),"")</f>
        <v/>
      </c>
      <c r="I957" t="str">
        <f>IF(SUMIFS(İndirimler!$D$2:$D$210,İndirimler!$A$2:$A$210,B957,İndirimler!$B$2:$B$210,C957)&gt;0,ROUND(G957*(1-SUMIFS(İndirimler!$D$2:$D$210,İndirimler!$A$2:$A$210,B957,İndirimler!$B$2:$B$210,C957)),2),"")</f>
        <v/>
      </c>
    </row>
    <row r="958" spans="8:9">
      <c r="H958" t="str">
        <f>IF(SUMIFS(İndirimler!$C$2:$C$210,İndirimler!$A$2:$A$210,B958,İndirimler!$B$2:$B$210,C958)&gt;0,ROUND(G958*(1-SUMIFS(İndirimler!$C$2:$C$210,İndirimler!$A$2:$A$210,B958,İndirimler!$B$2:$B$210,C958)),2),"")</f>
        <v/>
      </c>
      <c r="I958" t="str">
        <f>IF(SUMIFS(İndirimler!$D$2:$D$210,İndirimler!$A$2:$A$210,B958,İndirimler!$B$2:$B$210,C958)&gt;0,ROUND(G958*(1-SUMIFS(İndirimler!$D$2:$D$210,İndirimler!$A$2:$A$210,B958,İndirimler!$B$2:$B$210,C958)),2),"")</f>
        <v/>
      </c>
    </row>
    <row r="959" spans="8:9">
      <c r="H959" t="str">
        <f>IF(SUMIFS(İndirimler!$C$2:$C$210,İndirimler!$A$2:$A$210,B959,İndirimler!$B$2:$B$210,C959)&gt;0,ROUND(G959*(1-SUMIFS(İndirimler!$C$2:$C$210,İndirimler!$A$2:$A$210,B959,İndirimler!$B$2:$B$210,C959)),2),"")</f>
        <v/>
      </c>
      <c r="I959" t="str">
        <f>IF(SUMIFS(İndirimler!$D$2:$D$210,İndirimler!$A$2:$A$210,B959,İndirimler!$B$2:$B$210,C959)&gt;0,ROUND(G959*(1-SUMIFS(İndirimler!$D$2:$D$210,İndirimler!$A$2:$A$210,B959,İndirimler!$B$2:$B$210,C959)),2),"")</f>
        <v/>
      </c>
    </row>
    <row r="960" spans="8:9">
      <c r="H960" t="str">
        <f>IF(SUMIFS(İndirimler!$C$2:$C$210,İndirimler!$A$2:$A$210,B960,İndirimler!$B$2:$B$210,C960)&gt;0,ROUND(G960*(1-SUMIFS(İndirimler!$C$2:$C$210,İndirimler!$A$2:$A$210,B960,İndirimler!$B$2:$B$210,C960)),2),"")</f>
        <v/>
      </c>
      <c r="I960" t="str">
        <f>IF(SUMIFS(İndirimler!$D$2:$D$210,İndirimler!$A$2:$A$210,B960,İndirimler!$B$2:$B$210,C960)&gt;0,ROUND(G960*(1-SUMIFS(İndirimler!$D$2:$D$210,İndirimler!$A$2:$A$210,B960,İndirimler!$B$2:$B$210,C960)),2),"")</f>
        <v/>
      </c>
    </row>
    <row r="961" spans="8:9">
      <c r="H961" t="str">
        <f>IF(SUMIFS(İndirimler!$C$2:$C$210,İndirimler!$A$2:$A$210,B961,İndirimler!$B$2:$B$210,C961)&gt;0,ROUND(G961*(1-SUMIFS(İndirimler!$C$2:$C$210,İndirimler!$A$2:$A$210,B961,İndirimler!$B$2:$B$210,C961)),2),"")</f>
        <v/>
      </c>
      <c r="I961" t="str">
        <f>IF(SUMIFS(İndirimler!$D$2:$D$210,İndirimler!$A$2:$A$210,B961,İndirimler!$B$2:$B$210,C961)&gt;0,ROUND(G961*(1-SUMIFS(İndirimler!$D$2:$D$210,İndirimler!$A$2:$A$210,B961,İndirimler!$B$2:$B$210,C961)),2),"")</f>
        <v/>
      </c>
    </row>
    <row r="962" spans="8:9">
      <c r="H962" t="str">
        <f>IF(SUMIFS(İndirimler!$C$2:$C$210,İndirimler!$A$2:$A$210,B962,İndirimler!$B$2:$B$210,C962)&gt;0,ROUND(G962*(1-SUMIFS(İndirimler!$C$2:$C$210,İndirimler!$A$2:$A$210,B962,İndirimler!$B$2:$B$210,C962)),2),"")</f>
        <v/>
      </c>
      <c r="I962" t="str">
        <f>IF(SUMIFS(İndirimler!$D$2:$D$210,İndirimler!$A$2:$A$210,B962,İndirimler!$B$2:$B$210,C962)&gt;0,ROUND(G962*(1-SUMIFS(İndirimler!$D$2:$D$210,İndirimler!$A$2:$A$210,B962,İndirimler!$B$2:$B$210,C962)),2),"")</f>
        <v/>
      </c>
    </row>
    <row r="963" spans="8:9">
      <c r="H963" t="str">
        <f>IF(SUMIFS(İndirimler!$C$2:$C$210,İndirimler!$A$2:$A$210,B963,İndirimler!$B$2:$B$210,C963)&gt;0,ROUND(G963*(1-SUMIFS(İndirimler!$C$2:$C$210,İndirimler!$A$2:$A$210,B963,İndirimler!$B$2:$B$210,C963)),2),"")</f>
        <v/>
      </c>
      <c r="I963" t="str">
        <f>IF(SUMIFS(İndirimler!$D$2:$D$210,İndirimler!$A$2:$A$210,B963,İndirimler!$B$2:$B$210,C963)&gt;0,ROUND(G963*(1-SUMIFS(İndirimler!$D$2:$D$210,İndirimler!$A$2:$A$210,B963,İndirimler!$B$2:$B$210,C963)),2),"")</f>
        <v/>
      </c>
    </row>
    <row r="964" spans="8:9">
      <c r="H964" t="str">
        <f>IF(SUMIFS(İndirimler!$C$2:$C$210,İndirimler!$A$2:$A$210,B964,İndirimler!$B$2:$B$210,C964)&gt;0,ROUND(G964*(1-SUMIFS(İndirimler!$C$2:$C$210,İndirimler!$A$2:$A$210,B964,İndirimler!$B$2:$B$210,C964)),2),"")</f>
        <v/>
      </c>
      <c r="I964" t="str">
        <f>IF(SUMIFS(İndirimler!$D$2:$D$210,İndirimler!$A$2:$A$210,B964,İndirimler!$B$2:$B$210,C964)&gt;0,ROUND(G964*(1-SUMIFS(İndirimler!$D$2:$D$210,İndirimler!$A$2:$A$210,B964,İndirimler!$B$2:$B$210,C964)),2),"")</f>
        <v/>
      </c>
    </row>
    <row r="965" spans="8:9">
      <c r="H965" t="str">
        <f>IF(SUMIFS(İndirimler!$C$2:$C$210,İndirimler!$A$2:$A$210,B965,İndirimler!$B$2:$B$210,C965)&gt;0,ROUND(G965*(1-SUMIFS(İndirimler!$C$2:$C$210,İndirimler!$A$2:$A$210,B965,İndirimler!$B$2:$B$210,C965)),2),"")</f>
        <v/>
      </c>
      <c r="I965" t="str">
        <f>IF(SUMIFS(İndirimler!$D$2:$D$210,İndirimler!$A$2:$A$210,B965,İndirimler!$B$2:$B$210,C965)&gt;0,ROUND(G965*(1-SUMIFS(İndirimler!$D$2:$D$210,İndirimler!$A$2:$A$210,B965,İndirimler!$B$2:$B$210,C965)),2),"")</f>
        <v/>
      </c>
    </row>
    <row r="966" spans="8:9">
      <c r="H966" t="str">
        <f>IF(SUMIFS(İndirimler!$C$2:$C$210,İndirimler!$A$2:$A$210,B966,İndirimler!$B$2:$B$210,C966)&gt;0,ROUND(G966*(1-SUMIFS(İndirimler!$C$2:$C$210,İndirimler!$A$2:$A$210,B966,İndirimler!$B$2:$B$210,C966)),2),"")</f>
        <v/>
      </c>
      <c r="I966" t="str">
        <f>IF(SUMIFS(İndirimler!$D$2:$D$210,İndirimler!$A$2:$A$210,B966,İndirimler!$B$2:$B$210,C966)&gt;0,ROUND(G966*(1-SUMIFS(İndirimler!$D$2:$D$210,İndirimler!$A$2:$A$210,B966,İndirimler!$B$2:$B$210,C966)),2),"")</f>
        <v/>
      </c>
    </row>
    <row r="967" spans="8:9">
      <c r="H967" t="str">
        <f>IF(SUMIFS(İndirimler!$C$2:$C$210,İndirimler!$A$2:$A$210,B967,İndirimler!$B$2:$B$210,C967)&gt;0,ROUND(G967*(1-SUMIFS(İndirimler!$C$2:$C$210,İndirimler!$A$2:$A$210,B967,İndirimler!$B$2:$B$210,C967)),2),"")</f>
        <v/>
      </c>
      <c r="I967" t="str">
        <f>IF(SUMIFS(İndirimler!$D$2:$D$210,İndirimler!$A$2:$A$210,B967,İndirimler!$B$2:$B$210,C967)&gt;0,ROUND(G967*(1-SUMIFS(İndirimler!$D$2:$D$210,İndirimler!$A$2:$A$210,B967,İndirimler!$B$2:$B$210,C967)),2),"")</f>
        <v/>
      </c>
    </row>
    <row r="968" spans="8:9">
      <c r="H968" t="str">
        <f>IF(SUMIFS(İndirimler!$C$2:$C$210,İndirimler!$A$2:$A$210,B968,İndirimler!$B$2:$B$210,C968)&gt;0,ROUND(G968*(1-SUMIFS(İndirimler!$C$2:$C$210,İndirimler!$A$2:$A$210,B968,İndirimler!$B$2:$B$210,C968)),2),"")</f>
        <v/>
      </c>
      <c r="I968" t="str">
        <f>IF(SUMIFS(İndirimler!$D$2:$D$210,İndirimler!$A$2:$A$210,B968,İndirimler!$B$2:$B$210,C968)&gt;0,ROUND(G968*(1-SUMIFS(İndirimler!$D$2:$D$210,İndirimler!$A$2:$A$210,B968,İndirimler!$B$2:$B$210,C968)),2),"")</f>
        <v/>
      </c>
    </row>
    <row r="969" spans="8:9">
      <c r="H969" t="str">
        <f>IF(SUMIFS(İndirimler!$C$2:$C$210,İndirimler!$A$2:$A$210,B969,İndirimler!$B$2:$B$210,C969)&gt;0,ROUND(G969*(1-SUMIFS(İndirimler!$C$2:$C$210,İndirimler!$A$2:$A$210,B969,İndirimler!$B$2:$B$210,C969)),2),"")</f>
        <v/>
      </c>
      <c r="I969" t="str">
        <f>IF(SUMIFS(İndirimler!$D$2:$D$210,İndirimler!$A$2:$A$210,B969,İndirimler!$B$2:$B$210,C969)&gt;0,ROUND(G969*(1-SUMIFS(İndirimler!$D$2:$D$210,İndirimler!$A$2:$A$210,B969,İndirimler!$B$2:$B$210,C969)),2),"")</f>
        <v/>
      </c>
    </row>
    <row r="970" spans="8:9">
      <c r="H970" t="str">
        <f>IF(SUMIFS(İndirimler!$C$2:$C$210,İndirimler!$A$2:$A$210,B970,İndirimler!$B$2:$B$210,C970)&gt;0,ROUND(G970*(1-SUMIFS(İndirimler!$C$2:$C$210,İndirimler!$A$2:$A$210,B970,İndirimler!$B$2:$B$210,C970)),2),"")</f>
        <v/>
      </c>
      <c r="I970" t="str">
        <f>IF(SUMIFS(İndirimler!$D$2:$D$210,İndirimler!$A$2:$A$210,B970,İndirimler!$B$2:$B$210,C970)&gt;0,ROUND(G970*(1-SUMIFS(İndirimler!$D$2:$D$210,İndirimler!$A$2:$A$210,B970,İndirimler!$B$2:$B$210,C970)),2),"")</f>
        <v/>
      </c>
    </row>
    <row r="971" spans="8:9">
      <c r="H971" t="str">
        <f>IF(SUMIFS(İndirimler!$C$2:$C$210,İndirimler!$A$2:$A$210,B971,İndirimler!$B$2:$B$210,C971)&gt;0,ROUND(G971*(1-SUMIFS(İndirimler!$C$2:$C$210,İndirimler!$A$2:$A$210,B971,İndirimler!$B$2:$B$210,C971)),2),"")</f>
        <v/>
      </c>
      <c r="I971" t="str">
        <f>IF(SUMIFS(İndirimler!$D$2:$D$210,İndirimler!$A$2:$A$210,B971,İndirimler!$B$2:$B$210,C971)&gt;0,ROUND(G971*(1-SUMIFS(İndirimler!$D$2:$D$210,İndirimler!$A$2:$A$210,B971,İndirimler!$B$2:$B$210,C971)),2),"")</f>
        <v/>
      </c>
    </row>
    <row r="972" spans="8:9">
      <c r="H972" t="str">
        <f>IF(SUMIFS(İndirimler!$C$2:$C$210,İndirimler!$A$2:$A$210,B972,İndirimler!$B$2:$B$210,C972)&gt;0,ROUND(G972*(1-SUMIFS(İndirimler!$C$2:$C$210,İndirimler!$A$2:$A$210,B972,İndirimler!$B$2:$B$210,C972)),2),"")</f>
        <v/>
      </c>
      <c r="I972" t="str">
        <f>IF(SUMIFS(İndirimler!$D$2:$D$210,İndirimler!$A$2:$A$210,B972,İndirimler!$B$2:$B$210,C972)&gt;0,ROUND(G972*(1-SUMIFS(İndirimler!$D$2:$D$210,İndirimler!$A$2:$A$210,B972,İndirimler!$B$2:$B$210,C972)),2),"")</f>
        <v/>
      </c>
    </row>
    <row r="973" spans="8:9">
      <c r="H973" t="str">
        <f>IF(SUMIFS(İndirimler!$C$2:$C$210,İndirimler!$A$2:$A$210,B973,İndirimler!$B$2:$B$210,C973)&gt;0,ROUND(G973*(1-SUMIFS(İndirimler!$C$2:$C$210,İndirimler!$A$2:$A$210,B973,İndirimler!$B$2:$B$210,C973)),2),"")</f>
        <v/>
      </c>
      <c r="I973" t="str">
        <f>IF(SUMIFS(İndirimler!$D$2:$D$210,İndirimler!$A$2:$A$210,B973,İndirimler!$B$2:$B$210,C973)&gt;0,ROUND(G973*(1-SUMIFS(İndirimler!$D$2:$D$210,İndirimler!$A$2:$A$210,B973,İndirimler!$B$2:$B$210,C973)),2),"")</f>
        <v/>
      </c>
    </row>
    <row r="974" spans="8:9">
      <c r="H974" t="str">
        <f>IF(SUMIFS(İndirimler!$C$2:$C$210,İndirimler!$A$2:$A$210,B974,İndirimler!$B$2:$B$210,C974)&gt;0,ROUND(G974*(1-SUMIFS(İndirimler!$C$2:$C$210,İndirimler!$A$2:$A$210,B974,İndirimler!$B$2:$B$210,C974)),2),"")</f>
        <v/>
      </c>
      <c r="I974" t="str">
        <f>IF(SUMIFS(İndirimler!$D$2:$D$210,İndirimler!$A$2:$A$210,B974,İndirimler!$B$2:$B$210,C974)&gt;0,ROUND(G974*(1-SUMIFS(İndirimler!$D$2:$D$210,İndirimler!$A$2:$A$210,B974,İndirimler!$B$2:$B$210,C974)),2),"")</f>
        <v/>
      </c>
    </row>
    <row r="975" spans="8:9">
      <c r="H975" t="str">
        <f>IF(SUMIFS(İndirimler!$C$2:$C$210,İndirimler!$A$2:$A$210,B975,İndirimler!$B$2:$B$210,C975)&gt;0,ROUND(G975*(1-SUMIFS(İndirimler!$C$2:$C$210,İndirimler!$A$2:$A$210,B975,İndirimler!$B$2:$B$210,C975)),2),"")</f>
        <v/>
      </c>
      <c r="I975" t="str">
        <f>IF(SUMIFS(İndirimler!$D$2:$D$210,İndirimler!$A$2:$A$210,B975,İndirimler!$B$2:$B$210,C975)&gt;0,ROUND(G975*(1-SUMIFS(İndirimler!$D$2:$D$210,İndirimler!$A$2:$A$210,B975,İndirimler!$B$2:$B$210,C975)),2),"")</f>
        <v/>
      </c>
    </row>
    <row r="976" spans="8:9">
      <c r="H976" t="str">
        <f>IF(SUMIFS(İndirimler!$C$2:$C$210,İndirimler!$A$2:$A$210,B976,İndirimler!$B$2:$B$210,C976)&gt;0,ROUND(G976*(1-SUMIFS(İndirimler!$C$2:$C$210,İndirimler!$A$2:$A$210,B976,İndirimler!$B$2:$B$210,C976)),2),"")</f>
        <v/>
      </c>
      <c r="I976" t="str">
        <f>IF(SUMIFS(İndirimler!$D$2:$D$210,İndirimler!$A$2:$A$210,B976,İndirimler!$B$2:$B$210,C976)&gt;0,ROUND(G976*(1-SUMIFS(İndirimler!$D$2:$D$210,İndirimler!$A$2:$A$210,B976,İndirimler!$B$2:$B$210,C976)),2),"")</f>
        <v/>
      </c>
    </row>
    <row r="977" spans="8:9">
      <c r="H977" t="str">
        <f>IF(SUMIFS(İndirimler!$C$2:$C$210,İndirimler!$A$2:$A$210,B977,İndirimler!$B$2:$B$210,C977)&gt;0,ROUND(G977*(1-SUMIFS(İndirimler!$C$2:$C$210,İndirimler!$A$2:$A$210,B977,İndirimler!$B$2:$B$210,C977)),2),"")</f>
        <v/>
      </c>
      <c r="I977" t="str">
        <f>IF(SUMIFS(İndirimler!$D$2:$D$210,İndirimler!$A$2:$A$210,B977,İndirimler!$B$2:$B$210,C977)&gt;0,ROUND(G977*(1-SUMIFS(İndirimler!$D$2:$D$210,İndirimler!$A$2:$A$210,B977,İndirimler!$B$2:$B$210,C977)),2),"")</f>
        <v/>
      </c>
    </row>
    <row r="978" spans="8:9">
      <c r="H978" t="str">
        <f>IF(SUMIFS(İndirimler!$C$2:$C$210,İndirimler!$A$2:$A$210,B978,İndirimler!$B$2:$B$210,C978)&gt;0,ROUND(G978*(1-SUMIFS(İndirimler!$C$2:$C$210,İndirimler!$A$2:$A$210,B978,İndirimler!$B$2:$B$210,C978)),2),"")</f>
        <v/>
      </c>
      <c r="I978" t="str">
        <f>IF(SUMIFS(İndirimler!$D$2:$D$210,İndirimler!$A$2:$A$210,B978,İndirimler!$B$2:$B$210,C978)&gt;0,ROUND(G978*(1-SUMIFS(İndirimler!$D$2:$D$210,İndirimler!$A$2:$A$210,B978,İndirimler!$B$2:$B$210,C978)),2),"")</f>
        <v/>
      </c>
    </row>
    <row r="979" spans="8:9">
      <c r="H979" t="str">
        <f>IF(SUMIFS(İndirimler!$C$2:$C$210,İndirimler!$A$2:$A$210,B979,İndirimler!$B$2:$B$210,C979)&gt;0,ROUND(G979*(1-SUMIFS(İndirimler!$C$2:$C$210,İndirimler!$A$2:$A$210,B979,İndirimler!$B$2:$B$210,C979)),2),"")</f>
        <v/>
      </c>
      <c r="I979" t="str">
        <f>IF(SUMIFS(İndirimler!$D$2:$D$210,İndirimler!$A$2:$A$210,B979,İndirimler!$B$2:$B$210,C979)&gt;0,ROUND(G979*(1-SUMIFS(İndirimler!$D$2:$D$210,İndirimler!$A$2:$A$210,B979,İndirimler!$B$2:$B$210,C979)),2),"")</f>
        <v/>
      </c>
    </row>
    <row r="980" spans="8:9">
      <c r="H980" t="str">
        <f>IF(SUMIFS(İndirimler!$C$2:$C$210,İndirimler!$A$2:$A$210,B980,İndirimler!$B$2:$B$210,C980)&gt;0,ROUND(G980*(1-SUMIFS(İndirimler!$C$2:$C$210,İndirimler!$A$2:$A$210,B980,İndirimler!$B$2:$B$210,C980)),2),"")</f>
        <v/>
      </c>
      <c r="I980" t="str">
        <f>IF(SUMIFS(İndirimler!$D$2:$D$210,İndirimler!$A$2:$A$210,B980,İndirimler!$B$2:$B$210,C980)&gt;0,ROUND(G980*(1-SUMIFS(İndirimler!$D$2:$D$210,İndirimler!$A$2:$A$210,B980,İndirimler!$B$2:$B$210,C980)),2),"")</f>
        <v/>
      </c>
    </row>
    <row r="981" spans="8:9">
      <c r="H981" t="str">
        <f>IF(SUMIFS(İndirimler!$C$2:$C$210,İndirimler!$A$2:$A$210,B981,İndirimler!$B$2:$B$210,C981)&gt;0,ROUND(G981*(1-SUMIFS(İndirimler!$C$2:$C$210,İndirimler!$A$2:$A$210,B981,İndirimler!$B$2:$B$210,C981)),2),"")</f>
        <v/>
      </c>
      <c r="I981" t="str">
        <f>IF(SUMIFS(İndirimler!$D$2:$D$210,İndirimler!$A$2:$A$210,B981,İndirimler!$B$2:$B$210,C981)&gt;0,ROUND(G981*(1-SUMIFS(İndirimler!$D$2:$D$210,İndirimler!$A$2:$A$210,B981,İndirimler!$B$2:$B$210,C981)),2),"")</f>
        <v/>
      </c>
    </row>
    <row r="982" spans="8:9">
      <c r="H982" t="str">
        <f>IF(SUMIFS(İndirimler!$C$2:$C$210,İndirimler!$A$2:$A$210,B982,İndirimler!$B$2:$B$210,C982)&gt;0,ROUND(G982*(1-SUMIFS(İndirimler!$C$2:$C$210,İndirimler!$A$2:$A$210,B982,İndirimler!$B$2:$B$210,C982)),2),"")</f>
        <v/>
      </c>
      <c r="I982" t="str">
        <f>IF(SUMIFS(İndirimler!$D$2:$D$210,İndirimler!$A$2:$A$210,B982,İndirimler!$B$2:$B$210,C982)&gt;0,ROUND(G982*(1-SUMIFS(İndirimler!$D$2:$D$210,İndirimler!$A$2:$A$210,B982,İndirimler!$B$2:$B$210,C982)),2),"")</f>
        <v/>
      </c>
    </row>
    <row r="983" spans="8:9">
      <c r="H983" t="str">
        <f>IF(SUMIFS(İndirimler!$C$2:$C$210,İndirimler!$A$2:$A$210,B983,İndirimler!$B$2:$B$210,C983)&gt;0,ROUND(G983*(1-SUMIFS(İndirimler!$C$2:$C$210,İndirimler!$A$2:$A$210,B983,İndirimler!$B$2:$B$210,C983)),2),"")</f>
        <v/>
      </c>
      <c r="I983" t="str">
        <f>IF(SUMIFS(İndirimler!$D$2:$D$210,İndirimler!$A$2:$A$210,B983,İndirimler!$B$2:$B$210,C983)&gt;0,ROUND(G983*(1-SUMIFS(İndirimler!$D$2:$D$210,İndirimler!$A$2:$A$210,B983,İndirimler!$B$2:$B$210,C983)),2),"")</f>
        <v/>
      </c>
    </row>
    <row r="984" spans="8:9">
      <c r="H984" t="str">
        <f>IF(SUMIFS(İndirimler!$C$2:$C$210,İndirimler!$A$2:$A$210,B984,İndirimler!$B$2:$B$210,C984)&gt;0,ROUND(G984*(1-SUMIFS(İndirimler!$C$2:$C$210,İndirimler!$A$2:$A$210,B984,İndirimler!$B$2:$B$210,C984)),2),"")</f>
        <v/>
      </c>
      <c r="I984" t="str">
        <f>IF(SUMIFS(İndirimler!$D$2:$D$210,İndirimler!$A$2:$A$210,B984,İndirimler!$B$2:$B$210,C984)&gt;0,ROUND(G984*(1-SUMIFS(İndirimler!$D$2:$D$210,İndirimler!$A$2:$A$210,B984,İndirimler!$B$2:$B$210,C984)),2),"")</f>
        <v/>
      </c>
    </row>
    <row r="985" spans="8:9">
      <c r="H985" t="str">
        <f>IF(SUMIFS(İndirimler!$C$2:$C$210,İndirimler!$A$2:$A$210,B985,İndirimler!$B$2:$B$210,C985)&gt;0,ROUND(G985*(1-SUMIFS(İndirimler!$C$2:$C$210,İndirimler!$A$2:$A$210,B985,İndirimler!$B$2:$B$210,C985)),2),"")</f>
        <v/>
      </c>
      <c r="I985" t="str">
        <f>IF(SUMIFS(İndirimler!$D$2:$D$210,İndirimler!$A$2:$A$210,B985,İndirimler!$B$2:$B$210,C985)&gt;0,ROUND(G985*(1-SUMIFS(İndirimler!$D$2:$D$210,İndirimler!$A$2:$A$210,B985,İndirimler!$B$2:$B$210,C985)),2),"")</f>
        <v/>
      </c>
    </row>
    <row r="986" spans="8:9">
      <c r="H986" t="str">
        <f>IF(SUMIFS(İndirimler!$C$2:$C$210,İndirimler!$A$2:$A$210,B986,İndirimler!$B$2:$B$210,C986)&gt;0,ROUND(G986*(1-SUMIFS(İndirimler!$C$2:$C$210,İndirimler!$A$2:$A$210,B986,İndirimler!$B$2:$B$210,C986)),2),"")</f>
        <v/>
      </c>
      <c r="I986" t="str">
        <f>IF(SUMIFS(İndirimler!$D$2:$D$210,İndirimler!$A$2:$A$210,B986,İndirimler!$B$2:$B$210,C986)&gt;0,ROUND(G986*(1-SUMIFS(İndirimler!$D$2:$D$210,İndirimler!$A$2:$A$210,B986,İndirimler!$B$2:$B$210,C986)),2),"")</f>
        <v/>
      </c>
    </row>
    <row r="987" spans="8:9">
      <c r="H987" t="str">
        <f>IF(SUMIFS(İndirimler!$C$2:$C$210,İndirimler!$A$2:$A$210,B987,İndirimler!$B$2:$B$210,C987)&gt;0,ROUND(G987*(1-SUMIFS(İndirimler!$C$2:$C$210,İndirimler!$A$2:$A$210,B987,İndirimler!$B$2:$B$210,C987)),2),"")</f>
        <v/>
      </c>
      <c r="I987" t="str">
        <f>IF(SUMIFS(İndirimler!$D$2:$D$210,İndirimler!$A$2:$A$210,B987,İndirimler!$B$2:$B$210,C987)&gt;0,ROUND(G987*(1-SUMIFS(İndirimler!$D$2:$D$210,İndirimler!$A$2:$A$210,B987,İndirimler!$B$2:$B$210,C987)),2),"")</f>
        <v/>
      </c>
    </row>
  </sheetData>
  <hyperlinks>
    <hyperlink ref="J9" r:id="rId1" xr:uid="{00000000-0004-0000-0000-000000000000}"/>
    <hyperlink ref="J10" r:id="rId2" xr:uid="{00000000-0004-0000-0000-000001000000}"/>
    <hyperlink ref="J17" r:id="rId3" xr:uid="{00000000-0004-0000-0000-000002000000}"/>
    <hyperlink ref="J20" r:id="rId4" xr:uid="{00000000-0004-0000-0000-000003000000}"/>
    <hyperlink ref="J25" r:id="rId5" xr:uid="{00000000-0004-0000-0000-000004000000}"/>
    <hyperlink ref="J32" r:id="rId6" xr:uid="{00000000-0004-0000-0000-000005000000}"/>
    <hyperlink ref="J58" r:id="rId7" xr:uid="{00000000-0004-0000-0000-000006000000}"/>
    <hyperlink ref="J60" r:id="rId8" xr:uid="{00000000-0004-0000-0000-000007000000}"/>
    <hyperlink ref="J61" r:id="rId9" xr:uid="{00000000-0004-0000-0000-000008000000}"/>
    <hyperlink ref="J63" r:id="rId10" xr:uid="{00000000-0004-0000-0000-000009000000}"/>
    <hyperlink ref="J69" r:id="rId11" xr:uid="{00000000-0004-0000-0000-00000A000000}"/>
    <hyperlink ref="J70" r:id="rId12" xr:uid="{00000000-0004-0000-0000-00000B000000}"/>
    <hyperlink ref="J75" r:id="rId13" xr:uid="{00000000-0004-0000-0000-00000C000000}"/>
    <hyperlink ref="J86" r:id="rId14" xr:uid="{00000000-0004-0000-0000-00000D000000}"/>
    <hyperlink ref="J97" r:id="rId15" xr:uid="{00000000-0004-0000-0000-00000E000000}"/>
    <hyperlink ref="J127" r:id="rId16" xr:uid="{00000000-0004-0000-0000-00000F000000}"/>
    <hyperlink ref="J178" r:id="rId17" xr:uid="{00000000-0004-0000-0000-000010000000}"/>
    <hyperlink ref="J180" r:id="rId18" xr:uid="{00000000-0004-0000-0000-000011000000}"/>
    <hyperlink ref="J187" r:id="rId19" xr:uid="{00000000-0004-0000-0000-000012000000}"/>
    <hyperlink ref="J188" r:id="rId20" xr:uid="{00000000-0004-0000-0000-000013000000}"/>
    <hyperlink ref="J193" r:id="rId21" xr:uid="{00000000-0004-0000-0000-000014000000}"/>
    <hyperlink ref="J199" r:id="rId22" xr:uid="{00000000-0004-0000-0000-000015000000}"/>
    <hyperlink ref="J209" r:id="rId23" xr:uid="{00000000-0004-0000-0000-000016000000}"/>
    <hyperlink ref="J256" r:id="rId24" xr:uid="{00000000-0004-0000-0000-000017000000}"/>
    <hyperlink ref="J257" r:id="rId25" xr:uid="{00000000-0004-0000-0000-000018000000}"/>
    <hyperlink ref="J258" r:id="rId26" xr:uid="{00000000-0004-0000-0000-000019000000}"/>
    <hyperlink ref="J261" r:id="rId27" xr:uid="{00000000-0004-0000-0000-00001A000000}"/>
    <hyperlink ref="J265" r:id="rId28" xr:uid="{00000000-0004-0000-0000-00001B000000}"/>
    <hyperlink ref="J266" r:id="rId29" xr:uid="{00000000-0004-0000-0000-00001C000000}"/>
    <hyperlink ref="J269" r:id="rId30" xr:uid="{00000000-0004-0000-0000-00001D000000}"/>
    <hyperlink ref="J275" r:id="rId31" xr:uid="{00000000-0004-0000-0000-00001E000000}"/>
    <hyperlink ref="J285" r:id="rId32" xr:uid="{00000000-0004-0000-0000-00001F000000}"/>
    <hyperlink ref="J303" r:id="rId33" xr:uid="{00000000-0004-0000-0000-000020000000}"/>
    <hyperlink ref="J323" r:id="rId34" xr:uid="{00000000-0004-0000-0000-000021000000}"/>
    <hyperlink ref="J328" r:id="rId35" xr:uid="{00000000-0004-0000-0000-000022000000}"/>
    <hyperlink ref="J331" r:id="rId36" xr:uid="{00000000-0004-0000-0000-000023000000}"/>
    <hyperlink ref="J332" r:id="rId37" xr:uid="{00000000-0004-0000-0000-000024000000}"/>
    <hyperlink ref="J337" r:id="rId38" xr:uid="{00000000-0004-0000-0000-000025000000}"/>
    <hyperlink ref="J342" r:id="rId39" xr:uid="{00000000-0004-0000-0000-000026000000}"/>
    <hyperlink ref="J351" r:id="rId40" xr:uid="{00000000-0004-0000-0000-000027000000}"/>
    <hyperlink ref="J386" r:id="rId41" xr:uid="{00000000-0004-0000-0000-000028000000}"/>
    <hyperlink ref="J392" r:id="rId42" xr:uid="{00000000-0004-0000-0000-000029000000}"/>
    <hyperlink ref="J404" r:id="rId43" xr:uid="{00000000-0004-0000-0000-00002A000000}"/>
    <hyperlink ref="J424" r:id="rId44" xr:uid="{00000000-0004-0000-0000-00002B000000}"/>
    <hyperlink ref="J428" r:id="rId45" xr:uid="{00000000-0004-0000-0000-00002C000000}"/>
    <hyperlink ref="J430" r:id="rId46" xr:uid="{00000000-0004-0000-0000-00002D000000}"/>
    <hyperlink ref="J438" r:id="rId47" xr:uid="{00000000-0004-0000-0000-00002E000000}"/>
    <hyperlink ref="J457" r:id="rId48" xr:uid="{00000000-0004-0000-0000-00002F000000}"/>
    <hyperlink ref="J469" r:id="rId49" xr:uid="{00000000-0004-0000-0000-000030000000}"/>
    <hyperlink ref="J536" r:id="rId50" xr:uid="{09889307-60F5-4747-A45C-D7F760721F1A}"/>
    <hyperlink ref="J535" r:id="rId51" xr:uid="{E7839B6F-D21F-4320-870A-EBE38918564E}"/>
    <hyperlink ref="J533" r:id="rId52" xr:uid="{DE9BB287-A5F7-44C0-87B0-629EFE81C65C}"/>
    <hyperlink ref="J534" r:id="rId53" xr:uid="{3E2FFE86-2EB3-422A-A224-689AD22D251C}"/>
    <hyperlink ref="J532" r:id="rId54" xr:uid="{A5A40469-9630-4494-AA3D-3995AD445FB4}"/>
    <hyperlink ref="J531" r:id="rId55" xr:uid="{423186BC-072B-4B79-910E-95C9D57A9D22}"/>
    <hyperlink ref="J530" r:id="rId56" xr:uid="{C4F0FC62-E67D-4227-B6EC-FCE4D2AF2E29}"/>
    <hyperlink ref="J537" r:id="rId57" xr:uid="{CC18A69F-3019-4377-9524-7BCCBEE01288}"/>
    <hyperlink ref="J538" r:id="rId58" xr:uid="{5772DA47-A421-4AC1-85B3-EEB7346A8F45}"/>
    <hyperlink ref="J539" r:id="rId59" xr:uid="{1C1B8E51-75AE-40A9-9270-709FC26C193D}"/>
    <hyperlink ref="J541" r:id="rId60" xr:uid="{E7458058-C40B-4C83-A630-617AA5E851F5}"/>
    <hyperlink ref="J540" r:id="rId61" xr:uid="{6DD5B95A-1C32-428D-9F22-F5BD62A7BE9A}"/>
    <hyperlink ref="J542" r:id="rId62" xr:uid="{FF7A0BCD-4670-42FB-A725-4B0A26D9B4D8}"/>
    <hyperlink ref="J543" r:id="rId63" xr:uid="{B62B9AB9-E582-4FDC-A04D-D7D86EE675A0}"/>
    <hyperlink ref="J551" r:id="rId64" xr:uid="{743B5F21-B2D3-44CA-B396-08F0908870AD}"/>
    <hyperlink ref="J552" r:id="rId65" xr:uid="{BB614610-FD5F-4B4A-8944-3EDF1F47EE26}"/>
    <hyperlink ref="J553" r:id="rId66" xr:uid="{AAAFCB6A-C8CC-4D08-84CB-47952DDED02D}"/>
    <hyperlink ref="J154" r:id="rId67" xr:uid="{502CCAF3-2CC3-43A9-B1FF-E3B8D800DD4C}"/>
    <hyperlink ref="J157" r:id="rId68" xr:uid="{BA94BFB8-55D6-44C8-B77B-80FB8B2643ED}"/>
    <hyperlink ref="J171" r:id="rId69" xr:uid="{86DBFC4B-911B-4242-9EB7-E8C10338ADB1}"/>
    <hyperlink ref="J160" r:id="rId70" xr:uid="{CE6A0375-7BDC-4180-AE4A-33264DCD0170}"/>
    <hyperlink ref="J159" r:id="rId71" xr:uid="{A9CB898E-9F06-445B-BE52-37D8443FCE01}"/>
    <hyperlink ref="J339" r:id="rId72" xr:uid="{B9DF440D-A52C-4128-A7CF-72824C2C9CAB}"/>
    <hyperlink ref="J358" r:id="rId73" xr:uid="{74CFDAB9-F549-493B-A452-C0A44F621569}"/>
    <hyperlink ref="J382" r:id="rId74" xr:uid="{FF2B068A-B8A7-4C8C-A1B0-142343568B8E}"/>
    <hyperlink ref="J379" r:id="rId75" xr:uid="{83288591-5E49-4FE5-B3C3-B9F63E30FDB6}"/>
    <hyperlink ref="J383" r:id="rId76" xr:uid="{4E63E6BE-8FD6-4213-8159-76327A211C3D}"/>
  </hyperlinks>
  <pageMargins left="0.7" right="0.7" top="0.75" bottom="0.75" header="0.3" footer="0.3"/>
  <tableParts count="1">
    <tablePart r:id="rId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8"/>
  <sheetViews>
    <sheetView showGridLines="0" topLeftCell="A88" workbookViewId="0">
      <selection activeCell="F98" sqref="F98"/>
    </sheetView>
  </sheetViews>
  <sheetFormatPr defaultRowHeight="14.25"/>
  <cols>
    <col min="1" max="1" width="23.375" customWidth="1"/>
    <col min="2" max="2" width="9.625" customWidth="1"/>
    <col min="3" max="3" width="14" customWidth="1"/>
    <col min="4" max="4" width="14.75" bestFit="1" customWidth="1"/>
  </cols>
  <sheetData>
    <row r="1" spans="1:4" ht="15">
      <c r="A1" s="2" t="s">
        <v>1</v>
      </c>
      <c r="B1" s="2" t="s">
        <v>2</v>
      </c>
      <c r="C1" s="2" t="s">
        <v>788</v>
      </c>
      <c r="D1" s="2" t="s">
        <v>789</v>
      </c>
    </row>
    <row r="2" spans="1:4">
      <c r="A2" s="3" t="s">
        <v>55</v>
      </c>
      <c r="B2" s="3" t="s">
        <v>76</v>
      </c>
      <c r="C2" s="6">
        <v>0.15</v>
      </c>
      <c r="D2" s="6">
        <v>0.3</v>
      </c>
    </row>
    <row r="3" spans="1:4">
      <c r="A3" s="4" t="s">
        <v>55</v>
      </c>
      <c r="B3" s="4" t="s">
        <v>101</v>
      </c>
      <c r="C3" s="7">
        <v>0.15</v>
      </c>
      <c r="D3" s="7">
        <v>0.3</v>
      </c>
    </row>
    <row r="4" spans="1:4">
      <c r="A4" s="4" t="s">
        <v>55</v>
      </c>
      <c r="B4" s="4" t="s">
        <v>33</v>
      </c>
      <c r="C4" s="6">
        <v>0.15</v>
      </c>
      <c r="D4" s="6">
        <v>0.3</v>
      </c>
    </row>
    <row r="5" spans="1:4">
      <c r="A5" s="4" t="s">
        <v>119</v>
      </c>
      <c r="B5" s="4" t="s">
        <v>76</v>
      </c>
      <c r="C5" s="7">
        <v>0.15</v>
      </c>
      <c r="D5" s="7">
        <v>0.3</v>
      </c>
    </row>
    <row r="6" spans="1:4">
      <c r="A6" s="4" t="s">
        <v>119</v>
      </c>
      <c r="B6" s="4" t="s">
        <v>101</v>
      </c>
      <c r="C6" s="6">
        <v>0.15</v>
      </c>
      <c r="D6" s="6">
        <v>0.3</v>
      </c>
    </row>
    <row r="7" spans="1:4">
      <c r="A7" s="4" t="s">
        <v>119</v>
      </c>
      <c r="B7" s="4" t="s">
        <v>245</v>
      </c>
      <c r="C7" s="7">
        <v>0.15</v>
      </c>
      <c r="D7" s="7">
        <v>0.3</v>
      </c>
    </row>
    <row r="8" spans="1:4">
      <c r="A8" s="4" t="s">
        <v>119</v>
      </c>
      <c r="B8" s="4" t="s">
        <v>33</v>
      </c>
      <c r="C8" s="6">
        <v>0.15</v>
      </c>
      <c r="D8" s="6">
        <v>0.3</v>
      </c>
    </row>
    <row r="9" spans="1:4">
      <c r="A9" s="4" t="s">
        <v>119</v>
      </c>
      <c r="B9" s="4" t="s">
        <v>13</v>
      </c>
      <c r="C9" s="7">
        <v>0.15</v>
      </c>
      <c r="D9" s="7">
        <v>0.3</v>
      </c>
    </row>
    <row r="10" spans="1:4">
      <c r="A10" s="4" t="s">
        <v>123</v>
      </c>
      <c r="B10" s="4" t="s">
        <v>76</v>
      </c>
      <c r="C10" s="6">
        <v>0.15</v>
      </c>
      <c r="D10" s="6">
        <v>0.3</v>
      </c>
    </row>
    <row r="11" spans="1:4">
      <c r="A11" s="4" t="s">
        <v>123</v>
      </c>
      <c r="B11" s="4" t="s">
        <v>101</v>
      </c>
      <c r="C11" s="7">
        <v>0.15</v>
      </c>
      <c r="D11" s="7">
        <v>0.3</v>
      </c>
    </row>
    <row r="12" spans="1:4">
      <c r="A12" s="4" t="s">
        <v>123</v>
      </c>
      <c r="B12" s="4" t="s">
        <v>33</v>
      </c>
      <c r="C12" s="6">
        <v>0.15</v>
      </c>
      <c r="D12" s="6">
        <v>0.3</v>
      </c>
    </row>
    <row r="13" spans="1:4">
      <c r="A13" s="4" t="s">
        <v>123</v>
      </c>
      <c r="B13" s="4" t="s">
        <v>13</v>
      </c>
      <c r="C13" s="7">
        <v>0.15</v>
      </c>
      <c r="D13" s="7">
        <v>0.3</v>
      </c>
    </row>
    <row r="14" spans="1:4">
      <c r="A14" s="4" t="s">
        <v>778</v>
      </c>
      <c r="B14" s="4" t="s">
        <v>76</v>
      </c>
      <c r="C14" s="6">
        <v>0.15</v>
      </c>
      <c r="D14" s="6">
        <v>0.3</v>
      </c>
    </row>
    <row r="15" spans="1:4">
      <c r="A15" s="4" t="s">
        <v>778</v>
      </c>
      <c r="B15" s="4" t="s">
        <v>33</v>
      </c>
      <c r="C15" s="7">
        <v>0.15</v>
      </c>
      <c r="D15" s="7">
        <v>0.3</v>
      </c>
    </row>
    <row r="16" spans="1:4">
      <c r="A16" s="4" t="s">
        <v>12</v>
      </c>
      <c r="B16" s="4" t="s">
        <v>13</v>
      </c>
      <c r="C16" s="6">
        <v>0.15</v>
      </c>
      <c r="D16" s="6">
        <v>0.3</v>
      </c>
    </row>
    <row r="17" spans="1:4">
      <c r="A17" s="4" t="s">
        <v>137</v>
      </c>
      <c r="B17" s="4" t="s">
        <v>76</v>
      </c>
      <c r="C17" s="7">
        <v>0.15</v>
      </c>
      <c r="D17" s="7">
        <v>0.3</v>
      </c>
    </row>
    <row r="18" spans="1:4">
      <c r="A18" s="4" t="s">
        <v>137</v>
      </c>
      <c r="B18" s="4" t="s">
        <v>101</v>
      </c>
      <c r="C18" s="6">
        <v>0.15</v>
      </c>
      <c r="D18" s="6">
        <v>0.3</v>
      </c>
    </row>
    <row r="19" spans="1:4">
      <c r="A19" s="4" t="s">
        <v>137</v>
      </c>
      <c r="B19" s="4" t="s">
        <v>245</v>
      </c>
      <c r="C19" s="7">
        <v>0.15</v>
      </c>
      <c r="D19" s="7">
        <v>0.3</v>
      </c>
    </row>
    <row r="20" spans="1:4">
      <c r="A20" s="4" t="s">
        <v>137</v>
      </c>
      <c r="B20" s="4" t="s">
        <v>33</v>
      </c>
      <c r="C20" s="6">
        <v>0.15</v>
      </c>
      <c r="D20" s="6">
        <v>0.3</v>
      </c>
    </row>
    <row r="21" spans="1:4">
      <c r="A21" s="4" t="s">
        <v>137</v>
      </c>
      <c r="B21" s="4" t="s">
        <v>13</v>
      </c>
      <c r="C21" s="7">
        <v>0.15</v>
      </c>
      <c r="D21" s="7">
        <v>0.3</v>
      </c>
    </row>
    <row r="22" spans="1:4">
      <c r="A22" s="4" t="s">
        <v>642</v>
      </c>
      <c r="B22" s="4" t="s">
        <v>76</v>
      </c>
      <c r="C22" s="6">
        <v>0.15</v>
      </c>
      <c r="D22" s="6">
        <v>0.3</v>
      </c>
    </row>
    <row r="23" spans="1:4">
      <c r="A23" s="4" t="s">
        <v>642</v>
      </c>
      <c r="B23" s="4" t="s">
        <v>101</v>
      </c>
      <c r="C23" s="7">
        <v>0.15</v>
      </c>
      <c r="D23" s="7">
        <v>0.3</v>
      </c>
    </row>
    <row r="24" spans="1:4">
      <c r="A24" s="4" t="s">
        <v>642</v>
      </c>
      <c r="B24" s="4" t="s">
        <v>33</v>
      </c>
      <c r="C24" s="6">
        <v>0.15</v>
      </c>
      <c r="D24" s="6">
        <v>0.3</v>
      </c>
    </row>
    <row r="25" spans="1:4">
      <c r="A25" s="4" t="s">
        <v>18</v>
      </c>
      <c r="B25" s="4" t="s">
        <v>76</v>
      </c>
      <c r="C25" s="7">
        <v>0.15</v>
      </c>
      <c r="D25" s="7">
        <v>0.3</v>
      </c>
    </row>
    <row r="26" spans="1:4">
      <c r="A26" s="4" t="s">
        <v>18</v>
      </c>
      <c r="B26" s="4" t="s">
        <v>101</v>
      </c>
      <c r="C26" s="6">
        <v>0.15</v>
      </c>
      <c r="D26" s="6">
        <v>0.3</v>
      </c>
    </row>
    <row r="27" spans="1:4">
      <c r="A27" s="4" t="s">
        <v>18</v>
      </c>
      <c r="B27" s="4" t="s">
        <v>33</v>
      </c>
      <c r="C27" s="7">
        <v>0.15</v>
      </c>
      <c r="D27" s="7">
        <v>0.3</v>
      </c>
    </row>
    <row r="28" spans="1:4">
      <c r="A28" s="4" t="s">
        <v>18</v>
      </c>
      <c r="B28" s="4" t="s">
        <v>13</v>
      </c>
      <c r="C28" s="6">
        <v>0.15</v>
      </c>
      <c r="D28" s="6">
        <v>0.3</v>
      </c>
    </row>
    <row r="29" spans="1:4">
      <c r="A29" s="4" t="s">
        <v>533</v>
      </c>
      <c r="B29" s="4" t="s">
        <v>76</v>
      </c>
      <c r="C29" s="7">
        <v>0.15</v>
      </c>
      <c r="D29" s="7">
        <v>0.3</v>
      </c>
    </row>
    <row r="30" spans="1:4">
      <c r="A30" s="4" t="s">
        <v>533</v>
      </c>
      <c r="B30" s="4" t="s">
        <v>101</v>
      </c>
      <c r="C30" s="6">
        <v>0.15</v>
      </c>
      <c r="D30" s="6">
        <v>0.3</v>
      </c>
    </row>
    <row r="31" spans="1:4">
      <c r="A31" s="4" t="s">
        <v>533</v>
      </c>
      <c r="B31" s="4" t="s">
        <v>33</v>
      </c>
      <c r="C31" s="7">
        <v>0.15</v>
      </c>
      <c r="D31" s="7">
        <v>0.3</v>
      </c>
    </row>
    <row r="32" spans="1:4">
      <c r="A32" s="4" t="s">
        <v>533</v>
      </c>
      <c r="B32" s="4" t="s">
        <v>13</v>
      </c>
      <c r="C32" s="6">
        <v>0.15</v>
      </c>
      <c r="D32" s="6">
        <v>0.3</v>
      </c>
    </row>
    <row r="33" spans="1:4">
      <c r="A33" s="4" t="s">
        <v>696</v>
      </c>
      <c r="B33" s="4" t="s">
        <v>76</v>
      </c>
      <c r="C33" s="7">
        <v>0.15</v>
      </c>
      <c r="D33" s="7">
        <v>0.3</v>
      </c>
    </row>
    <row r="34" spans="1:4">
      <c r="A34" s="4" t="s">
        <v>696</v>
      </c>
      <c r="B34" s="4" t="s">
        <v>101</v>
      </c>
      <c r="C34" s="6">
        <v>0.15</v>
      </c>
      <c r="D34" s="6">
        <v>0.3</v>
      </c>
    </row>
    <row r="35" spans="1:4">
      <c r="A35" s="4" t="s">
        <v>696</v>
      </c>
      <c r="B35" s="4" t="s">
        <v>33</v>
      </c>
      <c r="C35" s="7">
        <v>0.15</v>
      </c>
      <c r="D35" s="7">
        <v>0.3</v>
      </c>
    </row>
    <row r="36" spans="1:4">
      <c r="A36" s="4" t="s">
        <v>696</v>
      </c>
      <c r="B36" s="4" t="s">
        <v>13</v>
      </c>
      <c r="C36" s="6">
        <v>0.15</v>
      </c>
      <c r="D36" s="6">
        <v>0.3</v>
      </c>
    </row>
    <row r="37" spans="1:4">
      <c r="A37" s="4" t="s">
        <v>38</v>
      </c>
      <c r="B37" s="4" t="s">
        <v>76</v>
      </c>
      <c r="C37" s="7">
        <v>0.15</v>
      </c>
      <c r="D37" s="7">
        <v>0.3</v>
      </c>
    </row>
    <row r="38" spans="1:4">
      <c r="A38" s="4" t="s">
        <v>38</v>
      </c>
      <c r="B38" s="4" t="s">
        <v>101</v>
      </c>
      <c r="C38" s="6">
        <v>0.15</v>
      </c>
      <c r="D38" s="6">
        <v>0.3</v>
      </c>
    </row>
    <row r="39" spans="1:4">
      <c r="A39" s="4" t="s">
        <v>38</v>
      </c>
      <c r="B39" s="4" t="s">
        <v>245</v>
      </c>
      <c r="C39" s="7">
        <v>0.15</v>
      </c>
      <c r="D39" s="7">
        <v>0.3</v>
      </c>
    </row>
    <row r="40" spans="1:4">
      <c r="A40" s="4" t="s">
        <v>38</v>
      </c>
      <c r="B40" s="4" t="s">
        <v>33</v>
      </c>
      <c r="C40" s="6">
        <v>0.15</v>
      </c>
      <c r="D40" s="6">
        <v>0.3</v>
      </c>
    </row>
    <row r="41" spans="1:4">
      <c r="A41" s="4" t="s">
        <v>38</v>
      </c>
      <c r="B41" s="4" t="s">
        <v>13</v>
      </c>
      <c r="C41" s="7">
        <v>0.15</v>
      </c>
      <c r="D41" s="7">
        <v>0.3</v>
      </c>
    </row>
    <row r="42" spans="1:4">
      <c r="A42" s="4" t="s">
        <v>21</v>
      </c>
      <c r="B42" s="4" t="s">
        <v>13</v>
      </c>
      <c r="C42" s="6">
        <v>0.15</v>
      </c>
      <c r="D42" s="6">
        <v>0.3</v>
      </c>
    </row>
    <row r="43" spans="1:4">
      <c r="A43" s="4" t="s">
        <v>330</v>
      </c>
      <c r="B43" s="4" t="s">
        <v>76</v>
      </c>
      <c r="C43" s="7">
        <v>0.15</v>
      </c>
      <c r="D43" s="7">
        <v>0.3</v>
      </c>
    </row>
    <row r="44" spans="1:4">
      <c r="A44" s="4" t="s">
        <v>330</v>
      </c>
      <c r="B44" s="4" t="s">
        <v>101</v>
      </c>
      <c r="C44" s="6">
        <v>0.15</v>
      </c>
      <c r="D44" s="6">
        <v>0.3</v>
      </c>
    </row>
    <row r="45" spans="1:4">
      <c r="A45" s="4" t="s">
        <v>330</v>
      </c>
      <c r="B45" s="4" t="s">
        <v>33</v>
      </c>
      <c r="C45" s="7">
        <v>0.15</v>
      </c>
      <c r="D45" s="7">
        <v>0.3</v>
      </c>
    </row>
    <row r="46" spans="1:4">
      <c r="A46" s="4" t="s">
        <v>330</v>
      </c>
      <c r="B46" s="4" t="s">
        <v>13</v>
      </c>
      <c r="C46" s="6">
        <v>0.15</v>
      </c>
      <c r="D46" s="6">
        <v>0.3</v>
      </c>
    </row>
    <row r="47" spans="1:4">
      <c r="A47" s="4" t="s">
        <v>44</v>
      </c>
      <c r="B47" s="4" t="s">
        <v>76</v>
      </c>
      <c r="C47" s="7">
        <v>0.15</v>
      </c>
      <c r="D47" s="7">
        <v>0.3</v>
      </c>
    </row>
    <row r="48" spans="1:4">
      <c r="A48" s="4" t="s">
        <v>44</v>
      </c>
      <c r="B48" s="4" t="s">
        <v>33</v>
      </c>
      <c r="C48" s="6">
        <v>0.15</v>
      </c>
      <c r="D48" s="6">
        <v>0.3</v>
      </c>
    </row>
    <row r="49" spans="1:4">
      <c r="A49" s="4" t="s">
        <v>72</v>
      </c>
      <c r="B49" s="4" t="s">
        <v>76</v>
      </c>
      <c r="C49" s="7">
        <v>0.15</v>
      </c>
      <c r="D49" s="7">
        <v>0.3</v>
      </c>
    </row>
    <row r="50" spans="1:4">
      <c r="A50" s="4" t="s">
        <v>72</v>
      </c>
      <c r="B50" s="4" t="s">
        <v>101</v>
      </c>
      <c r="C50" s="6">
        <v>0.15</v>
      </c>
      <c r="D50" s="6">
        <v>0.3</v>
      </c>
    </row>
    <row r="51" spans="1:4">
      <c r="A51" s="4" t="s">
        <v>72</v>
      </c>
      <c r="B51" s="4" t="s">
        <v>33</v>
      </c>
      <c r="C51" s="7">
        <v>0.15</v>
      </c>
      <c r="D51" s="7">
        <v>0.3</v>
      </c>
    </row>
    <row r="52" spans="1:4">
      <c r="A52" s="4" t="s">
        <v>225</v>
      </c>
      <c r="B52" s="4" t="s">
        <v>101</v>
      </c>
      <c r="C52" s="6">
        <v>0.15</v>
      </c>
      <c r="D52" s="6">
        <v>0.3</v>
      </c>
    </row>
    <row r="53" spans="1:4">
      <c r="A53" s="4" t="s">
        <v>303</v>
      </c>
      <c r="B53" s="4" t="s">
        <v>76</v>
      </c>
      <c r="C53" s="7">
        <v>0.15</v>
      </c>
      <c r="D53" s="7">
        <v>0.3</v>
      </c>
    </row>
    <row r="54" spans="1:4">
      <c r="A54" s="4" t="s">
        <v>303</v>
      </c>
      <c r="B54" s="4" t="s">
        <v>101</v>
      </c>
      <c r="C54" s="6">
        <v>0.15</v>
      </c>
      <c r="D54" s="6">
        <v>0.3</v>
      </c>
    </row>
    <row r="55" spans="1:4">
      <c r="A55" s="4" t="s">
        <v>303</v>
      </c>
      <c r="B55" s="4" t="s">
        <v>33</v>
      </c>
      <c r="C55" s="7">
        <v>0.15</v>
      </c>
      <c r="D55" s="7">
        <v>0.3</v>
      </c>
    </row>
    <row r="56" spans="1:4">
      <c r="A56" s="4" t="s">
        <v>303</v>
      </c>
      <c r="B56" s="4" t="s">
        <v>13</v>
      </c>
      <c r="C56" s="6">
        <v>0.15</v>
      </c>
      <c r="D56" s="6">
        <v>0.3</v>
      </c>
    </row>
    <row r="57" spans="1:4">
      <c r="A57" s="4" t="s">
        <v>165</v>
      </c>
      <c r="B57" s="4" t="s">
        <v>76</v>
      </c>
      <c r="C57" s="7">
        <v>0.15</v>
      </c>
      <c r="D57" s="7">
        <v>0.3</v>
      </c>
    </row>
    <row r="58" spans="1:4">
      <c r="A58" s="4" t="s">
        <v>165</v>
      </c>
      <c r="B58" s="4" t="s">
        <v>101</v>
      </c>
      <c r="C58" s="6">
        <v>0.15</v>
      </c>
      <c r="D58" s="6">
        <v>0.3</v>
      </c>
    </row>
    <row r="59" spans="1:4">
      <c r="A59" s="4" t="s">
        <v>165</v>
      </c>
      <c r="B59" s="4" t="s">
        <v>33</v>
      </c>
      <c r="C59" s="7">
        <v>0.15</v>
      </c>
      <c r="D59" s="7">
        <v>0.3</v>
      </c>
    </row>
    <row r="60" spans="1:4">
      <c r="A60" s="4" t="s">
        <v>165</v>
      </c>
      <c r="B60" s="4" t="s">
        <v>13</v>
      </c>
      <c r="C60" s="6">
        <v>0.15</v>
      </c>
      <c r="D60" s="6">
        <v>0.3</v>
      </c>
    </row>
    <row r="61" spans="1:4">
      <c r="A61" s="4" t="s">
        <v>63</v>
      </c>
      <c r="B61" s="4" t="s">
        <v>76</v>
      </c>
      <c r="C61" s="7">
        <v>0.15</v>
      </c>
      <c r="D61" s="7">
        <v>0.3</v>
      </c>
    </row>
    <row r="62" spans="1:4">
      <c r="A62" s="4" t="s">
        <v>63</v>
      </c>
      <c r="B62" s="4" t="s">
        <v>101</v>
      </c>
      <c r="C62" s="6">
        <v>0.15</v>
      </c>
      <c r="D62" s="6">
        <v>0.3</v>
      </c>
    </row>
    <row r="63" spans="1:4">
      <c r="A63" s="4" t="s">
        <v>63</v>
      </c>
      <c r="B63" s="4" t="s">
        <v>33</v>
      </c>
      <c r="C63" s="7">
        <v>0.15</v>
      </c>
      <c r="D63" s="7">
        <v>0.3</v>
      </c>
    </row>
    <row r="64" spans="1:4">
      <c r="A64" s="4" t="s">
        <v>63</v>
      </c>
      <c r="B64" s="4" t="s">
        <v>13</v>
      </c>
      <c r="C64" s="6">
        <v>0.15</v>
      </c>
      <c r="D64" s="6">
        <v>0.3</v>
      </c>
    </row>
    <row r="65" spans="1:4">
      <c r="A65" s="4" t="s">
        <v>23</v>
      </c>
      <c r="B65" s="4" t="s">
        <v>76</v>
      </c>
      <c r="C65" s="7">
        <v>0.15</v>
      </c>
      <c r="D65" s="7">
        <v>0.3</v>
      </c>
    </row>
    <row r="66" spans="1:4">
      <c r="A66" s="4" t="s">
        <v>23</v>
      </c>
      <c r="B66" s="4" t="s">
        <v>101</v>
      </c>
      <c r="C66" s="6">
        <v>0.15</v>
      </c>
      <c r="D66" s="6">
        <v>0.3</v>
      </c>
    </row>
    <row r="67" spans="1:4">
      <c r="A67" s="4" t="s">
        <v>23</v>
      </c>
      <c r="B67" s="4" t="s">
        <v>33</v>
      </c>
      <c r="C67" s="7">
        <v>0.15</v>
      </c>
      <c r="D67" s="7">
        <v>0.3</v>
      </c>
    </row>
    <row r="68" spans="1:4">
      <c r="A68" s="4" t="s">
        <v>23</v>
      </c>
      <c r="B68" s="4" t="s">
        <v>13</v>
      </c>
      <c r="C68" s="6">
        <v>0.15</v>
      </c>
      <c r="D68" s="6">
        <v>0.3</v>
      </c>
    </row>
    <row r="69" spans="1:4">
      <c r="A69" s="4" t="s">
        <v>25</v>
      </c>
      <c r="B69" s="4" t="s">
        <v>76</v>
      </c>
      <c r="C69" s="7">
        <v>0.15</v>
      </c>
      <c r="D69" s="7">
        <v>0.3</v>
      </c>
    </row>
    <row r="70" spans="1:4">
      <c r="A70" s="4" t="s">
        <v>25</v>
      </c>
      <c r="B70" s="4" t="s">
        <v>101</v>
      </c>
      <c r="C70" s="6">
        <v>0.15</v>
      </c>
      <c r="D70" s="6">
        <v>0.3</v>
      </c>
    </row>
    <row r="71" spans="1:4">
      <c r="A71" s="4" t="s">
        <v>25</v>
      </c>
      <c r="B71" s="4" t="s">
        <v>245</v>
      </c>
      <c r="C71" s="7">
        <v>0.15</v>
      </c>
      <c r="D71" s="7">
        <v>0.3</v>
      </c>
    </row>
    <row r="72" spans="1:4">
      <c r="A72" s="4" t="s">
        <v>25</v>
      </c>
      <c r="B72" s="4" t="s">
        <v>33</v>
      </c>
      <c r="C72" s="6">
        <v>0.15</v>
      </c>
      <c r="D72" s="6">
        <v>0.3</v>
      </c>
    </row>
    <row r="73" spans="1:4">
      <c r="A73" s="4" t="s">
        <v>25</v>
      </c>
      <c r="B73" s="4" t="s">
        <v>13</v>
      </c>
      <c r="C73" s="7">
        <v>0.15</v>
      </c>
      <c r="D73" s="7">
        <v>0.3</v>
      </c>
    </row>
    <row r="74" spans="1:4">
      <c r="A74" s="4" t="s">
        <v>50</v>
      </c>
      <c r="B74" s="4" t="s">
        <v>76</v>
      </c>
      <c r="C74" s="6">
        <v>0.15</v>
      </c>
      <c r="D74" s="6">
        <v>0.3</v>
      </c>
    </row>
    <row r="75" spans="1:4">
      <c r="A75" s="4" t="s">
        <v>50</v>
      </c>
      <c r="B75" s="4" t="s">
        <v>101</v>
      </c>
      <c r="C75" s="7">
        <v>0.15</v>
      </c>
      <c r="D75" s="7">
        <v>0.3</v>
      </c>
    </row>
    <row r="76" spans="1:4">
      <c r="A76" s="4" t="s">
        <v>50</v>
      </c>
      <c r="B76" s="4" t="s">
        <v>245</v>
      </c>
      <c r="C76" s="6">
        <v>0.15</v>
      </c>
      <c r="D76" s="6">
        <v>0.3</v>
      </c>
    </row>
    <row r="77" spans="1:4">
      <c r="A77" s="4" t="s">
        <v>50</v>
      </c>
      <c r="B77" s="4" t="s">
        <v>33</v>
      </c>
      <c r="C77" s="7">
        <v>0.15</v>
      </c>
      <c r="D77" s="7">
        <v>0.3</v>
      </c>
    </row>
    <row r="78" spans="1:4">
      <c r="A78" s="4" t="s">
        <v>50</v>
      </c>
      <c r="B78" s="4" t="s">
        <v>13</v>
      </c>
      <c r="C78" s="6">
        <v>0.15</v>
      </c>
      <c r="D78" s="6">
        <v>0.3</v>
      </c>
    </row>
    <row r="79" spans="1:4">
      <c r="A79" s="4" t="s">
        <v>438</v>
      </c>
      <c r="B79" s="4" t="s">
        <v>76</v>
      </c>
      <c r="C79" s="7">
        <v>0.15</v>
      </c>
      <c r="D79" s="7">
        <v>0.3</v>
      </c>
    </row>
    <row r="80" spans="1:4">
      <c r="A80" s="4" t="s">
        <v>438</v>
      </c>
      <c r="B80" s="4" t="s">
        <v>101</v>
      </c>
      <c r="C80" s="6">
        <v>0.15</v>
      </c>
      <c r="D80" s="6">
        <v>0.3</v>
      </c>
    </row>
    <row r="81" spans="1:4">
      <c r="A81" s="4" t="s">
        <v>438</v>
      </c>
      <c r="B81" s="4" t="s">
        <v>33</v>
      </c>
      <c r="C81" s="7">
        <v>0.15</v>
      </c>
      <c r="D81" s="7">
        <v>0.3</v>
      </c>
    </row>
    <row r="82" spans="1:4">
      <c r="A82" s="4" t="s">
        <v>438</v>
      </c>
      <c r="B82" s="4" t="s">
        <v>13</v>
      </c>
      <c r="C82" s="6">
        <v>0.15</v>
      </c>
      <c r="D82" s="6">
        <v>0.3</v>
      </c>
    </row>
    <row r="83" spans="1:4">
      <c r="A83" s="4" t="s">
        <v>421</v>
      </c>
      <c r="B83" s="4" t="s">
        <v>76</v>
      </c>
      <c r="C83" s="7">
        <v>0.15</v>
      </c>
      <c r="D83" s="7">
        <v>0.3</v>
      </c>
    </row>
    <row r="84" spans="1:4">
      <c r="A84" s="4" t="s">
        <v>421</v>
      </c>
      <c r="B84" s="4" t="s">
        <v>101</v>
      </c>
      <c r="C84" s="6">
        <v>0.15</v>
      </c>
      <c r="D84" s="6">
        <v>0.3</v>
      </c>
    </row>
    <row r="85" spans="1:4">
      <c r="A85" s="4" t="s">
        <v>421</v>
      </c>
      <c r="B85" s="4" t="s">
        <v>245</v>
      </c>
      <c r="C85" s="7">
        <v>0.15</v>
      </c>
      <c r="D85" s="7">
        <v>0.3</v>
      </c>
    </row>
    <row r="86" spans="1:4">
      <c r="A86" s="4" t="s">
        <v>421</v>
      </c>
      <c r="B86" s="4" t="s">
        <v>33</v>
      </c>
      <c r="C86" s="6">
        <v>0.15</v>
      </c>
      <c r="D86" s="6">
        <v>0.3</v>
      </c>
    </row>
    <row r="87" spans="1:4">
      <c r="A87" s="4" t="s">
        <v>421</v>
      </c>
      <c r="B87" s="4" t="s">
        <v>13</v>
      </c>
      <c r="C87" s="7">
        <v>0.15</v>
      </c>
      <c r="D87" s="7">
        <v>0.3</v>
      </c>
    </row>
    <row r="88" spans="1:4">
      <c r="A88" s="4" t="s">
        <v>894</v>
      </c>
      <c r="B88" s="4" t="s">
        <v>76</v>
      </c>
      <c r="C88" s="6">
        <v>0.15</v>
      </c>
      <c r="D88" s="6">
        <v>0.3</v>
      </c>
    </row>
    <row r="89" spans="1:4">
      <c r="A89" s="4" t="s">
        <v>894</v>
      </c>
      <c r="B89" s="4" t="s">
        <v>101</v>
      </c>
      <c r="C89" s="7">
        <v>0.15</v>
      </c>
      <c r="D89" s="7">
        <v>0.3</v>
      </c>
    </row>
    <row r="90" spans="1:4">
      <c r="A90" s="4" t="s">
        <v>894</v>
      </c>
      <c r="B90" s="4" t="s">
        <v>245</v>
      </c>
      <c r="C90" s="6">
        <v>0.15</v>
      </c>
      <c r="D90" s="6">
        <v>0.3</v>
      </c>
    </row>
    <row r="91" spans="1:4">
      <c r="A91" s="4" t="s">
        <v>894</v>
      </c>
      <c r="B91" s="4" t="s">
        <v>33</v>
      </c>
      <c r="C91" s="7">
        <v>0.15</v>
      </c>
      <c r="D91" s="7">
        <v>0.3</v>
      </c>
    </row>
    <row r="92" spans="1:4">
      <c r="A92" s="4" t="s">
        <v>894</v>
      </c>
      <c r="B92" s="4" t="s">
        <v>13</v>
      </c>
      <c r="C92" s="6">
        <v>0.15</v>
      </c>
      <c r="D92" s="6">
        <v>0.3</v>
      </c>
    </row>
    <row r="93" spans="1:4">
      <c r="A93" s="4" t="s">
        <v>322</v>
      </c>
      <c r="B93" s="4" t="s">
        <v>76</v>
      </c>
      <c r="C93" s="7">
        <v>0.15</v>
      </c>
      <c r="D93" s="7">
        <v>0.3</v>
      </c>
    </row>
    <row r="94" spans="1:4">
      <c r="A94" s="4" t="s">
        <v>322</v>
      </c>
      <c r="B94" s="4" t="s">
        <v>245</v>
      </c>
      <c r="C94" s="6">
        <v>0.15</v>
      </c>
      <c r="D94" s="6">
        <v>0.3</v>
      </c>
    </row>
    <row r="95" spans="1:4">
      <c r="A95" s="4" t="s">
        <v>322</v>
      </c>
      <c r="B95" s="4" t="s">
        <v>33</v>
      </c>
      <c r="C95" s="7">
        <v>0.15</v>
      </c>
      <c r="D95" s="7">
        <v>0.3</v>
      </c>
    </row>
    <row r="96" spans="1:4">
      <c r="A96" s="4" t="s">
        <v>285</v>
      </c>
      <c r="B96" s="4" t="s">
        <v>13</v>
      </c>
      <c r="C96" s="6">
        <v>0</v>
      </c>
      <c r="D96" s="6">
        <v>0</v>
      </c>
    </row>
    <row r="97" spans="1:4">
      <c r="A97" s="4" t="s">
        <v>563</v>
      </c>
      <c r="B97" s="4" t="s">
        <v>76</v>
      </c>
      <c r="C97" s="7">
        <v>0.15</v>
      </c>
      <c r="D97" s="7">
        <v>0.3</v>
      </c>
    </row>
    <row r="98" spans="1:4">
      <c r="A98" s="4" t="s">
        <v>563</v>
      </c>
      <c r="B98" s="4" t="s">
        <v>101</v>
      </c>
      <c r="C98" s="6">
        <v>0.15</v>
      </c>
      <c r="D98" s="6">
        <v>0.3</v>
      </c>
    </row>
    <row r="99" spans="1:4">
      <c r="A99" s="4" t="s">
        <v>563</v>
      </c>
      <c r="B99" s="4" t="s">
        <v>33</v>
      </c>
      <c r="C99" s="7">
        <v>0.15</v>
      </c>
      <c r="D99" s="7">
        <v>0.3</v>
      </c>
    </row>
    <row r="100" spans="1:4">
      <c r="A100" s="4" t="s">
        <v>53</v>
      </c>
      <c r="B100" s="4" t="s">
        <v>76</v>
      </c>
      <c r="C100" s="6">
        <v>0.15</v>
      </c>
      <c r="D100" s="6">
        <v>0.3</v>
      </c>
    </row>
    <row r="101" spans="1:4">
      <c r="A101" s="4" t="s">
        <v>53</v>
      </c>
      <c r="B101" s="4" t="s">
        <v>101</v>
      </c>
      <c r="C101" s="7">
        <v>0.15</v>
      </c>
      <c r="D101" s="7">
        <v>0.3</v>
      </c>
    </row>
    <row r="102" spans="1:4">
      <c r="A102" s="4" t="s">
        <v>53</v>
      </c>
      <c r="B102" s="4" t="s">
        <v>33</v>
      </c>
      <c r="C102" s="6">
        <v>0.15</v>
      </c>
      <c r="D102" s="6">
        <v>0.3</v>
      </c>
    </row>
    <row r="103" spans="1:4">
      <c r="A103" s="4" t="s">
        <v>32</v>
      </c>
      <c r="B103" s="4" t="s">
        <v>76</v>
      </c>
      <c r="C103" s="7">
        <v>0.15</v>
      </c>
      <c r="D103" s="7">
        <v>0.3</v>
      </c>
    </row>
    <row r="104" spans="1:4">
      <c r="A104" s="4" t="s">
        <v>32</v>
      </c>
      <c r="B104" s="4" t="s">
        <v>33</v>
      </c>
      <c r="C104" s="6">
        <v>0.15</v>
      </c>
      <c r="D104" s="6">
        <v>0.3</v>
      </c>
    </row>
    <row r="105" spans="1:4">
      <c r="A105" s="4" t="s">
        <v>281</v>
      </c>
      <c r="B105" s="4" t="s">
        <v>13</v>
      </c>
      <c r="C105" s="7">
        <v>0.15</v>
      </c>
      <c r="D105" s="7">
        <v>0.3</v>
      </c>
    </row>
    <row r="106" spans="1:4">
      <c r="A106" s="4" t="s">
        <v>133</v>
      </c>
      <c r="B106" s="4" t="s">
        <v>76</v>
      </c>
      <c r="C106" s="6">
        <v>0.15</v>
      </c>
      <c r="D106" s="6">
        <v>0.3</v>
      </c>
    </row>
    <row r="107" spans="1:4">
      <c r="A107" s="4" t="s">
        <v>133</v>
      </c>
      <c r="B107" s="4" t="s">
        <v>101</v>
      </c>
      <c r="C107" s="7">
        <v>0.15</v>
      </c>
      <c r="D107" s="7">
        <v>0.3</v>
      </c>
    </row>
    <row r="108" spans="1:4">
      <c r="A108" s="4" t="s">
        <v>133</v>
      </c>
      <c r="B108" s="4" t="s">
        <v>245</v>
      </c>
      <c r="C108" s="6">
        <v>0.15</v>
      </c>
      <c r="D108" s="6">
        <v>0.3</v>
      </c>
    </row>
    <row r="109" spans="1:4">
      <c r="A109" s="4" t="s">
        <v>133</v>
      </c>
      <c r="B109" s="4" t="s">
        <v>33</v>
      </c>
      <c r="C109" s="7">
        <v>0.15</v>
      </c>
      <c r="D109" s="7">
        <v>0.3</v>
      </c>
    </row>
    <row r="110" spans="1:4">
      <c r="A110" s="5" t="s">
        <v>133</v>
      </c>
      <c r="B110" s="5" t="s">
        <v>13</v>
      </c>
      <c r="C110" s="6">
        <v>0.15</v>
      </c>
      <c r="D110" s="6">
        <v>0.3</v>
      </c>
    </row>
    <row r="111" spans="1:4">
      <c r="A111" t="s">
        <v>861</v>
      </c>
      <c r="B111" s="4" t="s">
        <v>76</v>
      </c>
      <c r="C111" s="6">
        <v>0.15</v>
      </c>
      <c r="D111" s="6">
        <v>0.3</v>
      </c>
    </row>
    <row r="112" spans="1:4">
      <c r="A112" t="s">
        <v>861</v>
      </c>
      <c r="B112" s="4" t="s">
        <v>33</v>
      </c>
      <c r="C112" s="6">
        <v>0.15</v>
      </c>
      <c r="D112" s="6">
        <v>0.3</v>
      </c>
    </row>
    <row r="113" spans="1:4">
      <c r="A113" t="s">
        <v>861</v>
      </c>
      <c r="B113" s="5" t="s">
        <v>13</v>
      </c>
      <c r="C113" s="6">
        <v>0.15</v>
      </c>
      <c r="D113" s="6">
        <v>0.3</v>
      </c>
    </row>
    <row r="114" spans="1:4">
      <c r="A114" t="s">
        <v>861</v>
      </c>
      <c r="B114" t="s">
        <v>825</v>
      </c>
      <c r="C114" s="6">
        <v>0.15</v>
      </c>
      <c r="D114" s="6">
        <v>0.3</v>
      </c>
    </row>
    <row r="115" spans="1:4">
      <c r="A115" t="s">
        <v>861</v>
      </c>
      <c r="B115" t="s">
        <v>830</v>
      </c>
      <c r="C115" s="6">
        <v>0.15</v>
      </c>
      <c r="D115" s="6">
        <v>0.3</v>
      </c>
    </row>
    <row r="116" spans="1:4">
      <c r="A116" t="s">
        <v>861</v>
      </c>
      <c r="B116" t="s">
        <v>832</v>
      </c>
      <c r="C116" s="6">
        <v>0.15</v>
      </c>
      <c r="D116" s="6">
        <v>0.3</v>
      </c>
    </row>
    <row r="117" spans="1:4">
      <c r="A117" t="s">
        <v>861</v>
      </c>
      <c r="B117" t="s">
        <v>833</v>
      </c>
      <c r="C117" s="6">
        <v>0.15</v>
      </c>
      <c r="D117" s="6">
        <v>0.3</v>
      </c>
    </row>
    <row r="118" spans="1:4">
      <c r="A118" t="s">
        <v>53</v>
      </c>
      <c r="B118" t="s">
        <v>13</v>
      </c>
      <c r="C118" s="6">
        <v>0.15</v>
      </c>
      <c r="D118" s="6">
        <v>0.3</v>
      </c>
    </row>
  </sheetData>
  <phoneticPr fontId="9" type="noConversion"/>
  <dataValidations count="1">
    <dataValidation type="decimal" sqref="C2:D118" xr:uid="{00000000-0002-0000-0100-000000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/>
  </sheetViews>
  <sheetFormatPr defaultRowHeight="14.25"/>
  <cols>
    <col min="1" max="1" width="22" customWidth="1"/>
    <col min="2" max="2" width="78" customWidth="1"/>
  </cols>
  <sheetData>
    <row r="1" spans="1:2" ht="30" customHeight="1">
      <c r="A1" s="1" t="s">
        <v>790</v>
      </c>
      <c r="B1" s="1" t="s">
        <v>791</v>
      </c>
    </row>
    <row r="2" spans="1:2" ht="30" customHeight="1">
      <c r="A2" s="24" t="s">
        <v>792</v>
      </c>
      <c r="B2" s="25" t="s">
        <v>793</v>
      </c>
    </row>
    <row r="3" spans="1:2" ht="30" customHeight="1">
      <c r="A3" s="24" t="s">
        <v>794</v>
      </c>
      <c r="B3" s="25" t="s">
        <v>795</v>
      </c>
    </row>
    <row r="4" spans="1:2" ht="30" customHeight="1">
      <c r="A4" s="24" t="s">
        <v>796</v>
      </c>
      <c r="B4" s="25" t="s">
        <v>797</v>
      </c>
    </row>
    <row r="5" spans="1:2" ht="30" customHeight="1">
      <c r="A5" s="24" t="s">
        <v>798</v>
      </c>
      <c r="B5" s="25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selection sqref="A1:F1"/>
    </sheetView>
  </sheetViews>
  <sheetFormatPr defaultRowHeight="14.25"/>
  <cols>
    <col min="1" max="1" width="16" customWidth="1"/>
    <col min="2" max="2" width="82" customWidth="1"/>
  </cols>
  <sheetData>
    <row r="1" spans="1:6" ht="42" customHeight="1">
      <c r="A1" s="57" t="s">
        <v>800</v>
      </c>
      <c r="B1" s="57"/>
      <c r="C1" s="57"/>
      <c r="D1" s="57"/>
      <c r="E1" s="57"/>
      <c r="F1" s="57"/>
    </row>
    <row r="3" spans="1:6" ht="33.950000000000003" customHeight="1">
      <c r="A3" s="22" t="s">
        <v>801</v>
      </c>
      <c r="B3" s="22"/>
    </row>
    <row r="4" spans="1:6" ht="33.950000000000003" customHeight="1">
      <c r="A4" s="23" t="s">
        <v>802</v>
      </c>
      <c r="B4" s="23" t="s">
        <v>803</v>
      </c>
    </row>
    <row r="5" spans="1:6" ht="33.950000000000003" customHeight="1">
      <c r="A5" s="23" t="s">
        <v>804</v>
      </c>
      <c r="B5" s="23" t="s">
        <v>805</v>
      </c>
    </row>
    <row r="6" spans="1:6" ht="33.950000000000003" customHeight="1">
      <c r="A6" s="23" t="s">
        <v>806</v>
      </c>
      <c r="B6" s="23" t="s">
        <v>807</v>
      </c>
    </row>
    <row r="7" spans="1:6" ht="33.950000000000003" customHeight="1">
      <c r="A7" s="23" t="s">
        <v>808</v>
      </c>
      <c r="B7" s="23" t="s">
        <v>809</v>
      </c>
    </row>
    <row r="8" spans="1:6" ht="33.950000000000003" customHeight="1">
      <c r="A8" s="23" t="s">
        <v>810</v>
      </c>
      <c r="B8" s="23" t="s">
        <v>811</v>
      </c>
    </row>
    <row r="9" spans="1:6" ht="33.950000000000003" customHeight="1">
      <c r="A9" s="23" t="s">
        <v>812</v>
      </c>
      <c r="B9" s="23" t="s">
        <v>813</v>
      </c>
    </row>
    <row r="10" spans="1:6" ht="39.950000000000003" customHeight="1">
      <c r="A10" s="23" t="s">
        <v>814</v>
      </c>
      <c r="B10" s="23" t="s">
        <v>815</v>
      </c>
    </row>
    <row r="11" spans="1:6" ht="39.950000000000003" customHeight="1">
      <c r="A11" s="23" t="s">
        <v>816</v>
      </c>
      <c r="B11" s="23" t="s">
        <v>817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showGridLines="0" workbookViewId="0">
      <selection activeCell="G11" sqref="G11"/>
    </sheetView>
  </sheetViews>
  <sheetFormatPr defaultRowHeight="14.25"/>
  <cols>
    <col min="1" max="2" width="18" customWidth="1"/>
    <col min="4" max="4" width="20" customWidth="1"/>
    <col min="5" max="5" width="34" customWidth="1"/>
    <col min="7" max="7" width="34" customWidth="1"/>
    <col min="8" max="8" width="20" customWidth="1"/>
  </cols>
  <sheetData>
    <row r="1" spans="1:8" ht="32.1" customHeight="1">
      <c r="A1" s="58" t="s">
        <v>818</v>
      </c>
      <c r="B1" s="58"/>
      <c r="D1" s="58" t="s">
        <v>819</v>
      </c>
      <c r="E1" s="58"/>
      <c r="G1" s="59" t="s">
        <v>820</v>
      </c>
      <c r="H1" s="59"/>
    </row>
    <row r="2" spans="1:8" ht="24" customHeight="1"/>
    <row r="3" spans="1:8" ht="24" customHeight="1">
      <c r="A3" s="28" t="s">
        <v>2</v>
      </c>
      <c r="B3" s="28" t="s">
        <v>821</v>
      </c>
      <c r="D3" s="28" t="s">
        <v>822</v>
      </c>
      <c r="E3" s="28" t="s">
        <v>823</v>
      </c>
      <c r="G3" s="43" t="s">
        <v>824</v>
      </c>
      <c r="H3" s="43" t="s">
        <v>822</v>
      </c>
    </row>
    <row r="4" spans="1:8" ht="24" customHeight="1">
      <c r="A4" s="29" t="s">
        <v>825</v>
      </c>
      <c r="B4" s="29" t="s">
        <v>826</v>
      </c>
      <c r="D4" s="32" t="s">
        <v>827</v>
      </c>
      <c r="E4" s="32" t="s">
        <v>828</v>
      </c>
      <c r="G4" s="3" t="s">
        <v>55</v>
      </c>
      <c r="H4" s="46" t="s">
        <v>829</v>
      </c>
    </row>
    <row r="5" spans="1:8" ht="24" customHeight="1">
      <c r="A5" s="30" t="s">
        <v>830</v>
      </c>
      <c r="B5" s="30" t="s">
        <v>826</v>
      </c>
      <c r="D5" s="33" t="s">
        <v>829</v>
      </c>
      <c r="E5" s="33" t="s">
        <v>831</v>
      </c>
      <c r="G5" s="4" t="s">
        <v>119</v>
      </c>
      <c r="H5" s="47" t="s">
        <v>827</v>
      </c>
    </row>
    <row r="6" spans="1:8" ht="24" customHeight="1">
      <c r="A6" s="30" t="s">
        <v>832</v>
      </c>
      <c r="B6" s="30" t="s">
        <v>826</v>
      </c>
      <c r="D6" s="33"/>
      <c r="E6" s="33"/>
      <c r="G6" s="4" t="s">
        <v>123</v>
      </c>
      <c r="H6" s="47" t="s">
        <v>827</v>
      </c>
    </row>
    <row r="7" spans="1:8" ht="24" customHeight="1">
      <c r="A7" s="30" t="s">
        <v>833</v>
      </c>
      <c r="B7" s="30" t="s">
        <v>826</v>
      </c>
      <c r="D7" s="33"/>
      <c r="E7" s="33"/>
      <c r="G7" s="4" t="s">
        <v>778</v>
      </c>
      <c r="H7" s="47" t="s">
        <v>827</v>
      </c>
    </row>
    <row r="8" spans="1:8" ht="24" customHeight="1">
      <c r="A8" s="30" t="s">
        <v>33</v>
      </c>
      <c r="B8" s="30" t="s">
        <v>834</v>
      </c>
      <c r="D8" s="33"/>
      <c r="E8" s="33"/>
      <c r="G8" s="4" t="s">
        <v>12</v>
      </c>
      <c r="H8" s="47" t="s">
        <v>827</v>
      </c>
    </row>
    <row r="9" spans="1:8" ht="24" customHeight="1">
      <c r="A9" s="30" t="s">
        <v>76</v>
      </c>
      <c r="B9" s="30" t="s">
        <v>834</v>
      </c>
      <c r="D9" s="33"/>
      <c r="E9" s="33"/>
      <c r="G9" s="4" t="s">
        <v>137</v>
      </c>
      <c r="H9" s="47" t="s">
        <v>829</v>
      </c>
    </row>
    <row r="10" spans="1:8" ht="24" customHeight="1">
      <c r="A10" s="30" t="s">
        <v>101</v>
      </c>
      <c r="B10" s="30" t="s">
        <v>834</v>
      </c>
      <c r="D10" s="33"/>
      <c r="E10" s="33"/>
      <c r="G10" s="4" t="s">
        <v>642</v>
      </c>
      <c r="H10" s="47" t="s">
        <v>827</v>
      </c>
    </row>
    <row r="11" spans="1:8" ht="24" customHeight="1">
      <c r="A11" s="30" t="s">
        <v>245</v>
      </c>
      <c r="B11" s="30" t="s">
        <v>834</v>
      </c>
      <c r="D11" s="33"/>
      <c r="E11" s="33"/>
      <c r="G11" s="4" t="s">
        <v>18</v>
      </c>
      <c r="H11" s="47" t="s">
        <v>827</v>
      </c>
    </row>
    <row r="12" spans="1:8" ht="24" customHeight="1">
      <c r="A12" s="31" t="s">
        <v>13</v>
      </c>
      <c r="B12" s="31" t="s">
        <v>834</v>
      </c>
      <c r="D12" s="33"/>
      <c r="E12" s="33"/>
      <c r="G12" s="4" t="s">
        <v>533</v>
      </c>
      <c r="H12" s="47" t="s">
        <v>827</v>
      </c>
    </row>
    <row r="13" spans="1:8" ht="24" customHeight="1">
      <c r="D13" s="33"/>
      <c r="E13" s="33"/>
      <c r="G13" s="4" t="s">
        <v>696</v>
      </c>
      <c r="H13" s="47" t="s">
        <v>827</v>
      </c>
    </row>
    <row r="14" spans="1:8" ht="24" customHeight="1">
      <c r="D14" s="33"/>
      <c r="E14" s="33"/>
      <c r="G14" s="4" t="s">
        <v>38</v>
      </c>
      <c r="H14" s="47" t="s">
        <v>827</v>
      </c>
    </row>
    <row r="15" spans="1:8" ht="24" customHeight="1">
      <c r="D15" s="33"/>
      <c r="E15" s="33"/>
      <c r="G15" s="4" t="s">
        <v>21</v>
      </c>
      <c r="H15" s="47" t="s">
        <v>827</v>
      </c>
    </row>
    <row r="16" spans="1:8" ht="24" customHeight="1">
      <c r="D16" s="33"/>
      <c r="E16" s="33"/>
      <c r="G16" s="4" t="s">
        <v>330</v>
      </c>
      <c r="H16" s="47" t="s">
        <v>827</v>
      </c>
    </row>
    <row r="17" spans="4:8" ht="24" customHeight="1">
      <c r="D17" s="33"/>
      <c r="E17" s="33"/>
      <c r="G17" s="4" t="s">
        <v>44</v>
      </c>
      <c r="H17" s="47" t="s">
        <v>829</v>
      </c>
    </row>
    <row r="18" spans="4:8" ht="24" customHeight="1">
      <c r="D18" s="33"/>
      <c r="E18" s="33"/>
      <c r="G18" s="4" t="s">
        <v>72</v>
      </c>
      <c r="H18" s="47" t="s">
        <v>827</v>
      </c>
    </row>
    <row r="19" spans="4:8" ht="24" customHeight="1">
      <c r="D19" s="33"/>
      <c r="E19" s="33"/>
      <c r="G19" s="4" t="s">
        <v>225</v>
      </c>
      <c r="H19" s="47" t="s">
        <v>827</v>
      </c>
    </row>
    <row r="20" spans="4:8" ht="24" customHeight="1">
      <c r="D20" s="34"/>
      <c r="E20" s="34"/>
      <c r="G20" s="4" t="s">
        <v>303</v>
      </c>
      <c r="H20" s="47" t="s">
        <v>827</v>
      </c>
    </row>
    <row r="21" spans="4:8" ht="24" customHeight="1">
      <c r="G21" s="4" t="s">
        <v>165</v>
      </c>
      <c r="H21" s="47" t="s">
        <v>827</v>
      </c>
    </row>
    <row r="22" spans="4:8" ht="24" customHeight="1">
      <c r="G22" s="4" t="s">
        <v>63</v>
      </c>
      <c r="H22" s="47" t="s">
        <v>827</v>
      </c>
    </row>
    <row r="23" spans="4:8" ht="24" customHeight="1">
      <c r="G23" s="4" t="s">
        <v>23</v>
      </c>
      <c r="H23" s="47" t="s">
        <v>829</v>
      </c>
    </row>
    <row r="24" spans="4:8" ht="24" customHeight="1">
      <c r="G24" s="4" t="s">
        <v>25</v>
      </c>
      <c r="H24" s="47" t="s">
        <v>827</v>
      </c>
    </row>
    <row r="25" spans="4:8" ht="24" customHeight="1">
      <c r="G25" s="4" t="s">
        <v>50</v>
      </c>
      <c r="H25" s="47" t="s">
        <v>829</v>
      </c>
    </row>
    <row r="26" spans="4:8" ht="24" customHeight="1">
      <c r="G26" s="4" t="s">
        <v>438</v>
      </c>
      <c r="H26" s="47" t="s">
        <v>827</v>
      </c>
    </row>
    <row r="27" spans="4:8" ht="24" customHeight="1">
      <c r="G27" s="4" t="s">
        <v>421</v>
      </c>
      <c r="H27" s="47" t="s">
        <v>827</v>
      </c>
    </row>
    <row r="28" spans="4:8" ht="24" customHeight="1">
      <c r="G28" s="4" t="s">
        <v>894</v>
      </c>
      <c r="H28" s="47" t="s">
        <v>827</v>
      </c>
    </row>
    <row r="29" spans="4:8" ht="24" customHeight="1">
      <c r="G29" s="4" t="s">
        <v>322</v>
      </c>
      <c r="H29" s="47" t="s">
        <v>829</v>
      </c>
    </row>
    <row r="30" spans="4:8" ht="24" customHeight="1">
      <c r="G30" s="4" t="s">
        <v>285</v>
      </c>
      <c r="H30" s="47" t="s">
        <v>827</v>
      </c>
    </row>
    <row r="31" spans="4:8" ht="24" customHeight="1">
      <c r="G31" s="4" t="s">
        <v>563</v>
      </c>
      <c r="H31" s="47" t="s">
        <v>827</v>
      </c>
    </row>
    <row r="32" spans="4:8" ht="24" customHeight="1">
      <c r="G32" s="4" t="s">
        <v>53</v>
      </c>
      <c r="H32" s="47" t="s">
        <v>827</v>
      </c>
    </row>
    <row r="33" spans="7:8" ht="24" customHeight="1">
      <c r="G33" s="4" t="s">
        <v>32</v>
      </c>
      <c r="H33" s="47" t="s">
        <v>827</v>
      </c>
    </row>
    <row r="34" spans="7:8" ht="24" customHeight="1">
      <c r="G34" s="4" t="s">
        <v>281</v>
      </c>
      <c r="H34" s="47" t="s">
        <v>827</v>
      </c>
    </row>
    <row r="35" spans="7:8" ht="24" customHeight="1">
      <c r="G35" s="4" t="s">
        <v>133</v>
      </c>
      <c r="H35" s="47" t="s">
        <v>827</v>
      </c>
    </row>
    <row r="36" spans="7:8">
      <c r="G36" s="51" t="s">
        <v>861</v>
      </c>
      <c r="H36" s="47" t="s">
        <v>829</v>
      </c>
    </row>
  </sheetData>
  <mergeCells count="3">
    <mergeCell ref="A1:B1"/>
    <mergeCell ref="D1:E1"/>
    <mergeCell ref="G1:H1"/>
  </mergeCells>
  <dataValidations count="1">
    <dataValidation type="list" sqref="H4:H36" xr:uid="{00000000-0002-0000-0400-000000000000}">
      <formula1>$D$4:$D$25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showGridLines="0" workbookViewId="0">
      <selection activeCell="D19" sqref="D19"/>
    </sheetView>
  </sheetViews>
  <sheetFormatPr defaultRowHeight="14.25"/>
  <cols>
    <col min="1" max="1" width="18" customWidth="1"/>
    <col min="2" max="2" width="16" customWidth="1"/>
    <col min="3" max="3" width="30" customWidth="1"/>
    <col min="4" max="4" width="52" customWidth="1"/>
    <col min="5" max="6" width="16" customWidth="1"/>
    <col min="7" max="8" width="17" customWidth="1"/>
    <col min="9" max="9" width="46" customWidth="1"/>
    <col min="10" max="10" width="28" customWidth="1"/>
  </cols>
  <sheetData>
    <row r="1" spans="1:10" ht="24" customHeight="1">
      <c r="A1" s="35" t="s">
        <v>822</v>
      </c>
      <c r="B1" s="35" t="s">
        <v>821</v>
      </c>
      <c r="C1" s="35" t="s">
        <v>835</v>
      </c>
      <c r="D1" s="35" t="s">
        <v>836</v>
      </c>
      <c r="E1" s="35" t="s">
        <v>796</v>
      </c>
      <c r="F1" s="35" t="s">
        <v>798</v>
      </c>
      <c r="G1" s="35" t="s">
        <v>837</v>
      </c>
      <c r="H1" s="35" t="s">
        <v>838</v>
      </c>
      <c r="I1" s="44" t="s">
        <v>839</v>
      </c>
      <c r="J1" s="48" t="s">
        <v>840</v>
      </c>
    </row>
    <row r="2" spans="1:10" ht="24" customHeight="1">
      <c r="A2" s="36" t="s">
        <v>827</v>
      </c>
      <c r="B2" s="36" t="s">
        <v>826</v>
      </c>
      <c r="C2" s="36" t="s">
        <v>883</v>
      </c>
      <c r="D2" s="36" t="s">
        <v>841</v>
      </c>
      <c r="E2" s="36" t="s">
        <v>842</v>
      </c>
      <c r="F2" s="36" t="s">
        <v>799</v>
      </c>
      <c r="G2" s="36" t="s">
        <v>843</v>
      </c>
      <c r="H2" s="36">
        <v>1</v>
      </c>
      <c r="I2" s="45" t="s">
        <v>844</v>
      </c>
      <c r="J2" s="49" t="s">
        <v>845</v>
      </c>
    </row>
    <row r="3" spans="1:10" ht="24" customHeight="1">
      <c r="A3" s="37" t="s">
        <v>827</v>
      </c>
      <c r="B3" s="37" t="s">
        <v>834</v>
      </c>
      <c r="C3" s="36" t="s">
        <v>883</v>
      </c>
      <c r="D3" s="37" t="s">
        <v>846</v>
      </c>
      <c r="E3" s="37" t="s">
        <v>842</v>
      </c>
      <c r="F3" s="37" t="s">
        <v>799</v>
      </c>
      <c r="G3" s="37" t="s">
        <v>843</v>
      </c>
      <c r="H3" s="37">
        <v>2</v>
      </c>
      <c r="I3" s="45" t="s">
        <v>844</v>
      </c>
      <c r="J3" s="49" t="s">
        <v>847</v>
      </c>
    </row>
    <row r="4" spans="1:10" ht="24" customHeight="1">
      <c r="A4" s="37" t="s">
        <v>829</v>
      </c>
      <c r="B4" s="37" t="s">
        <v>826</v>
      </c>
      <c r="C4" s="36" t="s">
        <v>884</v>
      </c>
      <c r="D4" s="37" t="s">
        <v>841</v>
      </c>
      <c r="E4" s="37" t="s">
        <v>848</v>
      </c>
      <c r="F4" s="37" t="s">
        <v>849</v>
      </c>
      <c r="G4" s="37" t="s">
        <v>843</v>
      </c>
      <c r="H4" s="37">
        <v>3</v>
      </c>
      <c r="I4" s="45" t="s">
        <v>850</v>
      </c>
      <c r="J4" s="49" t="s">
        <v>851</v>
      </c>
    </row>
    <row r="5" spans="1:10" ht="24" customHeight="1">
      <c r="A5" s="37" t="s">
        <v>829</v>
      </c>
      <c r="B5" s="37" t="s">
        <v>834</v>
      </c>
      <c r="C5" s="36" t="s">
        <v>884</v>
      </c>
      <c r="D5" s="37" t="s">
        <v>846</v>
      </c>
      <c r="E5" s="37" t="s">
        <v>848</v>
      </c>
      <c r="F5" s="37" t="s">
        <v>849</v>
      </c>
      <c r="G5" s="37" t="s">
        <v>843</v>
      </c>
      <c r="H5" s="37">
        <v>4</v>
      </c>
      <c r="I5" s="45" t="s">
        <v>850</v>
      </c>
      <c r="J5" s="49" t="s">
        <v>851</v>
      </c>
    </row>
    <row r="6" spans="1:10" ht="27.95" customHeight="1">
      <c r="A6" s="37"/>
      <c r="B6" s="37"/>
      <c r="C6" s="37"/>
      <c r="D6" s="37"/>
      <c r="E6" s="37"/>
      <c r="F6" s="37"/>
      <c r="G6" s="37"/>
      <c r="H6" s="37"/>
    </row>
    <row r="7" spans="1:10" ht="27.95" customHeight="1">
      <c r="A7" s="37"/>
      <c r="B7" s="37"/>
      <c r="C7" s="37"/>
      <c r="D7" s="37"/>
      <c r="E7" s="37"/>
      <c r="F7" s="37"/>
      <c r="G7" s="37"/>
      <c r="H7" s="37"/>
    </row>
    <row r="8" spans="1:10" ht="27.95" customHeight="1">
      <c r="A8" s="37"/>
      <c r="B8" s="37"/>
      <c r="C8" s="37"/>
      <c r="D8" s="37"/>
      <c r="E8" s="37"/>
      <c r="F8" s="37"/>
      <c r="G8" s="37"/>
      <c r="H8" s="37"/>
    </row>
    <row r="9" spans="1:10" ht="27.95" customHeight="1">
      <c r="A9" s="37"/>
      <c r="B9" s="37"/>
      <c r="C9" s="37"/>
      <c r="D9" s="37"/>
      <c r="E9" s="37"/>
      <c r="F9" s="37"/>
      <c r="G9" s="37"/>
      <c r="H9" s="37"/>
    </row>
    <row r="10" spans="1:10" ht="27.95" customHeight="1">
      <c r="A10" s="37"/>
      <c r="B10" s="37"/>
      <c r="C10" s="37"/>
      <c r="D10" s="37"/>
      <c r="E10" s="37"/>
      <c r="F10" s="37"/>
      <c r="G10" s="37"/>
      <c r="H10" s="37"/>
    </row>
    <row r="11" spans="1:10" ht="27.95" customHeight="1">
      <c r="A11" s="37"/>
      <c r="B11" s="37"/>
      <c r="C11" s="37"/>
      <c r="D11" s="37"/>
      <c r="E11" s="37"/>
      <c r="F11" s="37"/>
      <c r="G11" s="37"/>
      <c r="H11" s="37"/>
    </row>
    <row r="12" spans="1:10" ht="27.95" customHeight="1">
      <c r="A12" s="37"/>
      <c r="B12" s="37"/>
      <c r="C12" s="37"/>
      <c r="D12" s="37"/>
      <c r="E12" s="37"/>
      <c r="F12" s="37"/>
      <c r="G12" s="37"/>
      <c r="H12" s="37"/>
    </row>
    <row r="13" spans="1:10" ht="27.95" customHeight="1">
      <c r="A13" s="37"/>
      <c r="B13" s="37"/>
      <c r="C13" s="37"/>
      <c r="D13" s="37"/>
      <c r="E13" s="37"/>
      <c r="F13" s="37"/>
      <c r="G13" s="37"/>
      <c r="H13" s="37"/>
    </row>
    <row r="14" spans="1:10" ht="27.95" customHeight="1">
      <c r="A14" s="37"/>
      <c r="B14" s="37"/>
      <c r="C14" s="37"/>
      <c r="D14" s="37"/>
      <c r="E14" s="37"/>
      <c r="F14" s="37"/>
      <c r="G14" s="37"/>
      <c r="H14" s="37"/>
    </row>
    <row r="15" spans="1:10" ht="27.95" customHeight="1">
      <c r="A15" s="37"/>
      <c r="B15" s="37"/>
      <c r="C15" s="37"/>
      <c r="D15" s="37"/>
      <c r="E15" s="37"/>
      <c r="F15" s="37"/>
      <c r="G15" s="37"/>
      <c r="H15" s="37"/>
    </row>
    <row r="16" spans="1:10" ht="27.95" customHeight="1">
      <c r="A16" s="37"/>
      <c r="B16" s="37"/>
      <c r="C16" s="37"/>
      <c r="D16" s="37"/>
      <c r="E16" s="37"/>
      <c r="F16" s="37"/>
      <c r="G16" s="37"/>
      <c r="H16" s="37"/>
    </row>
    <row r="17" spans="1:8" ht="27.95" customHeight="1">
      <c r="A17" s="37"/>
      <c r="B17" s="37"/>
      <c r="C17" s="37"/>
      <c r="D17" s="37"/>
      <c r="E17" s="37"/>
      <c r="F17" s="37"/>
      <c r="G17" s="37"/>
      <c r="H17" s="37"/>
    </row>
    <row r="18" spans="1:8" ht="27.95" customHeight="1">
      <c r="A18" s="37"/>
      <c r="B18" s="37"/>
      <c r="C18" s="37"/>
      <c r="D18" s="37"/>
      <c r="E18" s="37"/>
      <c r="F18" s="37"/>
      <c r="G18" s="37"/>
      <c r="H18" s="37"/>
    </row>
    <row r="19" spans="1:8" ht="27.95" customHeight="1">
      <c r="A19" s="37"/>
      <c r="B19" s="37"/>
      <c r="C19" s="37"/>
      <c r="D19" s="37"/>
      <c r="E19" s="37"/>
      <c r="F19" s="37"/>
      <c r="G19" s="37"/>
      <c r="H19" s="37"/>
    </row>
    <row r="20" spans="1:8" ht="27.95" customHeight="1">
      <c r="A20" s="38"/>
      <c r="B20" s="38"/>
      <c r="C20" s="38"/>
      <c r="D20" s="38"/>
      <c r="E20" s="38"/>
      <c r="F20" s="38"/>
      <c r="G20" s="38"/>
      <c r="H20" s="38"/>
    </row>
  </sheetData>
  <dataValidations count="3">
    <dataValidation type="list" sqref="G2:G20" xr:uid="{00000000-0002-0000-0500-000000000000}">
      <formula1>"Evet,Hayır"</formula1>
    </dataValidation>
    <dataValidation type="list" sqref="B2:B20" xr:uid="{00000000-0002-0000-0500-000001000000}">
      <formula1>"Ortaokul,Lise"</formula1>
    </dataValidation>
    <dataValidation type="list" sqref="J2:J100" xr:uid="{00000000-0002-0000-0500-000002000000}">
      <formula1>"Yok,kitabevi-1 | Ortaokul,kitabevi-1 | Lise,kitabevi-2 | Ortaokul,kitabevi-2 | Lise"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"/>
  <sheetViews>
    <sheetView showGridLines="0" workbookViewId="0"/>
  </sheetViews>
  <sheetFormatPr defaultRowHeight="14.25"/>
  <cols>
    <col min="1" max="1" width="18" customWidth="1"/>
    <col min="2" max="2" width="16" customWidth="1"/>
    <col min="3" max="3" width="30" customWidth="1"/>
    <col min="4" max="4" width="22" customWidth="1"/>
    <col min="5" max="5" width="16" customWidth="1"/>
  </cols>
  <sheetData>
    <row r="1" spans="1:5" ht="32.1" customHeight="1">
      <c r="A1" s="39" t="s">
        <v>822</v>
      </c>
      <c r="B1" s="39" t="s">
        <v>821</v>
      </c>
      <c r="C1" s="39" t="s">
        <v>852</v>
      </c>
      <c r="D1" s="39" t="s">
        <v>853</v>
      </c>
      <c r="E1" s="39" t="s">
        <v>854</v>
      </c>
    </row>
    <row r="2" spans="1:5" ht="26.1" customHeight="1">
      <c r="A2" s="36" t="s">
        <v>827</v>
      </c>
      <c r="B2" s="36" t="s">
        <v>826</v>
      </c>
      <c r="C2" s="36" t="s">
        <v>855</v>
      </c>
      <c r="D2" s="40" t="s">
        <v>856</v>
      </c>
      <c r="E2" s="36" t="s">
        <v>843</v>
      </c>
    </row>
    <row r="3" spans="1:5" ht="26.1" customHeight="1">
      <c r="A3" s="37" t="s">
        <v>827</v>
      </c>
      <c r="B3" s="37" t="s">
        <v>826</v>
      </c>
      <c r="C3" s="37" t="s">
        <v>857</v>
      </c>
      <c r="D3" s="41" t="s">
        <v>858</v>
      </c>
      <c r="E3" s="37" t="s">
        <v>843</v>
      </c>
    </row>
    <row r="4" spans="1:5" ht="26.1" customHeight="1">
      <c r="A4" s="37" t="s">
        <v>827</v>
      </c>
      <c r="B4" s="37" t="s">
        <v>834</v>
      </c>
      <c r="C4" s="36" t="s">
        <v>855</v>
      </c>
      <c r="D4" s="40" t="s">
        <v>856</v>
      </c>
      <c r="E4" s="37" t="s">
        <v>843</v>
      </c>
    </row>
    <row r="5" spans="1:5" ht="26.1" customHeight="1">
      <c r="A5" s="37" t="s">
        <v>827</v>
      </c>
      <c r="B5" s="37" t="s">
        <v>834</v>
      </c>
      <c r="C5" s="37" t="s">
        <v>857</v>
      </c>
      <c r="D5" s="41" t="s">
        <v>858</v>
      </c>
      <c r="E5" s="37" t="s">
        <v>843</v>
      </c>
    </row>
    <row r="6" spans="1:5" ht="26.1" customHeight="1">
      <c r="A6" s="37" t="s">
        <v>829</v>
      </c>
      <c r="B6" s="37" t="s">
        <v>826</v>
      </c>
      <c r="C6" s="37" t="s">
        <v>859</v>
      </c>
      <c r="D6" s="41" t="s">
        <v>860</v>
      </c>
      <c r="E6" s="37" t="s">
        <v>843</v>
      </c>
    </row>
    <row r="7" spans="1:5" ht="26.1" customHeight="1">
      <c r="A7" s="37" t="s">
        <v>829</v>
      </c>
      <c r="B7" s="37" t="s">
        <v>826</v>
      </c>
      <c r="C7" s="37"/>
      <c r="D7" s="41"/>
      <c r="E7" s="37" t="s">
        <v>843</v>
      </c>
    </row>
    <row r="8" spans="1:5" ht="26.1" customHeight="1">
      <c r="A8" s="37" t="s">
        <v>829</v>
      </c>
      <c r="B8" s="37" t="s">
        <v>834</v>
      </c>
      <c r="C8" s="37" t="s">
        <v>859</v>
      </c>
      <c r="D8" s="41" t="s">
        <v>860</v>
      </c>
      <c r="E8" s="37" t="s">
        <v>843</v>
      </c>
    </row>
    <row r="9" spans="1:5" ht="26.1" customHeight="1">
      <c r="A9" s="37" t="s">
        <v>829</v>
      </c>
      <c r="B9" s="37" t="s">
        <v>834</v>
      </c>
      <c r="C9" s="37"/>
      <c r="D9" s="41"/>
      <c r="E9" s="37" t="s">
        <v>843</v>
      </c>
    </row>
    <row r="10" spans="1:5" ht="26.1" customHeight="1">
      <c r="A10" s="37"/>
      <c r="B10" s="37"/>
      <c r="C10" s="37"/>
      <c r="D10" s="41"/>
      <c r="E10" s="37"/>
    </row>
    <row r="11" spans="1:5" ht="26.1" customHeight="1">
      <c r="A11" s="37"/>
      <c r="B11" s="37"/>
      <c r="C11" s="37"/>
      <c r="D11" s="41"/>
      <c r="E11" s="37"/>
    </row>
    <row r="12" spans="1:5" ht="26.1" customHeight="1">
      <c r="A12" s="37"/>
      <c r="B12" s="37"/>
      <c r="C12" s="37"/>
      <c r="D12" s="41"/>
      <c r="E12" s="37"/>
    </row>
    <row r="13" spans="1:5" ht="26.1" customHeight="1">
      <c r="A13" s="37"/>
      <c r="B13" s="37"/>
      <c r="C13" s="37"/>
      <c r="D13" s="41"/>
      <c r="E13" s="37"/>
    </row>
    <row r="14" spans="1:5" ht="26.1" customHeight="1">
      <c r="A14" s="37"/>
      <c r="B14" s="37"/>
      <c r="C14" s="37"/>
      <c r="D14" s="41"/>
      <c r="E14" s="37"/>
    </row>
    <row r="15" spans="1:5" ht="26.1" customHeight="1">
      <c r="A15" s="37"/>
      <c r="B15" s="37"/>
      <c r="C15" s="37"/>
      <c r="D15" s="41"/>
      <c r="E15" s="37"/>
    </row>
    <row r="16" spans="1:5" ht="26.1" customHeight="1">
      <c r="A16" s="37"/>
      <c r="B16" s="37"/>
      <c r="C16" s="37"/>
      <c r="D16" s="41"/>
      <c r="E16" s="37"/>
    </row>
    <row r="17" spans="1:5" ht="26.1" customHeight="1">
      <c r="A17" s="37"/>
      <c r="B17" s="37"/>
      <c r="C17" s="37"/>
      <c r="D17" s="41"/>
      <c r="E17" s="37"/>
    </row>
    <row r="18" spans="1:5" ht="26.1" customHeight="1">
      <c r="A18" s="37"/>
      <c r="B18" s="37"/>
      <c r="C18" s="37"/>
      <c r="D18" s="41"/>
      <c r="E18" s="37"/>
    </row>
    <row r="19" spans="1:5" ht="26.1" customHeight="1">
      <c r="A19" s="37"/>
      <c r="B19" s="37"/>
      <c r="C19" s="37"/>
      <c r="D19" s="41"/>
      <c r="E19" s="37"/>
    </row>
    <row r="20" spans="1:5" ht="26.1" customHeight="1">
      <c r="A20" s="37"/>
      <c r="B20" s="37"/>
      <c r="C20" s="37"/>
      <c r="D20" s="41"/>
      <c r="E20" s="37"/>
    </row>
    <row r="21" spans="1:5" ht="26.1" customHeight="1">
      <c r="A21" s="37"/>
      <c r="B21" s="37"/>
      <c r="C21" s="37"/>
      <c r="D21" s="41"/>
      <c r="E21" s="37"/>
    </row>
    <row r="22" spans="1:5" ht="26.1" customHeight="1">
      <c r="A22" s="37"/>
      <c r="B22" s="37"/>
      <c r="C22" s="37"/>
      <c r="D22" s="41"/>
      <c r="E22" s="37"/>
    </row>
    <row r="23" spans="1:5" ht="26.1" customHeight="1">
      <c r="A23" s="37"/>
      <c r="B23" s="37"/>
      <c r="C23" s="37"/>
      <c r="D23" s="41"/>
      <c r="E23" s="37"/>
    </row>
    <row r="24" spans="1:5" ht="26.1" customHeight="1">
      <c r="A24" s="37"/>
      <c r="B24" s="37"/>
      <c r="C24" s="37"/>
      <c r="D24" s="41"/>
      <c r="E24" s="37"/>
    </row>
    <row r="25" spans="1:5" ht="26.1" customHeight="1">
      <c r="A25" s="37"/>
      <c r="B25" s="37"/>
      <c r="C25" s="37"/>
      <c r="D25" s="41"/>
      <c r="E25" s="37"/>
    </row>
    <row r="26" spans="1:5" ht="26.1" customHeight="1">
      <c r="A26" s="37"/>
      <c r="B26" s="37"/>
      <c r="C26" s="37"/>
      <c r="D26" s="41"/>
      <c r="E26" s="37"/>
    </row>
    <row r="27" spans="1:5" ht="26.1" customHeight="1">
      <c r="A27" s="37"/>
      <c r="B27" s="37"/>
      <c r="C27" s="37"/>
      <c r="D27" s="41"/>
      <c r="E27" s="37"/>
    </row>
    <row r="28" spans="1:5" ht="26.1" customHeight="1">
      <c r="A28" s="37"/>
      <c r="B28" s="37"/>
      <c r="C28" s="37"/>
      <c r="D28" s="41"/>
      <c r="E28" s="37"/>
    </row>
    <row r="29" spans="1:5" ht="26.1" customHeight="1">
      <c r="A29" s="37"/>
      <c r="B29" s="37"/>
      <c r="C29" s="37"/>
      <c r="D29" s="41"/>
      <c r="E29" s="37"/>
    </row>
    <row r="30" spans="1:5" ht="26.1" customHeight="1">
      <c r="A30" s="37"/>
      <c r="B30" s="37"/>
      <c r="C30" s="37"/>
      <c r="D30" s="41"/>
      <c r="E30" s="37"/>
    </row>
    <row r="31" spans="1:5" ht="26.1" customHeight="1">
      <c r="A31" s="37"/>
      <c r="B31" s="37"/>
      <c r="C31" s="37"/>
      <c r="D31" s="41"/>
      <c r="E31" s="37"/>
    </row>
    <row r="32" spans="1:5" ht="26.1" customHeight="1">
      <c r="A32" s="37"/>
      <c r="B32" s="37"/>
      <c r="C32" s="37"/>
      <c r="D32" s="41"/>
      <c r="E32" s="37"/>
    </row>
    <row r="33" spans="1:5" ht="26.1" customHeight="1">
      <c r="A33" s="37"/>
      <c r="B33" s="37"/>
      <c r="C33" s="37"/>
      <c r="D33" s="41"/>
      <c r="E33" s="37"/>
    </row>
    <row r="34" spans="1:5" ht="26.1" customHeight="1">
      <c r="A34" s="37"/>
      <c r="B34" s="37"/>
      <c r="C34" s="37"/>
      <c r="D34" s="41"/>
      <c r="E34" s="37"/>
    </row>
    <row r="35" spans="1:5" ht="26.1" customHeight="1">
      <c r="A35" s="37"/>
      <c r="B35" s="37"/>
      <c r="C35" s="37"/>
      <c r="D35" s="41"/>
      <c r="E35" s="37"/>
    </row>
    <row r="36" spans="1:5" ht="26.1" customHeight="1">
      <c r="A36" s="37"/>
      <c r="B36" s="37"/>
      <c r="C36" s="37"/>
      <c r="D36" s="41"/>
      <c r="E36" s="37"/>
    </row>
    <row r="37" spans="1:5" ht="26.1" customHeight="1">
      <c r="A37" s="37"/>
      <c r="B37" s="37"/>
      <c r="C37" s="37"/>
      <c r="D37" s="41"/>
      <c r="E37" s="37"/>
    </row>
    <row r="38" spans="1:5" ht="26.1" customHeight="1">
      <c r="A38" s="37"/>
      <c r="B38" s="37"/>
      <c r="C38" s="37"/>
      <c r="D38" s="41"/>
      <c r="E38" s="37"/>
    </row>
    <row r="39" spans="1:5" ht="26.1" customHeight="1">
      <c r="A39" s="37"/>
      <c r="B39" s="37"/>
      <c r="C39" s="37"/>
      <c r="D39" s="41"/>
      <c r="E39" s="37"/>
    </row>
    <row r="40" spans="1:5" ht="26.1" customHeight="1">
      <c r="A40" s="38"/>
      <c r="B40" s="38"/>
      <c r="C40" s="38"/>
      <c r="D40" s="42"/>
      <c r="E40" s="38"/>
    </row>
  </sheetData>
  <dataValidations count="2">
    <dataValidation type="list" sqref="B2:B40" xr:uid="{00000000-0002-0000-0600-000000000000}">
      <formula1>"Ortaokul,Lise"</formula1>
    </dataValidation>
    <dataValidation type="list" sqref="E2:E40" xr:uid="{00000000-0002-0000-0600-000001000000}">
      <formula1>"Evet,Hayır"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Ürünler</vt:lpstr>
      <vt:lpstr>İndirimler</vt:lpstr>
      <vt:lpstr>Tasarım</vt:lpstr>
      <vt:lpstr>Kullanım</vt:lpstr>
      <vt:lpstr>Ayarlar</vt:lpstr>
      <vt:lpstr>Sayfa Ayarları</vt:lpstr>
      <vt:lpstr>İletişim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özkan</cp:lastModifiedBy>
  <dcterms:modified xsi:type="dcterms:W3CDTF">2026-08-18T07:10:08Z</dcterms:modified>
</cp:coreProperties>
</file>