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41dbe802baf481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Ürünler" sheetId="1" r:id="Rb4e2186ed4914404"/>
    <x:sheet xmlns:r="http://schemas.openxmlformats.org/officeDocument/2006/relationships" name="İndirimler" sheetId="2" r:id="Rd44ecd7575e94c29"/>
    <x:sheet xmlns:r="http://schemas.openxmlformats.org/officeDocument/2006/relationships" name="Tasarım" sheetId="3" r:id="R1f8ad36bb248466e"/>
    <x:sheet xmlns:r="http://schemas.openxmlformats.org/officeDocument/2006/relationships" name="Kullanım" sheetId="4" r:id="R3bc9b8502d8a41a3"/>
    <x:sheet xmlns:r="http://schemas.openxmlformats.org/officeDocument/2006/relationships" name="Ayarlar" sheetId="5" r:id="R64b61741e01f4b90"/>
    <x:sheet xmlns:r="http://schemas.openxmlformats.org/officeDocument/2006/relationships" name="Sayfa Ayarları" sheetId="6" r:id="R0937c6f936794bd8"/>
    <x:sheet xmlns:r="http://schemas.openxmlformats.org/officeDocument/2006/relationships" name="İletişim" sheetId="7" r:id="R1ea1f8e9ac6f403f"/>
  </x:sheets>
</x:workbook>
</file>

<file path=xl/sharedStrings.xml><?xml version="1.0" encoding="utf-8"?>
<x:sst xmlns:x="http://schemas.openxmlformats.org/spreadsheetml/2006/main">
  <x:si>
    <x:t xml:space="preserve">Barkod</x:t>
  </x:si>
  <x:si>
    <x:t xml:space="preserve">Yayın</x:t>
  </x:si>
  <x:si>
    <x:t xml:space="preserve">Sınıf</x:t>
  </x:si>
  <x:si>
    <x:t xml:space="preserve">Ders</x:t>
  </x:si>
  <x:si>
    <x:t xml:space="preserve">Genel Tür</x:t>
  </x:si>
  <x:si>
    <x:t xml:space="preserve">Tür</x:t>
  </x:si>
  <x:si>
    <x:t xml:space="preserve">Fiyat</x:t>
  </x:si>
  <x:si>
    <x:t xml:space="preserve">İnd</x:t>
  </x:si>
  <x:si>
    <x:t xml:space="preserve">Toplu</x:t>
  </x:si>
  <x:si>
    <x:t xml:space="preserve">Tanıtım Linki</x:t>
  </x:si>
  <x:si>
    <x:t xml:space="preserve">Yeni Barkodlar</x:t>
  </x:si>
  <x:si>
    <x:t xml:space="preserve">9786256648630</x:t>
  </x:si>
  <x:si>
    <x:t xml:space="preserve">Apotemi Yayınları</x:t>
  </x:si>
  <x:si>
    <x:t xml:space="preserve">Maarif TYT</x:t>
  </x:si>
  <x:si>
    <x:t xml:space="preserve">Türkçe</x:t>
  </x:si>
  <x:si>
    <x:t xml:space="preserve">Paragraf</x:t>
  </x:si>
  <x:si>
    <x:t xml:space="preserve">Soru Bankası</x:t>
  </x:si>
  <x:si>
    <x:t xml:space="preserve">9786256712614</x:t>
  </x:si>
  <x:si>
    <x:t xml:space="preserve">Bilgi Sarmal Yayınları</x:t>
  </x:si>
  <x:si>
    <x:t xml:space="preserve">https://online.fliphtml5.com/udqwy/etww/</x:t>
  </x:si>
  <x:si>
    <x:t xml:space="preserve">9786259206219</x:t>
  </x:si>
  <x:si>
    <x:t xml:space="preserve">Edebiyat Sokağı Yayınları</x:t>
  </x:si>
  <x:si>
    <x:t xml:space="preserve">9786052758861</x:t>
  </x:si>
  <x:si>
    <x:t xml:space="preserve">Limit</x:t>
  </x:si>
  <x:si>
    <x:t xml:space="preserve">ORNEK00000257</x:t>
  </x:si>
  <x:si>
    <x:t xml:space="preserve">Mikro Orijinal Yayınları</x:t>
  </x:si>
  <x:si>
    <x:t xml:space="preserve">Dil Bilgisi</x:t>
  </x:si>
  <x:si>
    <x:t xml:space="preserve">ORNEK00000263</x:t>
  </x:si>
  <x:si>
    <x:t xml:space="preserve">Mikro</x:t>
  </x:si>
  <x:si>
    <x:t xml:space="preserve">9786255708427</x:t>
  </x:si>
  <x:si>
    <x:t xml:space="preserve">Yazım ve Noktalama</x:t>
  </x:si>
  <x:si>
    <x:t xml:space="preserve">9786259205748</x:t>
  </x:si>
  <x:si>
    <x:t xml:space="preserve">Ulti Yayınları</x:t>
  </x:si>
  <x:si>
    <x:t xml:space="preserve">9. Sınıf</x:t>
  </x:si>
  <x:si>
    <x:t xml:space="preserve">Türk Dili ve Edebiyatı</x:t>
  </x:si>
  <x:si>
    <x:t xml:space="preserve">Fasikül Set</x:t>
  </x:si>
  <x:si>
    <x:t xml:space="preserve">https://online.fliphtml5.com/kbscf/eahn/</x:t>
  </x:si>
  <x:si>
    <x:t xml:space="preserve">9786256040229</x:t>
  </x:si>
  <x:si>
    <x:t xml:space="preserve">Çap Yayınları</x:t>
  </x:si>
  <x:si>
    <x:t xml:space="preserve">https://online.fliphtml5.com/chncu/mibj/</x:t>
  </x:si>
  <x:si>
    <x:t xml:space="preserve">ORNEK00000036</x:t>
  </x:si>
  <x:si>
    <x:t xml:space="preserve">Tema</x:t>
  </x:si>
  <x:si>
    <x:t xml:space="preserve">Konu Anlatımlı</x:t>
  </x:si>
  <x:si>
    <x:t xml:space="preserve">9786256630413</x:t>
  </x:si>
  <x:si>
    <x:t xml:space="preserve">Eğitim Vadisi</x:t>
  </x:si>
  <x:si>
    <x:t xml:space="preserve">TAK Tam Anlatım Kitabı</x:t>
  </x:si>
  <x:si>
    <x:t xml:space="preserve">https://app.karakok.net/spShowFlip/1546</x:t>
  </x:si>
  <x:si>
    <x:t xml:space="preserve">9786052756713</x:t>
  </x:si>
  <x:si>
    <x:t xml:space="preserve">https://online.fliphtml5.com/cotrr/kaoj/</x:t>
  </x:si>
  <x:si>
    <x:t xml:space="preserve">9786256412958</x:t>
  </x:si>
  <x:si>
    <x:t xml:space="preserve">Miray</x:t>
  </x:si>
  <x:si>
    <x:t xml:space="preserve">Ders Anlatım Fasikülleri</x:t>
  </x:si>
  <x:si>
    <x:t xml:space="preserve">9786259981284</x:t>
  </x:si>
  <x:si>
    <x:t xml:space="preserve">Süre Yayınları</x:t>
  </x:si>
  <x:si>
    <x:t xml:space="preserve">9786256921481</x:t>
  </x:si>
  <x:si>
    <x:t xml:space="preserve">4K</x:t>
  </x:si>
  <x:si>
    <x:t xml:space="preserve">https://app.karakok.net/spShowFlip/2140</x:t>
  </x:si>
  <x:si>
    <x:t xml:space="preserve">9786256712157</x:t>
  </x:si>
  <x:si>
    <x:t xml:space="preserve">https://online.fliphtml5.com/udqwy/tjur/</x:t>
  </x:si>
  <x:si>
    <x:t xml:space="preserve">9786256630475</x:t>
  </x:si>
  <x:si>
    <x:t xml:space="preserve">TİK Tam İzleme Kitabı</x:t>
  </x:si>
  <x:si>
    <x:t xml:space="preserve">https://app.karakok.net/spShowFlip/1553</x:t>
  </x:si>
  <x:si>
    <x:t xml:space="preserve">9786257532754</x:t>
  </x:si>
  <x:si>
    <x:t xml:space="preserve">Hız ve Renk Yayınları</x:t>
  </x:si>
  <x:si>
    <x:t xml:space="preserve">HİT</x:t>
  </x:si>
  <x:si>
    <x:t xml:space="preserve">https://online.fliphtml5.com/udqwy/ftqu/</x:t>
  </x:si>
  <x:si>
    <x:t xml:space="preserve">9786052756782</x:t>
  </x:si>
  <x:si>
    <x:t xml:space="preserve">https://online.fliphtml5.com/cotrr/cewx/</x:t>
  </x:si>
  <x:si>
    <x:t xml:space="preserve">9786256412835</x:t>
  </x:si>
  <x:si>
    <x:t xml:space="preserve">Tematik</x:t>
  </x:si>
  <x:si>
    <x:t xml:space="preserve">9786256040502</x:t>
  </x:si>
  <x:si>
    <x:t xml:space="preserve">9786258160406</x:t>
  </x:si>
  <x:si>
    <x:t xml:space="preserve">ENS Yayınları</x:t>
  </x:si>
  <x:si>
    <x:t xml:space="preserve">Etkinlik Kitabı</x:t>
  </x:si>
  <x:si>
    <x:t xml:space="preserve">9786258160895</x:t>
  </x:si>
  <x:si>
    <x:t xml:space="preserve">9786259052601</x:t>
  </x:si>
  <x:si>
    <x:t xml:space="preserve">10. Sınıf</x:t>
  </x:si>
  <x:si>
    <x:t xml:space="preserve">https://online.fliphtml5.com/kbscf/nfsd/</x:t>
  </x:si>
  <x:si>
    <x:t xml:space="preserve">9786256040977</x:t>
  </x:si>
  <x:si>
    <x:t xml:space="preserve">https://online.fliphtml5.com/chncu/jgqp/</x:t>
  </x:si>
  <x:si>
    <x:t xml:space="preserve">ORNEK00000040</x:t>
  </x:si>
  <x:si>
    <x:t xml:space="preserve">9786256911680</x:t>
  </x:si>
  <x:si>
    <x:t xml:space="preserve">https://app.karakok.net/spShowFlip/2166</x:t>
  </x:si>
  <x:si>
    <x:t xml:space="preserve">9786052757567</x:t>
  </x:si>
  <x:si>
    <x:t xml:space="preserve">https://online.fliphtml5.com/cotrr/qanl/</x:t>
  </x:si>
  <x:si>
    <x:t xml:space="preserve">9786256142176</x:t>
  </x:si>
  <x:si>
    <x:t xml:space="preserve">9786256921740</x:t>
  </x:si>
  <x:si>
    <x:t xml:space="preserve">https://app.karakok.net/spShowFlip/1917</x:t>
  </x:si>
  <x:si>
    <x:t xml:space="preserve">9786256712409</x:t>
  </x:si>
  <x:si>
    <x:t xml:space="preserve">https://online.fliphtml5.com/udqwy/peka/</x:t>
  </x:si>
  <x:si>
    <x:t xml:space="preserve">9786256457256</x:t>
  </x:si>
  <x:si>
    <x:t xml:space="preserve">https://app.karakok.net/spShowFlip/2167</x:t>
  </x:si>
  <x:si>
    <x:t xml:space="preserve">9786257532914</x:t>
  </x:si>
  <x:si>
    <x:t xml:space="preserve">https://online.fliphtml5.com/udqwy/qkos/</x:t>
  </x:si>
  <x:si>
    <x:t xml:space="preserve">9786052757574</x:t>
  </x:si>
  <x:si>
    <x:t xml:space="preserve">https://online.fliphtml5.com/cotrr/mdzj/</x:t>
  </x:si>
  <x:si>
    <x:t xml:space="preserve">9786256142190</x:t>
  </x:si>
  <x:si>
    <x:t xml:space="preserve">9786259981291</x:t>
  </x:si>
  <x:si>
    <x:t xml:space="preserve">9786255801043</x:t>
  </x:si>
  <x:si>
    <x:t xml:space="preserve">9786258160673</x:t>
  </x:si>
  <x:si>
    <x:t xml:space="preserve">ORNEK00000059</x:t>
  </x:si>
  <x:si>
    <x:t xml:space="preserve">11. Sınıf</x:t>
  </x:si>
  <x:si>
    <x:t xml:space="preserve">ORNEK00000045</x:t>
  </x:si>
  <x:si>
    <x:t xml:space="preserve">ORNEK00000072</x:t>
  </x:si>
  <x:si>
    <x:t xml:space="preserve">Defter</x:t>
  </x:si>
  <x:si>
    <x:t xml:space="preserve">9786052758243</x:t>
  </x:si>
  <x:si>
    <x:t xml:space="preserve">9786256142664</x:t>
  </x:si>
  <x:si>
    <x:t xml:space="preserve">9786256921962</x:t>
  </x:si>
  <x:si>
    <x:t xml:space="preserve">ORNEK00000024</x:t>
  </x:si>
  <x:si>
    <x:t xml:space="preserve">Maarif</x:t>
  </x:si>
  <x:si>
    <x:t xml:space="preserve">ORNEK00000095</x:t>
  </x:si>
  <x:si>
    <x:t xml:space="preserve">https://online.fliphtml5.com/udqwy/tioy/</x:t>
  </x:si>
  <x:si>
    <x:t xml:space="preserve">9786052758311</x:t>
  </x:si>
  <x:si>
    <x:t xml:space="preserve">9786256142671</x:t>
  </x:si>
  <x:si>
    <x:t xml:space="preserve">ORNEK00000111</x:t>
  </x:si>
  <x:si>
    <x:t xml:space="preserve">ORNEK00000063</x:t>
  </x:si>
  <x:si>
    <x:t xml:space="preserve">ORNEK00000080</x:t>
  </x:si>
  <x:si>
    <x:t xml:space="preserve">9786259012292</x:t>
  </x:si>
  <x:si>
    <x:t xml:space="preserve">9786257134484</x:t>
  </x:si>
  <x:si>
    <x:t xml:space="preserve">Acil Yayınları</x:t>
  </x:si>
  <x:si>
    <x:t xml:space="preserve">Matematik</x:t>
  </x:si>
  <x:si>
    <x:t xml:space="preserve">9786257134903</x:t>
  </x:si>
  <x:si>
    <x:t xml:space="preserve">ORNEK00000009</x:t>
  </x:si>
  <x:si>
    <x:t xml:space="preserve">Aktif Öğrenme Yayınları</x:t>
  </x:si>
  <x:si>
    <x:t xml:space="preserve">Prime</x:t>
  </x:si>
  <x:si>
    <x:t xml:space="preserve">9786256531451</x:t>
  </x:si>
  <x:si>
    <x:t xml:space="preserve">MÖF</x:t>
  </x:si>
  <x:si>
    <x:t xml:space="preserve">9786255708076</x:t>
  </x:si>
  <x:si>
    <x:t xml:space="preserve">Orijinal Matematik Yayınları</x:t>
  </x:si>
  <x:si>
    <x:t xml:space="preserve">ODF</x:t>
  </x:si>
  <x:si>
    <x:t xml:space="preserve">9786256531536</x:t>
  </x:si>
  <x:si>
    <x:t xml:space="preserve">9786259205762</x:t>
  </x:si>
  <x:si>
    <x:t xml:space="preserve">https://online.fliphtml5.com/kbscf/wtkw/</x:t>
  </x:si>
  <x:si>
    <x:t xml:space="preserve">9786057997326</x:t>
  </x:si>
  <x:si>
    <x:t xml:space="preserve">Yarıçap Yayınları</x:t>
  </x:si>
  <x:si>
    <x:t xml:space="preserve">9786256040328</x:t>
  </x:si>
  <x:si>
    <x:t xml:space="preserve">https://online.fliphtml5.com/chncu/xxtv/</x:t>
  </x:si>
  <x:si>
    <x:t xml:space="preserve">9786256142121</x:t>
  </x:si>
  <x:si>
    <x:t xml:space="preserve">Aydın</x:t>
  </x:si>
  <x:si>
    <x:t xml:space="preserve">Tematik / Ders İşleyiş Modülleri</x:t>
  </x:si>
  <x:si>
    <x:t xml:space="preserve">https://online.fliphtml5.com/wrbmv/lxrj/#p=1</x:t>
  </x:si>
  <x:si>
    <x:t xml:space="preserve">9786256630420</x:t>
  </x:si>
  <x:si>
    <x:t xml:space="preserve">Tematik / TAK Tam Anlatım Kitabı</x:t>
  </x:si>
  <x:si>
    <x:t xml:space="preserve">https://app.karakok.net/spShowFlip/1549</x:t>
  </x:si>
  <x:si>
    <x:t xml:space="preserve">9786052756706</x:t>
  </x:si>
  <x:si>
    <x:t xml:space="preserve">Konu Anlatımlı 1</x:t>
  </x:si>
  <x:si>
    <x:t xml:space="preserve">https://online.fliphtml5.com/cotrr/puqp/</x:t>
  </x:si>
  <x:si>
    <x:t xml:space="preserve">9786052757048</x:t>
  </x:si>
  <x:si>
    <x:t xml:space="preserve">Konu Anlatımlı 2</x:t>
  </x:si>
  <x:si>
    <x:t xml:space="preserve">https://online.fliphtml5.com/cotrr/btbf/</x:t>
  </x:si>
  <x:si>
    <x:t xml:space="preserve">9786256412965</x:t>
  </x:si>
  <x:si>
    <x:t xml:space="preserve">Tematik / Ders Anlatım Fasikülleri</x:t>
  </x:si>
  <x:si>
    <x:t xml:space="preserve">9786256921559</x:t>
  </x:si>
  <x:si>
    <x:t xml:space="preserve">https://app.karakok.net/spShowFlip/2143</x:t>
  </x:si>
  <x:si>
    <x:t xml:space="preserve">9786257134477</x:t>
  </x:si>
  <x:si>
    <x:t xml:space="preserve">9786255811134</x:t>
  </x:si>
  <x:si>
    <x:t xml:space="preserve">Matematiğin İlacı</x:t>
  </x:si>
  <x:si>
    <x:t xml:space="preserve">9786256412804</x:t>
  </x:si>
  <x:si>
    <x:t xml:space="preserve">https://online.fliphtml5.com/wrbmv/yois/#p=1</x:t>
  </x:si>
  <x:si>
    <x:t xml:space="preserve">9786259800943</x:t>
  </x:si>
  <x:si>
    <x:t xml:space="preserve">https://online.fliphtml5.com/udqwy/wobl/</x:t>
  </x:si>
  <x:si>
    <x:t xml:space="preserve">9786256712447</x:t>
  </x:si>
  <x:si>
    <x:t xml:space="preserve">9786256630482</x:t>
  </x:si>
  <x:si>
    <x:t xml:space="preserve">Tematik / TİK Tam İzleme Kitabı</x:t>
  </x:si>
  <x:si>
    <x:t xml:space="preserve">https://app.karakok.net/spShowFlip/1556</x:t>
  </x:si>
  <x:si>
    <x:t xml:space="preserve">9786259682297</x:t>
  </x:si>
  <x:si>
    <x:t xml:space="preserve">Full Matematik Yayınları</x:t>
  </x:si>
  <x:si>
    <x:t xml:space="preserve">9786257532860</x:t>
  </x:si>
  <x:si>
    <x:t xml:space="preserve">https://online.fliphtml5.com/udqwy/lark/</x:t>
  </x:si>
  <x:si>
    <x:t xml:space="preserve">9786052756775</x:t>
  </x:si>
  <x:si>
    <x:t xml:space="preserve">https://online.fliphtml5.com/cotrr/uoyw/</x:t>
  </x:si>
  <x:si>
    <x:t xml:space="preserve">ORNEK00000254</x:t>
  </x:si>
  <x:si>
    <x:t xml:space="preserve">9786256142008</x:t>
  </x:si>
  <x:si>
    <x:t xml:space="preserve">9786256531765</x:t>
  </x:si>
  <x:si>
    <x:t xml:space="preserve">9786057997319</x:t>
  </x:si>
  <x:si>
    <x:t xml:space="preserve">9786256040489</x:t>
  </x:si>
  <x:si>
    <x:t xml:space="preserve">https://online.fliphtml5.com/chncu/ynai/</x:t>
  </x:si>
  <x:si>
    <x:t xml:space="preserve">9786258160871</x:t>
  </x:si>
  <x:si>
    <x:t xml:space="preserve">9786255811042</x:t>
  </x:si>
  <x:si>
    <x:t xml:space="preserve">ORNEK00000010</x:t>
  </x:si>
  <x:si>
    <x:t xml:space="preserve">9786256531826</x:t>
  </x:si>
  <x:si>
    <x:t xml:space="preserve">9786255708083</x:t>
  </x:si>
  <x:si>
    <x:t xml:space="preserve">9786259052618</x:t>
  </x:si>
  <x:si>
    <x:t xml:space="preserve">https://online.fliphtml5.com/kbscf/ifyh/</x:t>
  </x:si>
  <x:si>
    <x:t xml:space="preserve">9786057997432</x:t>
  </x:si>
  <x:si>
    <x:t xml:space="preserve">9786255801005</x:t>
  </x:si>
  <x:si>
    <x:t xml:space="preserve">https://online.fliphtml5.com/chncu/iosj/</x:t>
  </x:si>
  <x:si>
    <x:t xml:space="preserve">9786256142138</x:t>
  </x:si>
  <x:si>
    <x:t xml:space="preserve">https://online.fliphtml5.com/wrbmv/muup/#p=1</x:t>
  </x:si>
  <x:si>
    <x:t xml:space="preserve">9786256457225</x:t>
  </x:si>
  <x:si>
    <x:t xml:space="preserve">https://app.karakok.net/spShowFlip/2173</x:t>
  </x:si>
  <x:si>
    <x:t xml:space="preserve">9786052757581</x:t>
  </x:si>
  <x:si>
    <x:t xml:space="preserve">9786256142152</x:t>
  </x:si>
  <x:si>
    <x:t xml:space="preserve">9786256921757</x:t>
  </x:si>
  <x:si>
    <x:t xml:space="preserve">https://app.karakok.net/spShowFlip/1921</x:t>
  </x:si>
  <x:si>
    <x:t xml:space="preserve">9786255811059</x:t>
  </x:si>
  <x:si>
    <x:t xml:space="preserve">9786255811066</x:t>
  </x:si>
  <x:si>
    <x:t xml:space="preserve">9786256142145</x:t>
  </x:si>
  <x:si>
    <x:t xml:space="preserve">https://online.fliphtml5.com/wrbmv/hicw/</x:t>
  </x:si>
  <x:si>
    <x:t xml:space="preserve">9786256712430</x:t>
  </x:si>
  <x:si>
    <x:t xml:space="preserve">https://online.fliphtml5.com/udqwy/mdvp/</x:t>
  </x:si>
  <x:si>
    <x:t xml:space="preserve">9786256712454</x:t>
  </x:si>
  <x:si>
    <x:t xml:space="preserve">9786256911314</x:t>
  </x:si>
  <x:si>
    <x:t xml:space="preserve">https://app.karakok.net/spShowFlip/2250</x:t>
  </x:si>
  <x:si>
    <x:t xml:space="preserve">9786259399805</x:t>
  </x:si>
  <x:si>
    <x:t xml:space="preserve">9786257532945</x:t>
  </x:si>
  <x:si>
    <x:t xml:space="preserve">https://online.fliphtml5.com/udqwy/aois/</x:t>
  </x:si>
  <x:si>
    <x:t xml:space="preserve">9786052757598</x:t>
  </x:si>
  <x:si>
    <x:t xml:space="preserve">https://online.fliphtml5.com/cotrr/sonr/</x:t>
  </x:si>
  <x:si>
    <x:t xml:space="preserve">ORNEK00000255</x:t>
  </x:si>
  <x:si>
    <x:t xml:space="preserve">9786256142169</x:t>
  </x:si>
  <x:si>
    <x:t xml:space="preserve">9786256531772</x:t>
  </x:si>
  <x:si>
    <x:t xml:space="preserve">9786057997449</x:t>
  </x:si>
  <x:si>
    <x:t xml:space="preserve">9786255801173</x:t>
  </x:si>
  <x:si>
    <x:t xml:space="preserve">https://online.fliphtml5.com/chncu/zbnn/</x:t>
  </x:si>
  <x:si>
    <x:t xml:space="preserve">9786258160888</x:t>
  </x:si>
  <x:si>
    <x:t xml:space="preserve">ORNEK00000001</x:t>
  </x:si>
  <x:si>
    <x:t xml:space="preserve">ORNEK00000011</x:t>
  </x:si>
  <x:si>
    <x:t xml:space="preserve">ORNEK00000107</x:t>
  </x:si>
  <x:si>
    <x:t xml:space="preserve">ORNEK00000108</x:t>
  </x:si>
  <x:si>
    <x:t xml:space="preserve">9786057997494</x:t>
  </x:si>
  <x:si>
    <x:t xml:space="preserve">ORNEK00000058</x:t>
  </x:si>
  <x:si>
    <x:t xml:space="preserve">9786057710055</x:t>
  </x:si>
  <x:si>
    <x:t xml:space="preserve">ORNEK00000041</x:t>
  </x:si>
  <x:si>
    <x:t xml:space="preserve">ORNEK00000076</x:t>
  </x:si>
  <x:si>
    <x:t xml:space="preserve">9786256349063</x:t>
  </x:si>
  <x:si>
    <x:t xml:space="preserve">Etkili Matematik Yayınları</x:t>
  </x:si>
  <x:si>
    <x:t xml:space="preserve">9786052758274</x:t>
  </x:si>
  <x:si>
    <x:t xml:space="preserve">9786256142640</x:t>
  </x:si>
  <x:si>
    <x:t xml:space="preserve">9786256921924</x:t>
  </x:si>
  <x:si>
    <x:t xml:space="preserve">ORNEK00000002</x:t>
  </x:si>
  <x:si>
    <x:t xml:space="preserve">ORNEK00000003</x:t>
  </x:si>
  <x:si>
    <x:t xml:space="preserve">İlacı</x:t>
  </x:si>
  <x:si>
    <x:t xml:space="preserve">9786057710116</x:t>
  </x:si>
  <x:si>
    <x:t xml:space="preserve">ORNEK00000022</x:t>
  </x:si>
  <x:si>
    <x:t xml:space="preserve">ORNEK00000088</x:t>
  </x:si>
  <x:si>
    <x:t xml:space="preserve">ORNEK00000098</x:t>
  </x:si>
  <x:si>
    <x:t xml:space="preserve">https://online.fliphtml5.com/udqwy/afjs/</x:t>
  </x:si>
  <x:si>
    <x:t xml:space="preserve">9786052758359</x:t>
  </x:si>
  <x:si>
    <x:t xml:space="preserve">ORNEK00000256</x:t>
  </x:si>
  <x:si>
    <x:t xml:space="preserve">9786256142657</x:t>
  </x:si>
  <x:si>
    <x:t xml:space="preserve">ORNEK00000109</x:t>
  </x:si>
  <x:si>
    <x:t xml:space="preserve">ORNEK00000113</x:t>
  </x:si>
  <x:si>
    <x:t xml:space="preserve">ORNEK00000067</x:t>
  </x:si>
  <x:si>
    <x:t xml:space="preserve">ORNEK00000084</x:t>
  </x:si>
  <x:si>
    <x:t xml:space="preserve">9786257134668</x:t>
  </x:si>
  <x:si>
    <x:t xml:space="preserve">12. Sınıf</x:t>
  </x:si>
  <x:si>
    <x:t xml:space="preserve">9786256531642</x:t>
  </x:si>
  <x:si>
    <x:t xml:space="preserve">9786256531062</x:t>
  </x:si>
  <x:si>
    <x:t xml:space="preserve">9786057997296</x:t>
  </x:si>
  <x:si>
    <x:t xml:space="preserve">9786258139136</x:t>
  </x:si>
  <x:si>
    <x:t xml:space="preserve">Anadolu</x:t>
  </x:si>
  <x:si>
    <x:t xml:space="preserve">https://online.fliphtml5.com/chncu/naki/</x:t>
  </x:si>
  <x:si>
    <x:t xml:space="preserve">9786258139440</x:t>
  </x:si>
  <x:si>
    <x:t xml:space="preserve">Fen Lisesi</x:t>
  </x:si>
  <x:si>
    <x:t xml:space="preserve">https://online.fliphtml5.com/chncu/dhzq/</x:t>
  </x:si>
  <x:si>
    <x:t xml:space="preserve">9786258104318</x:t>
  </x:si>
  <x:si>
    <x:t xml:space="preserve">https://online.fliphtml5.com/wrbmv/cyqo/#p=1</x:t>
  </x:si>
  <x:si>
    <x:t xml:space="preserve">9786256412460</x:t>
  </x:si>
  <x:si>
    <x:t xml:space="preserve">9786255708373</x:t>
  </x:si>
  <x:si>
    <x:t xml:space="preserve">ORNEK00000004</x:t>
  </x:si>
  <x:si>
    <x:t xml:space="preserve">9786255811110</x:t>
  </x:si>
  <x:si>
    <x:t xml:space="preserve">Sistematik</x:t>
  </x:si>
  <x:si>
    <x:t xml:space="preserve">ORNEK00000008</x:t>
  </x:si>
  <x:si>
    <x:t xml:space="preserve">0 Dan Başlayanlara</x:t>
  </x:si>
  <x:si>
    <x:t xml:space="preserve">9786258188141</x:t>
  </x:si>
  <x:si>
    <x:t xml:space="preserve">9786256142435</x:t>
  </x:si>
  <x:si>
    <x:t xml:space="preserve">9786256712591</x:t>
  </x:si>
  <x:si>
    <x:t xml:space="preserve">https://online.fliphtml5.com/udqwy/dssa/</x:t>
  </x:si>
  <x:si>
    <x:t xml:space="preserve">ORNEK00000089</x:t>
  </x:si>
  <x:si>
    <x:t xml:space="preserve">Nicelik Değişimler</x:t>
  </x:si>
  <x:si>
    <x:t xml:space="preserve">ORNEK00000091</x:t>
  </x:si>
  <x:si>
    <x:t xml:space="preserve">Sayılar</x:t>
  </x:si>
  <x:si>
    <x:t xml:space="preserve">9786052758892</x:t>
  </x:si>
  <x:si>
    <x:t xml:space="preserve">ORNEK00000261</x:t>
  </x:si>
  <x:si>
    <x:t xml:space="preserve">9786255708281</x:t>
  </x:si>
  <x:si>
    <x:t xml:space="preserve">ORNEK00000268</x:t>
  </x:si>
  <x:si>
    <x:t xml:space="preserve">Sıfır</x:t>
  </x:si>
  <x:si>
    <x:t xml:space="preserve">9786256142398</x:t>
  </x:si>
  <x:si>
    <x:t xml:space="preserve">9786255708304</x:t>
  </x:si>
  <x:si>
    <x:t xml:space="preserve">ORNEK00000267</x:t>
  </x:si>
  <x:si>
    <x:t xml:space="preserve">9786259266527</x:t>
  </x:si>
  <x:si>
    <x:t xml:space="preserve">Viral Yayınları</x:t>
  </x:si>
  <x:si>
    <x:t xml:space="preserve">9786057997500</x:t>
  </x:si>
  <x:si>
    <x:t xml:space="preserve">9786259012285</x:t>
  </x:si>
  <x:si>
    <x:t xml:space="preserve">9786259195421</x:t>
  </x:si>
  <x:si>
    <x:t xml:space="preserve">Rehber Matematik Yayınları</x:t>
  </x:si>
  <x:si>
    <x:t xml:space="preserve">Video Ders Kitabı</x:t>
  </x:si>
  <x:si>
    <x:t xml:space="preserve">9786255708410</x:t>
  </x:si>
  <x:si>
    <x:t xml:space="preserve">Geometri</x:t>
  </x:si>
  <x:si>
    <x:t xml:space="preserve">9786255811127</x:t>
  </x:si>
  <x:si>
    <x:t xml:space="preserve">ORNEK00000005</x:t>
  </x:si>
  <x:si>
    <x:t xml:space="preserve">ORNEK00000007</x:t>
  </x:si>
  <x:si>
    <x:t xml:space="preserve">9786256712607</x:t>
  </x:si>
  <x:si>
    <x:t xml:space="preserve">https://online.fliphtml5.com/udqwy/xruh/</x:t>
  </x:si>
  <x:si>
    <x:t xml:space="preserve">ORNEK00000090</x:t>
  </x:si>
  <x:si>
    <x:t xml:space="preserve">Üçgenler</x:t>
  </x:si>
  <x:si>
    <x:t xml:space="preserve">9786052758908</x:t>
  </x:si>
  <x:si>
    <x:t xml:space="preserve">ORNEK00000259</x:t>
  </x:si>
  <x:si>
    <x:t xml:space="preserve">9786255708298</x:t>
  </x:si>
  <x:si>
    <x:t xml:space="preserve">ORNEK00000269</x:t>
  </x:si>
  <x:si>
    <x:t xml:space="preserve">9786256142466</x:t>
  </x:si>
  <x:si>
    <x:t xml:space="preserve">ORNEK00000266</x:t>
  </x:si>
  <x:si>
    <x:t xml:space="preserve">9786259794716</x:t>
  </x:si>
  <x:si>
    <x:t xml:space="preserve">Fizik Pedia Yayınları</x:t>
  </x:si>
  <x:si>
    <x:t xml:space="preserve">Fizik</x:t>
  </x:si>
  <x:si>
    <x:t xml:space="preserve">Kavramsal</x:t>
  </x:si>
  <x:si>
    <x:t xml:space="preserve">9786256531857</x:t>
  </x:si>
  <x:si>
    <x:t xml:space="preserve">9786256531864</x:t>
  </x:si>
  <x:si>
    <x:t xml:space="preserve">9786259205700</x:t>
  </x:si>
  <x:si>
    <x:t xml:space="preserve">https://online.fliphtml5.com/kbscf/bilu/</x:t>
  </x:si>
  <x:si>
    <x:t xml:space="preserve">9786256040250</x:t>
  </x:si>
  <x:si>
    <x:t xml:space="preserve">https://online.fliphtml5.com/chncu/zgpd/</x:t>
  </x:si>
  <x:si>
    <x:t xml:space="preserve">9786256142237</x:t>
  </x:si>
  <x:si>
    <x:t xml:space="preserve">Ders İşleyiş Modülleri</x:t>
  </x:si>
  <x:si>
    <x:t xml:space="preserve">https://online.fliphtml5.com/wrbmv/jhtg/</x:t>
  </x:si>
  <x:si>
    <x:t xml:space="preserve">ORNEK00000033</x:t>
  </x:si>
  <x:si>
    <x:t xml:space="preserve">9786256630437</x:t>
  </x:si>
  <x:si>
    <x:t xml:space="preserve">https://app.karakok.net/spShowFlip/1547</x:t>
  </x:si>
  <x:si>
    <x:t xml:space="preserve">9786052756676</x:t>
  </x:si>
  <x:si>
    <x:t xml:space="preserve">https://online.fliphtml5.com/cotrr/ywyp/</x:t>
  </x:si>
  <x:si>
    <x:t xml:space="preserve">9786256412767</x:t>
  </x:si>
  <x:si>
    <x:t xml:space="preserve">9786259626802</x:t>
  </x:si>
  <x:si>
    <x:t xml:space="preserve">Profizik</x:t>
  </x:si>
  <x:si>
    <x:t xml:space="preserve">9786256921511</x:t>
  </x:si>
  <x:si>
    <x:t xml:space="preserve">https://app.karakok.net/spShowFlip/2141</x:t>
  </x:si>
  <x:si>
    <x:t xml:space="preserve">9786256412811</x:t>
  </x:si>
  <x:si>
    <x:t xml:space="preserve">https://online.fliphtml5.com/wrbmv/etlo/</x:t>
  </x:si>
  <x:si>
    <x:t xml:space="preserve">9786256712164</x:t>
  </x:si>
  <x:si>
    <x:t xml:space="preserve">https://online.fliphtml5.com/udqwy/myzu/</x:t>
  </x:si>
  <x:si>
    <x:t xml:space="preserve">9786259429755</x:t>
  </x:si>
  <x:si>
    <x:t xml:space="preserve">Egzersiz Yayınları</x:t>
  </x:si>
  <x:si>
    <x:t xml:space="preserve">9786256630499</x:t>
  </x:si>
  <x:si>
    <x:t xml:space="preserve">https://app.karakok.net/spShowFlip/1554</x:t>
  </x:si>
  <x:si>
    <x:t xml:space="preserve">ORNEK00000285</x:t>
  </x:si>
  <x:si>
    <x:t xml:space="preserve">9786259695433</x:t>
  </x:si>
  <x:si>
    <x:t xml:space="preserve">9786258160444</x:t>
  </x:si>
  <x:si>
    <x:t xml:space="preserve">https://online.fliphtml5.com/udqwy/qqfx/</x:t>
  </x:si>
  <x:si>
    <x:t xml:space="preserve">9786052756744</x:t>
  </x:si>
  <x:si>
    <x:t xml:space="preserve">https://online.fliphtml5.com/cotrr/ebfi/</x:t>
  </x:si>
  <x:si>
    <x:t xml:space="preserve">9786256412774</x:t>
  </x:si>
  <x:si>
    <x:t xml:space="preserve">9786256040595</x:t>
  </x:si>
  <x:si>
    <x:t xml:space="preserve">https://online.fliphtml5.com/chncu/xwmz/</x:t>
  </x:si>
  <x:si>
    <x:t xml:space="preserve">9786258160628</x:t>
  </x:si>
  <x:si>
    <x:t xml:space="preserve">9786259066929</x:t>
  </x:si>
  <x:si>
    <x:t xml:space="preserve">9786259794778</x:t>
  </x:si>
  <x:si>
    <x:t xml:space="preserve">9786255708137</x:t>
  </x:si>
  <x:si>
    <x:t xml:space="preserve">9786259205779</x:t>
  </x:si>
  <x:si>
    <x:t xml:space="preserve">https://online.fliphtml5.com/kbscf/pqrm/</x:t>
  </x:si>
  <x:si>
    <x:t xml:space="preserve">9786256040960</x:t>
  </x:si>
  <x:si>
    <x:t xml:space="preserve">https://online.fliphtml5.com/chncu/xycg/</x:t>
  </x:si>
  <x:si>
    <x:t xml:space="preserve">9786256142220</x:t>
  </x:si>
  <x:si>
    <x:t xml:space="preserve">https://online.fliphtml5.com/wrbmv/xurw/#p=1</x:t>
  </x:si>
  <x:si>
    <x:t xml:space="preserve">ORNEK00000037</x:t>
  </x:si>
  <x:si>
    <x:t xml:space="preserve">9786256457287</x:t>
  </x:si>
  <x:si>
    <x:t xml:space="preserve">https://app.karakok.net/spShowFlip/2168</x:t>
  </x:si>
  <x:si>
    <x:t xml:space="preserve">9786052757642</x:t>
  </x:si>
  <x:si>
    <x:t xml:space="preserve">https://online.fliphtml5.com/cotrr/mqkz/</x:t>
  </x:si>
  <x:si>
    <x:t xml:space="preserve">9786256142183</x:t>
  </x:si>
  <x:si>
    <x:t xml:space="preserve">9786259626819</x:t>
  </x:si>
  <x:si>
    <x:t xml:space="preserve">9786256921696</x:t>
  </x:si>
  <x:si>
    <x:t xml:space="preserve">https://app.karakok.net/spShowFlip/1919</x:t>
  </x:si>
  <x:si>
    <x:t xml:space="preserve">9786256142213</x:t>
  </x:si>
  <x:si>
    <x:t xml:space="preserve">https://online.fliphtml5.com/wrbmv/ufuz/#p=1</x:t>
  </x:si>
  <x:si>
    <x:t xml:space="preserve">9786256712362</x:t>
  </x:si>
  <x:si>
    <x:t xml:space="preserve">https://online.fliphtml5.com/udqwy/atkt/</x:t>
  </x:si>
  <x:si>
    <x:t xml:space="preserve">9786259429762</x:t>
  </x:si>
  <x:si>
    <x:t xml:space="preserve">9786259429786</x:t>
  </x:si>
  <x:si>
    <x:t xml:space="preserve">9786256911949</x:t>
  </x:si>
  <x:si>
    <x:t xml:space="preserve">https://app.karakok.net/spShowFlip/2169</x:t>
  </x:si>
  <x:si>
    <x:t xml:space="preserve">ORNEK00000286</x:t>
  </x:si>
  <x:si>
    <x:t xml:space="preserve">9786259695440</x:t>
  </x:si>
  <x:si>
    <x:t xml:space="preserve">9786257532921</x:t>
  </x:si>
  <x:si>
    <x:t xml:space="preserve">https://online.fliphtml5.com/udqwy/xjvc/</x:t>
  </x:si>
  <x:si>
    <x:t xml:space="preserve">9786052757659</x:t>
  </x:si>
  <x:si>
    <x:t xml:space="preserve">https://online.fliphtml5.com/cotrr/abfr/</x:t>
  </x:si>
  <x:si>
    <x:t xml:space="preserve">9786256142206</x:t>
  </x:si>
  <x:si>
    <x:t xml:space="preserve">9786256040816</x:t>
  </x:si>
  <x:si>
    <x:t xml:space="preserve">https://online.fliphtml5.com/chncu/serp/</x:t>
  </x:si>
  <x:si>
    <x:t xml:space="preserve">9786258160833</x:t>
  </x:si>
  <x:si>
    <x:t xml:space="preserve">ORNEK00000106</x:t>
  </x:si>
  <x:si>
    <x:t xml:space="preserve">ORNEK00000056</x:t>
  </x:si>
  <x:si>
    <x:t xml:space="preserve">9786057710192</x:t>
  </x:si>
  <x:si>
    <x:t xml:space="preserve">ORNEK00000042</x:t>
  </x:si>
  <x:si>
    <x:t xml:space="preserve">ORNEK00000074</x:t>
  </x:si>
  <x:si>
    <x:t xml:space="preserve">9786052758281</x:t>
  </x:si>
  <x:si>
    <x:t xml:space="preserve">9786256142688</x:t>
  </x:si>
  <x:si>
    <x:t xml:space="preserve">9786256921931</x:t>
  </x:si>
  <x:si>
    <x:t xml:space="preserve">9786057710185</x:t>
  </x:si>
  <x:si>
    <x:t xml:space="preserve">ORNEK00000020</x:t>
  </x:si>
  <x:si>
    <x:t xml:space="preserve">ORNEK00000069</x:t>
  </x:si>
  <x:si>
    <x:t xml:space="preserve">ORNEK00000087</x:t>
  </x:si>
  <x:si>
    <x:t xml:space="preserve">ORNEK00000287</x:t>
  </x:si>
  <x:si>
    <x:t xml:space="preserve">ORNEK00000096</x:t>
  </x:si>
  <x:si>
    <x:t xml:space="preserve">https://online.fliphtml5.com/udqwy/wlxl/</x:t>
  </x:si>
  <x:si>
    <x:t xml:space="preserve">9786052758373</x:t>
  </x:si>
  <x:si>
    <x:t xml:space="preserve">9786256142695</x:t>
  </x:si>
  <x:si>
    <x:t xml:space="preserve">ORNEK00000065</x:t>
  </x:si>
  <x:si>
    <x:t xml:space="preserve">ORNEK00000082</x:t>
  </x:si>
  <x:si>
    <x:t xml:space="preserve">9786256531321</x:t>
  </x:si>
  <x:si>
    <x:t xml:space="preserve">9786256531956</x:t>
  </x:si>
  <x:si>
    <x:t xml:space="preserve">MÖF 4. Fasikül</x:t>
  </x:si>
  <x:si>
    <x:t xml:space="preserve">9786257732499</x:t>
  </x:si>
  <x:si>
    <x:t xml:space="preserve">https://online.fliphtml5.com/chncu/topp/</x:t>
  </x:si>
  <x:si>
    <x:t xml:space="preserve">9786258139204</x:t>
  </x:si>
  <x:si>
    <x:t xml:space="preserve">https://online.fliphtml5.com/chncu/prwq/</x:t>
  </x:si>
  <x:si>
    <x:t xml:space="preserve">9786258104493</x:t>
  </x:si>
  <x:si>
    <x:t xml:space="preserve"> https://online.fliphtml5.com/wrbmv/vxmu/#p=1</x:t>
  </x:si>
  <x:si>
    <x:t xml:space="preserve">9786256412507</x:t>
  </x:si>
  <x:si>
    <x:t xml:space="preserve">9786259626840</x:t>
  </x:si>
  <x:si>
    <x:t xml:space="preserve">9786259626857</x:t>
  </x:si>
  <x:si>
    <x:t xml:space="preserve">9786256142442</x:t>
  </x:si>
  <x:si>
    <x:t xml:space="preserve">9786256712621</x:t>
  </x:si>
  <x:si>
    <x:t xml:space="preserve">ORNEK00000284</x:t>
  </x:si>
  <x:si>
    <x:t xml:space="preserve">ORNEK00000086</x:t>
  </x:si>
  <x:si>
    <x:t xml:space="preserve">9786052758915</x:t>
  </x:si>
  <x:si>
    <x:t xml:space="preserve">ORNEK00000258</x:t>
  </x:si>
  <x:si>
    <x:t xml:space="preserve">9786256142473</x:t>
  </x:si>
  <x:si>
    <x:t xml:space="preserve">9786255708311</x:t>
  </x:si>
  <x:si>
    <x:t xml:space="preserve">ORNEK00000264</x:t>
  </x:si>
  <x:si>
    <x:t xml:space="preserve">9786259026329</x:t>
  </x:si>
  <x:si>
    <x:t xml:space="preserve">9786259534169</x:t>
  </x:si>
  <x:si>
    <x:t xml:space="preserve">Orbital Yayınları</x:t>
  </x:si>
  <x:si>
    <x:t xml:space="preserve">Kimya</x:t>
  </x:si>
  <x:si>
    <x:t xml:space="preserve">Odam</x:t>
  </x:si>
  <x:si>
    <x:t xml:space="preserve">https://online.fliphtml5.com/udqwy/rwci/</x:t>
  </x:si>
  <x:si>
    <x:t xml:space="preserve">9786259205724</x:t>
  </x:si>
  <x:si>
    <x:t xml:space="preserve">https://online.fliphtml5.com/kbscf/uclz/</x:t>
  </x:si>
  <x:si>
    <x:t xml:space="preserve">9786256040472</x:t>
  </x:si>
  <x:si>
    <x:t xml:space="preserve">https://online.fliphtml5.com/chncu/zjmx/</x:t>
  </x:si>
  <x:si>
    <x:t xml:space="preserve">9786256142053</x:t>
  </x:si>
  <x:si>
    <x:t xml:space="preserve">https://online.fliphtml5.com/wrbmv/wcqa/</x:t>
  </x:si>
  <x:si>
    <x:t xml:space="preserve">ORNEK00000034</x:t>
  </x:si>
  <x:si>
    <x:t xml:space="preserve">9786256630444</x:t>
  </x:si>
  <x:si>
    <x:t xml:space="preserve">https://app.karakok.net/spShowFlip/1548</x:t>
  </x:si>
  <x:si>
    <x:t xml:space="preserve">9786052756652</x:t>
  </x:si>
  <x:si>
    <x:t xml:space="preserve">https://online.fliphtml5.com/cotrr/mgkp/</x:t>
  </x:si>
  <x:si>
    <x:t xml:space="preserve">9786256412743</x:t>
  </x:si>
  <x:si>
    <x:t xml:space="preserve">ORNEK00000101</x:t>
  </x:si>
  <x:si>
    <x:t xml:space="preserve">Oktet Yayınları</x:t>
  </x:si>
  <x:si>
    <x:t xml:space="preserve">9786256921573</x:t>
  </x:si>
  <x:si>
    <x:t xml:space="preserve">https://app.karakok.net/spShowFlip/2142</x:t>
  </x:si>
  <x:si>
    <x:t xml:space="preserve">9786256412675</x:t>
  </x:si>
  <x:si>
    <x:t xml:space="preserve">https://online.fliphtml5.com/wrbmv/lspl/#p=1</x:t>
  </x:si>
  <x:si>
    <x:t xml:space="preserve">9786259800929</x:t>
  </x:si>
  <x:si>
    <x:t xml:space="preserve">https://online.fliphtml5.com/udqwy/ssrj/</x:t>
  </x:si>
  <x:si>
    <x:t xml:space="preserve">9786256630505</x:t>
  </x:si>
  <x:si>
    <x:t xml:space="preserve">https://app.karakok.net/spShowFlip/1555</x:t>
  </x:si>
  <x:si>
    <x:t xml:space="preserve">9786257532747</x:t>
  </x:si>
  <x:si>
    <x:t xml:space="preserve">https://online.fliphtml5.com/udqwy/glnk/</x:t>
  </x:si>
  <x:si>
    <x:t xml:space="preserve">9786052756720</x:t>
  </x:si>
  <x:si>
    <x:t xml:space="preserve">https://online.fliphtml5.com/cotrr/jwjt/</x:t>
  </x:si>
  <x:si>
    <x:t xml:space="preserve">9786256412750</x:t>
  </x:si>
  <x:si>
    <x:t xml:space="preserve">9786259534107</x:t>
  </x:si>
  <x:si>
    <x:t xml:space="preserve">https://online.fliphtml5.com/udqwy/zgtb/</x:t>
  </x:si>
  <x:si>
    <x:t xml:space="preserve">9786256040588</x:t>
  </x:si>
  <x:si>
    <x:t xml:space="preserve">https://online.fliphtml5.com/chncu/bref/</x:t>
  </x:si>
  <x:si>
    <x:t xml:space="preserve">9786258160840</x:t>
  </x:si>
  <x:si>
    <x:t xml:space="preserve">9786259677828</x:t>
  </x:si>
  <x:si>
    <x:t xml:space="preserve">https://online.fliphtml5.com/udqwy/zymh/</x:t>
  </x:si>
  <x:si>
    <x:t xml:space="preserve">9786259205717</x:t>
  </x:si>
  <x:si>
    <x:t xml:space="preserve">https://online.fliphtml5.com/kbscf/rwrl/</x:t>
  </x:si>
  <x:si>
    <x:t xml:space="preserve">9786256040984</x:t>
  </x:si>
  <x:si>
    <x:t xml:space="preserve">https://online.fliphtml5.com/chncu/tucv/</x:t>
  </x:si>
  <x:si>
    <x:t xml:space="preserve">9786256142060</x:t>
  </x:si>
  <x:si>
    <x:t xml:space="preserve">https://online.fliphtml5.com/wrbmv/erke/#p=1</x:t>
  </x:si>
  <x:si>
    <x:t xml:space="preserve">ORNEK00000038</x:t>
  </x:si>
  <x:si>
    <x:t xml:space="preserve">9786256457577</x:t>
  </x:si>
  <x:si>
    <x:t xml:space="preserve">https://app.karakok.net/spShowFlip/2158</x:t>
  </x:si>
  <x:si>
    <x:t xml:space="preserve">9786052757666</x:t>
  </x:si>
  <x:si>
    <x:t xml:space="preserve">https://online.fliphtml5.com/cotrr/qkuq/</x:t>
  </x:si>
  <x:si>
    <x:t xml:space="preserve">9786256142084</x:t>
  </x:si>
  <x:si>
    <x:t xml:space="preserve">ORNEK00000102</x:t>
  </x:si>
  <x:si>
    <x:t xml:space="preserve">9786256921702</x:t>
  </x:si>
  <x:si>
    <x:t xml:space="preserve">https://app.karakok.net/spShowFlip/1920</x:t>
  </x:si>
  <x:si>
    <x:t xml:space="preserve">9786256142077</x:t>
  </x:si>
  <x:si>
    <x:t xml:space="preserve">https://online.fliphtml5.com/wrbmv/ktlu/#p=1</x:t>
  </x:si>
  <x:si>
    <x:t xml:space="preserve">9786256712393</x:t>
  </x:si>
  <x:si>
    <x:t xml:space="preserve">https://online.fliphtml5.com/udqwy/xwsi/</x:t>
  </x:si>
  <x:si>
    <x:t xml:space="preserve">9786256911925</x:t>
  </x:si>
  <x:si>
    <x:t xml:space="preserve">https://app.karakok.net/spShowFlip/2164</x:t>
  </x:si>
  <x:si>
    <x:t xml:space="preserve">9786257532891</x:t>
  </x:si>
  <x:si>
    <x:t xml:space="preserve">https://online.fliphtml5.com/udqwy/wsau/</x:t>
  </x:si>
  <x:si>
    <x:t xml:space="preserve">9786052757673</x:t>
  </x:si>
  <x:si>
    <x:t xml:space="preserve">https://online.fliphtml5.com/cotrr/ijlj/</x:t>
  </x:si>
  <x:si>
    <x:t xml:space="preserve">9786256142091</x:t>
  </x:si>
  <x:si>
    <x:t xml:space="preserve">9786259677811</x:t>
  </x:si>
  <x:si>
    <x:t xml:space="preserve">https://online.fliphtml5.com/udqwy/dydh/</x:t>
  </x:si>
  <x:si>
    <x:t xml:space="preserve">9786256040861</x:t>
  </x:si>
  <x:si>
    <x:t xml:space="preserve">https://online.fliphtml5.com/chncu/zlro/</x:t>
  </x:si>
  <x:si>
    <x:t xml:space="preserve">9786258160789</x:t>
  </x:si>
  <x:si>
    <x:t xml:space="preserve">ORNEK00000104</x:t>
  </x:si>
  <x:si>
    <x:t xml:space="preserve">ORNEK00000057</x:t>
  </x:si>
  <x:si>
    <x:t xml:space="preserve">9786057710154</x:t>
  </x:si>
  <x:si>
    <x:t xml:space="preserve">ORNEK00000043</x:t>
  </x:si>
  <x:si>
    <x:t xml:space="preserve">ORNEK00000075</x:t>
  </x:si>
  <x:si>
    <x:t xml:space="preserve">9786052758298</x:t>
  </x:si>
  <x:si>
    <x:t xml:space="preserve">9786256142565</x:t>
  </x:si>
  <x:si>
    <x:t xml:space="preserve">ORNEK00000103</x:t>
  </x:si>
  <x:si>
    <x:t xml:space="preserve">9786256921986</x:t>
  </x:si>
  <x:si>
    <x:t xml:space="preserve">9786057710161</x:t>
  </x:si>
  <x:si>
    <x:t xml:space="preserve">9786256712485</x:t>
  </x:si>
  <x:si>
    <x:t xml:space="preserve">https://online.fliphtml5.com/udqwy/hbis/</x:t>
  </x:si>
  <x:si>
    <x:t xml:space="preserve">ORNEK00000097</x:t>
  </x:si>
  <x:si>
    <x:t xml:space="preserve">https://online.fliphtml5.com/udqwy/engb/</x:t>
  </x:si>
  <x:si>
    <x:t xml:space="preserve">9786052758380</x:t>
  </x:si>
  <x:si>
    <x:t xml:space="preserve">9786256142572</x:t>
  </x:si>
  <x:si>
    <x:t xml:space="preserve">ORNEK00000066</x:t>
  </x:si>
  <x:si>
    <x:t xml:space="preserve">ORNEK00000083</x:t>
  </x:si>
  <x:si>
    <x:t xml:space="preserve">9786257732574</x:t>
  </x:si>
  <x:si>
    <x:t xml:space="preserve">https://online.fliphtml5.com/chncu/xzrr/</x:t>
  </x:si>
  <x:si>
    <x:t xml:space="preserve">9786258139648</x:t>
  </x:si>
  <x:si>
    <x:t xml:space="preserve">https://online.fliphtml5.com/chncu/lhfz/</x:t>
  </x:si>
  <x:si>
    <x:t xml:space="preserve">9786258104486</x:t>
  </x:si>
  <x:si>
    <x:t xml:space="preserve">https://online.fliphtml5.com/wrbmv/ibrt/#p=1</x:t>
  </x:si>
  <x:si>
    <x:t xml:space="preserve">9786258104547</x:t>
  </x:si>
  <x:si>
    <x:t xml:space="preserve">9786057323408</x:t>
  </x:si>
  <x:si>
    <x:t xml:space="preserve">9786057323415</x:t>
  </x:si>
  <x:si>
    <x:t xml:space="preserve">9786256412453</x:t>
  </x:si>
  <x:si>
    <x:t xml:space="preserve">9786256142428</x:t>
  </x:si>
  <x:si>
    <x:t xml:space="preserve">9786256712577</x:t>
  </x:si>
  <x:si>
    <x:t xml:space="preserve">https://online.fliphtml5.com/udqwy/ofyh/</x:t>
  </x:si>
  <x:si>
    <x:t xml:space="preserve">9786052758922</x:t>
  </x:si>
  <x:si>
    <x:t xml:space="preserve">9786256142527</x:t>
  </x:si>
  <x:si>
    <x:t xml:space="preserve">ORNEK00000100</x:t>
  </x:si>
  <x:si>
    <x:t xml:space="preserve">9786259677873</x:t>
  </x:si>
  <x:si>
    <x:t xml:space="preserve">9786259026312</x:t>
  </x:si>
  <x:si>
    <x:t xml:space="preserve">9786259205731</x:t>
  </x:si>
  <x:si>
    <x:t xml:space="preserve">Biyoloji</x:t>
  </x:si>
  <x:si>
    <x:t xml:space="preserve">https://online.fliphtml5.com/kbscf/wxxz/</x:t>
  </x:si>
  <x:si>
    <x:t xml:space="preserve">9786256040298</x:t>
  </x:si>
  <x:si>
    <x:t xml:space="preserve">https://online.fliphtml5.com/chncu/bkiw/</x:t>
  </x:si>
  <x:si>
    <x:t xml:space="preserve">ORNEK00000035</x:t>
  </x:si>
  <x:si>
    <x:t xml:space="preserve">9786259188904</x:t>
  </x:si>
  <x:si>
    <x:t xml:space="preserve">Biyotik Yayınları</x:t>
  </x:si>
  <x:si>
    <x:t xml:space="preserve">Konu Anlatım Föyleri</x:t>
  </x:si>
  <x:si>
    <x:t xml:space="preserve">https://biyotik.com.tr/view/img/pdf/9_bikaf_demo.pdf</x:t>
  </x:si>
  <x:si>
    <x:t xml:space="preserve">9786057361967</x:t>
  </x:si>
  <x:si>
    <x:t xml:space="preserve">9786256630451</x:t>
  </x:si>
  <x:si>
    <x:t xml:space="preserve">https://app.karakok.net/spShowFlip/1544</x:t>
  </x:si>
  <x:si>
    <x:t xml:space="preserve">9786052756669</x:t>
  </x:si>
  <x:si>
    <x:t xml:space="preserve">https://online.fliphtml5.com/cotrr/hqex/</x:t>
  </x:si>
  <x:si>
    <x:t xml:space="preserve">9786256412781</x:t>
  </x:si>
  <x:si>
    <x:t xml:space="preserve">9786256921597</x:t>
  </x:si>
  <x:si>
    <x:t xml:space="preserve">https://app.karakok.net/spShowFlip/2138</x:t>
  </x:si>
  <x:si>
    <x:t xml:space="preserve">9786256412828</x:t>
  </x:si>
  <x:si>
    <x:t xml:space="preserve">https://online.fliphtml5.com/wrbmv/llma/</x:t>
  </x:si>
  <x:si>
    <x:t xml:space="preserve">9786259800936</x:t>
  </x:si>
  <x:si>
    <x:t xml:space="preserve">https://online.fliphtml5.com/udqwy/arvp/</x:t>
  </x:si>
  <x:si>
    <x:t xml:space="preserve">9786259674773</x:t>
  </x:si>
  <x:si>
    <x:t xml:space="preserve">https://biyotik.com.tr/view/img/pdf/9.pdf</x:t>
  </x:si>
  <x:si>
    <x:t xml:space="preserve">9786057361950</x:t>
  </x:si>
  <x:si>
    <x:t xml:space="preserve">9786259188928</x:t>
  </x:si>
  <x:si>
    <x:t xml:space="preserve">İnteraktif Etkinlik</x:t>
  </x:si>
  <x:si>
    <x:t xml:space="preserve">https://biyotik.com.tr/view/img/pdf/9_btt_demo.pdf</x:t>
  </x:si>
  <x:si>
    <x:t xml:space="preserve">9786057361974</x:t>
  </x:si>
  <x:si>
    <x:t xml:space="preserve">9786256630512</x:t>
  </x:si>
  <x:si>
    <x:t xml:space="preserve">https://app.karakok.net/spShowFlip/1551</x:t>
  </x:si>
  <x:si>
    <x:t xml:space="preserve">9786257532907</x:t>
  </x:si>
  <x:si>
    <x:t xml:space="preserve">https://online.fliphtml5.com/udqwy/ewtq/</x:t>
  </x:si>
  <x:si>
    <x:t xml:space="preserve">9786052756737</x:t>
  </x:si>
  <x:si>
    <x:t xml:space="preserve">https://online.fliphtml5.com/cotrr/nzux/</x:t>
  </x:si>
  <x:si>
    <x:t xml:space="preserve">9786256412798</x:t>
  </x:si>
  <x:si>
    <x:t xml:space="preserve">9786259473925</x:t>
  </x:si>
  <x:si>
    <x:t xml:space="preserve">Ritim Biyoloji Yayınları</x:t>
  </x:si>
  <x:si>
    <x:t xml:space="preserve">9786256040625</x:t>
  </x:si>
  <x:si>
    <x:t xml:space="preserve">https://online.fliphtml5.com/chncu/ymyi/</x:t>
  </x:si>
  <x:si>
    <x:t xml:space="preserve">9786258160802</x:t>
  </x:si>
  <x:si>
    <x:t xml:space="preserve">9786259205793</x:t>
  </x:si>
  <x:si>
    <x:t xml:space="preserve">https://online.fliphtml5.com/kbscf/uste/</x:t>
  </x:si>
  <x:si>
    <x:t xml:space="preserve">9786255801067</x:t>
  </x:si>
  <x:si>
    <x:t xml:space="preserve">https://online.fliphtml5.com/chncu/gytr/</x:t>
  </x:si>
  <x:si>
    <x:t xml:space="preserve">ORNEK00000039</x:t>
  </x:si>
  <x:si>
    <x:t xml:space="preserve">9786259188911</x:t>
  </x:si>
  <x:si>
    <x:t xml:space="preserve">https://biyotik.com.tr/view/img/kitap/2026-10.sinif-konu-anlatim-foyleri-demo.pdf</x:t>
  </x:si>
  <x:si>
    <x:t xml:space="preserve">9786057361998</x:t>
  </x:si>
  <x:si>
    <x:t xml:space="preserve">9786256457300</x:t>
  </x:si>
  <x:si>
    <x:t xml:space="preserve">https://app.karakok.net/spShowFlip/2248</x:t>
  </x:si>
  <x:si>
    <x:t xml:space="preserve">9786052757680</x:t>
  </x:si>
  <x:si>
    <x:t xml:space="preserve">https://online.fliphtml5.com/cotrr/kima/</x:t>
  </x:si>
  <x:si>
    <x:t xml:space="preserve">9786256142114</x:t>
  </x:si>
  <x:si>
    <x:t xml:space="preserve">9786256921719</x:t>
  </x:si>
  <x:si>
    <x:t xml:space="preserve">https://app.karakok.net/spShowFlip/1915</x:t>
  </x:si>
  <x:si>
    <x:t xml:space="preserve">9786256142107</x:t>
  </x:si>
  <x:si>
    <x:t xml:space="preserve">https://online.fliphtml5.com/wrbmv/rjsu/#p=1</x:t>
  </x:si>
  <x:si>
    <x:t xml:space="preserve">9786256712379</x:t>
  </x:si>
  <x:si>
    <x:t xml:space="preserve">https://online.fliphtml5.com/udqwy/nxnv/</x:t>
  </x:si>
  <x:si>
    <x:t xml:space="preserve">9786259674780</x:t>
  </x:si>
  <x:si>
    <x:t xml:space="preserve">https://biyotik.com.tr/view/img/kitap/2026_yeni_mufredat_10_sinif_soru_bankasi_DEMO_yeni.pdf</x:t>
  </x:si>
  <x:si>
    <x:t xml:space="preserve">9786057361981</x:t>
  </x:si>
  <x:si>
    <x:t xml:space="preserve">9786259188935</x:t>
  </x:si>
  <x:si>
    <x:t xml:space="preserve">https://biyotik.com.tr/view/img/pdf/10_btt_demo.pdf</x:t>
  </x:si>
  <x:si>
    <x:t xml:space="preserve">9786259674704</x:t>
  </x:si>
  <x:si>
    <x:t xml:space="preserve">9786256911789</x:t>
  </x:si>
  <x:si>
    <x:t xml:space="preserve">https://app.karakok.net/spShowFlip/2249</x:t>
  </x:si>
  <x:si>
    <x:t xml:space="preserve">9786257532938</x:t>
  </x:si>
  <x:si>
    <x:t xml:space="preserve">9786052757697</x:t>
  </x:si>
  <x:si>
    <x:t xml:space="preserve">https://online.fliphtml5.com/cotrr/pobr/</x:t>
  </x:si>
  <x:si>
    <x:t xml:space="preserve">9786256412378</x:t>
  </x:si>
  <x:si>
    <x:t xml:space="preserve">9786259473963</x:t>
  </x:si>
  <x:si>
    <x:t xml:space="preserve">9786255801029</x:t>
  </x:si>
  <x:si>
    <x:t xml:space="preserve">9786258160819</x:t>
  </x:si>
  <x:si>
    <x:t xml:space="preserve">ORNEK00000054</x:t>
  </x:si>
  <x:si>
    <x:t xml:space="preserve">ORNEK00000044</x:t>
  </x:si>
  <x:si>
    <x:t xml:space="preserve">ORNEK00000070</x:t>
  </x:si>
  <x:si>
    <x:t xml:space="preserve">9786052758304</x:t>
  </x:si>
  <x:si>
    <x:t xml:space="preserve">9786256142596</x:t>
  </x:si>
  <x:si>
    <x:t xml:space="preserve">9786256921948</x:t>
  </x:si>
  <x:si>
    <x:t xml:space="preserve">9786057710178</x:t>
  </x:si>
  <x:si>
    <x:t xml:space="preserve">ORNEK00000017</x:t>
  </x:si>
  <x:si>
    <x:t xml:space="preserve">9786259674797</x:t>
  </x:si>
  <x:si>
    <x:t xml:space="preserve">https://biyotik.com.tr/view/img/pdf/11.pdf</x:t>
  </x:si>
  <x:si>
    <x:t xml:space="preserve">ORNEK00000093</x:t>
  </x:si>
  <x:si>
    <x:t xml:space="preserve">https://online.fliphtml5.com/udqwy/mdhg/</x:t>
  </x:si>
  <x:si>
    <x:t xml:space="preserve">9786052758366</x:t>
  </x:si>
  <x:si>
    <x:t xml:space="preserve">9786256142558</x:t>
  </x:si>
  <x:si>
    <x:t xml:space="preserve">ORNEK00000110</x:t>
  </x:si>
  <x:si>
    <x:t xml:space="preserve">ORNEK00000061</x:t>
  </x:si>
  <x:si>
    <x:t xml:space="preserve">ORNEK00000078</x:t>
  </x:si>
  <x:si>
    <x:t xml:space="preserve">9786258225006</x:t>
  </x:si>
  <x:si>
    <x:t xml:space="preserve">https://online.fliphtml5.com/chncu/avcj/</x:t>
  </x:si>
  <x:si>
    <x:t xml:space="preserve">9786258139518</x:t>
  </x:si>
  <x:si>
    <x:t xml:space="preserve">https://online.fliphtml5.com/chncu/swka/</x:t>
  </x:si>
  <x:si>
    <x:t xml:space="preserve">9786256412514</x:t>
  </x:si>
  <x:si>
    <x:t xml:space="preserve">9786259674766</x:t>
  </x:si>
  <x:si>
    <x:t xml:space="preserve">9786256142459</x:t>
  </x:si>
  <x:si>
    <x:t xml:space="preserve">9786256712560</x:t>
  </x:si>
  <x:si>
    <x:t xml:space="preserve">https://online.fliphtml5.com/udqwy/wpto/</x:t>
  </x:si>
  <x:si>
    <x:t xml:space="preserve">9786259674759</x:t>
  </x:si>
  <x:si>
    <x:t xml:space="preserve">9786052758939</x:t>
  </x:si>
  <x:si>
    <x:t xml:space="preserve">9786256142480</x:t>
  </x:si>
  <x:si>
    <x:t xml:space="preserve">9786259026305</x:t>
  </x:si>
  <x:si>
    <x:t xml:space="preserve">9786259052625</x:t>
  </x:si>
  <x:si>
    <x:t xml:space="preserve">Tarih</x:t>
  </x:si>
  <x:si>
    <x:t xml:space="preserve">https://online.fliphtml5.com/kbscf/gitx/</x:t>
  </x:si>
  <x:si>
    <x:t xml:space="preserve">9786256040441</x:t>
  </x:si>
  <x:si>
    <x:t xml:space="preserve">https://online.fliphtml5.com/chncu/fljb/</x:t>
  </x:si>
  <x:si>
    <x:t xml:space="preserve">9786256630383</x:t>
  </x:si>
  <x:si>
    <x:t xml:space="preserve">https://app.karakok.net/spShowFlip/1550</x:t>
  </x:si>
  <x:si>
    <x:t xml:space="preserve">9786052756683</x:t>
  </x:si>
  <x:si>
    <x:t xml:space="preserve">https://online.fliphtml5.com/cotrr/emrs/</x:t>
  </x:si>
  <x:si>
    <x:t xml:space="preserve">9786256921535</x:t>
  </x:si>
  <x:si>
    <x:t xml:space="preserve">https://app.karakok.net/spShowFlip/2144</x:t>
  </x:si>
  <x:si>
    <x:t xml:space="preserve">9786259793603</x:t>
  </x:si>
  <x:si>
    <x:t xml:space="preserve">Bilgi Arşivi Yayınları</x:t>
  </x:si>
  <x:si>
    <x:t xml:space="preserve">9786259800905</x:t>
  </x:si>
  <x:si>
    <x:t xml:space="preserve">https://online.fliphtml5.com/udqwy/byqm/</x:t>
  </x:si>
  <x:si>
    <x:t xml:space="preserve">9786256630529</x:t>
  </x:si>
  <x:si>
    <x:t xml:space="preserve">https://app.karakok.net/spShowFlip/1557</x:t>
  </x:si>
  <x:si>
    <x:t xml:space="preserve">9786257532785</x:t>
  </x:si>
  <x:si>
    <x:t xml:space="preserve">https://online.fliphtml5.com/udqwy/lcil/</x:t>
  </x:si>
  <x:si>
    <x:t xml:space="preserve">9786052756751</x:t>
  </x:si>
  <x:si>
    <x:t xml:space="preserve">https://online.fliphtml5.com/cotrr/xubu/</x:t>
  </x:si>
  <x:si>
    <x:t xml:space="preserve">9786256412972</x:t>
  </x:si>
  <x:si>
    <x:t xml:space="preserve">9786256040496</x:t>
  </x:si>
  <x:si>
    <x:t xml:space="preserve">9786258160642</x:t>
  </x:si>
  <x:si>
    <x:t xml:space="preserve">9786255801142</x:t>
  </x:si>
  <x:si>
    <x:t xml:space="preserve">https://online.fliphtml5.com/chncu/bysh/</x:t>
  </x:si>
  <x:si>
    <x:t xml:space="preserve">9786256911338</x:t>
  </x:si>
  <x:si>
    <x:t xml:space="preserve">https://app.karakok.net/spShowFlip/2159</x:t>
  </x:si>
  <x:si>
    <x:t xml:space="preserve">9786052757628</x:t>
  </x:si>
  <x:si>
    <x:t xml:space="preserve">https://online.fliphtml5.com/cotrr/hdvv/</x:t>
  </x:si>
  <x:si>
    <x:t xml:space="preserve">9786256921726</x:t>
  </x:si>
  <x:si>
    <x:t xml:space="preserve">https://app.karakok.net/spShowFlip/1922</x:t>
  </x:si>
  <x:si>
    <x:t xml:space="preserve">9786259793658</x:t>
  </x:si>
  <x:si>
    <x:t xml:space="preserve">9786256712423</x:t>
  </x:si>
  <x:si>
    <x:t xml:space="preserve">https://online.fliphtml5.com/udqwy/ehfc/</x:t>
  </x:si>
  <x:si>
    <x:t xml:space="preserve">9786256911215</x:t>
  </x:si>
  <x:si>
    <x:t xml:space="preserve">https://app.karakok.net/spShowFlip/2165</x:t>
  </x:si>
  <x:si>
    <x:t xml:space="preserve">9786257532853</x:t>
  </x:si>
  <x:si>
    <x:t xml:space="preserve">https://online.fliphtml5.com/udqwy/qdll/</x:t>
  </x:si>
  <x:si>
    <x:t xml:space="preserve">9786052757635</x:t>
  </x:si>
  <x:si>
    <x:t xml:space="preserve">https://online.fliphtml5.com/cotrr/kilo/</x:t>
  </x:si>
  <x:si>
    <x:t xml:space="preserve">9786256142244</x:t>
  </x:si>
  <x:si>
    <x:t xml:space="preserve">9786256040878</x:t>
  </x:si>
  <x:si>
    <x:t xml:space="preserve">https://online.fliphtml5.com/chncu/bzor/</x:t>
  </x:si>
  <x:si>
    <x:t xml:space="preserve">9786258160680</x:t>
  </x:si>
  <x:si>
    <x:t xml:space="preserve">ORNEK00000060</x:t>
  </x:si>
  <x:si>
    <x:t xml:space="preserve">ORNEK00000077</x:t>
  </x:si>
  <x:si>
    <x:t xml:space="preserve">9786052758250</x:t>
  </x:si>
  <x:si>
    <x:t xml:space="preserve">9786256921917</x:t>
  </x:si>
  <x:si>
    <x:t xml:space="preserve">ORNEK00000016</x:t>
  </x:si>
  <x:si>
    <x:t xml:space="preserve">ORNEK00000023</x:t>
  </x:si>
  <x:si>
    <x:t xml:space="preserve">ORNEK00000099</x:t>
  </x:si>
  <x:si>
    <x:t xml:space="preserve">https://online.fliphtml5.com/udqwy/veus/</x:t>
  </x:si>
  <x:si>
    <x:t xml:space="preserve">9786052758328</x:t>
  </x:si>
  <x:si>
    <x:t xml:space="preserve">9786256142725</x:t>
  </x:si>
  <x:si>
    <x:t xml:space="preserve">ORNEK00000068</x:t>
  </x:si>
  <x:si>
    <x:t xml:space="preserve">ORNEK00000085</x:t>
  </x:si>
  <x:si>
    <x:t xml:space="preserve">9786256712584</x:t>
  </x:si>
  <x:si>
    <x:t xml:space="preserve">https://online.fliphtml5.com/udqwy/tctd/</x:t>
  </x:si>
  <x:si>
    <x:t xml:space="preserve">9786052758885</x:t>
  </x:si>
  <x:si>
    <x:t xml:space="preserve">9786259205755</x:t>
  </x:si>
  <x:si>
    <x:t xml:space="preserve">Coğrafya</x:t>
  </x:si>
  <x:si>
    <x:t xml:space="preserve">https://online.fliphtml5.com/kbscf/ykgk/</x:t>
  </x:si>
  <x:si>
    <x:t xml:space="preserve">9786256040533</x:t>
  </x:si>
  <x:si>
    <x:t xml:space="preserve">https://online.fliphtml5.com/chncu/zjwx/</x:t>
  </x:si>
  <x:si>
    <x:t xml:space="preserve">ORNEK00000050</x:t>
  </x:si>
  <x:si>
    <x:t xml:space="preserve">Coğrafya Gurmesi Yayınları</x:t>
  </x:si>
  <x:si>
    <x:t xml:space="preserve">9786256630468</x:t>
  </x:si>
  <x:si>
    <x:t xml:space="preserve">https://app.karakok.net/spShowFlip/1545</x:t>
  </x:si>
  <x:si>
    <x:t xml:space="preserve">9786052756690</x:t>
  </x:si>
  <x:si>
    <x:t xml:space="preserve">https://online.fliphtml5.com/cotrr/xgsh/</x:t>
  </x:si>
  <x:si>
    <x:t xml:space="preserve">9786256921474</x:t>
  </x:si>
  <x:si>
    <x:t xml:space="preserve">https://app.karakok.net/spShowFlip/2139</x:t>
  </x:si>
  <x:si>
    <x:t xml:space="preserve">9786259800912</x:t>
  </x:si>
  <x:si>
    <x:t xml:space="preserve">https://online.fliphtml5.com/udqwy/mpgu/</x:t>
  </x:si>
  <x:si>
    <x:t xml:space="preserve">9786259490045</x:t>
  </x:si>
  <x:si>
    <x:t xml:space="preserve">9786256630536</x:t>
  </x:si>
  <x:si>
    <x:t xml:space="preserve">https://app.karakok.net/spShowFlip/1552</x:t>
  </x:si>
  <x:si>
    <x:t xml:space="preserve">9786257532730</x:t>
  </x:si>
  <x:si>
    <x:t xml:space="preserve">9786052756768</x:t>
  </x:si>
  <x:si>
    <x:t xml:space="preserve">https://online.fliphtml5.com/cotrr/vmkd/</x:t>
  </x:si>
  <x:si>
    <x:t xml:space="preserve">9786256412996</x:t>
  </x:si>
  <x:si>
    <x:t xml:space="preserve">9786256040618</x:t>
  </x:si>
  <x:si>
    <x:t xml:space="preserve">https://online.fliphtml5.com/chncu/jbyq/</x:t>
  </x:si>
  <x:si>
    <x:t xml:space="preserve">9786258160659</x:t>
  </x:si>
  <x:si>
    <x:t xml:space="preserve">9786259052632</x:t>
  </x:si>
  <x:si>
    <x:t xml:space="preserve">https://online.fliphtml5.com/kbscf/xztx/</x:t>
  </x:si>
  <x:si>
    <x:t xml:space="preserve">9786255801104</x:t>
  </x:si>
  <x:si>
    <x:t xml:space="preserve">https://online.fliphtml5.com/chncu/gsqk/</x:t>
  </x:si>
  <x:si>
    <x:t xml:space="preserve">ORNEK00000051</x:t>
  </x:si>
  <x:si>
    <x:t xml:space="preserve">9786256911178</x:t>
  </x:si>
  <x:si>
    <x:t xml:space="preserve">https://app.karakok.net/spShowFlip/2161</x:t>
  </x:si>
  <x:si>
    <x:t xml:space="preserve">9786052757604</x:t>
  </x:si>
  <x:si>
    <x:t xml:space="preserve">https://online.fliphtml5.com/cotrr/odoj/</x:t>
  </x:si>
  <x:si>
    <x:t xml:space="preserve">9786256921733</x:t>
  </x:si>
  <x:si>
    <x:t xml:space="preserve">https://app.karakok.net/spShowFlip/1916</x:t>
  </x:si>
  <x:si>
    <x:t xml:space="preserve">9786256712386</x:t>
  </x:si>
  <x:si>
    <x:t xml:space="preserve">9786259490052</x:t>
  </x:si>
  <x:si>
    <x:t xml:space="preserve">9786256457058</x:t>
  </x:si>
  <x:si>
    <x:t xml:space="preserve">https://app.karakok.net/spShowFlip/2162</x:t>
  </x:si>
  <x:si>
    <x:t xml:space="preserve">9786257532884</x:t>
  </x:si>
  <x:si>
    <x:t xml:space="preserve">https://online.fliphtml5.com/udqwy/qnmp/</x:t>
  </x:si>
  <x:si>
    <x:t xml:space="preserve">9786052757611</x:t>
  </x:si>
  <x:si>
    <x:t xml:space="preserve">https://online.fliphtml5.com/cotrr/fdhk/</x:t>
  </x:si>
  <x:si>
    <x:t xml:space="preserve">9786256142251</x:t>
  </x:si>
  <x:si>
    <x:t xml:space="preserve">9786255801012</x:t>
  </x:si>
  <x:si>
    <x:t xml:space="preserve">https://online.fliphtml5.com/chncu/cwos/</x:t>
  </x:si>
  <x:si>
    <x:t xml:space="preserve">9786258160666</x:t>
  </x:si>
  <x:si>
    <x:t xml:space="preserve">ORNEK00000055</x:t>
  </x:si>
  <x:si>
    <x:t xml:space="preserve">ORNEK00000052</x:t>
  </x:si>
  <x:si>
    <x:t xml:space="preserve">ORNEK00000071</x:t>
  </x:si>
  <x:si>
    <x:t xml:space="preserve">9786052758267</x:t>
  </x:si>
  <x:si>
    <x:t xml:space="preserve">9786256921979</x:t>
  </x:si>
  <x:si>
    <x:t xml:space="preserve">9786256712690</x:t>
  </x:si>
  <x:si>
    <x:t xml:space="preserve">https://online.fliphtml5.com/udqwy/yntn/</x:t>
  </x:si>
  <x:si>
    <x:t xml:space="preserve">ORNEK00000053</x:t>
  </x:si>
  <x:si>
    <x:t xml:space="preserve">ORNEK00000094</x:t>
  </x:si>
  <x:si>
    <x:t xml:space="preserve">https://online.fliphtml5.com/udqwy/yxzb/</x:t>
  </x:si>
  <x:si>
    <x:t xml:space="preserve">9786052758335</x:t>
  </x:si>
  <x:si>
    <x:t xml:space="preserve">9786256142701</x:t>
  </x:si>
  <x:si>
    <x:t xml:space="preserve">ORNEK00000062</x:t>
  </x:si>
  <x:si>
    <x:t xml:space="preserve">ORNEK00000079</x:t>
  </x:si>
  <x:si>
    <x:t xml:space="preserve">9786256712553</x:t>
  </x:si>
  <x:si>
    <x:t xml:space="preserve">https://online.fliphtml5.com/udqwy/hpbi/</x:t>
  </x:si>
  <x:si>
    <x:t xml:space="preserve">9786259490076</x:t>
  </x:si>
  <x:si>
    <x:t xml:space="preserve">9786052758878</x:t>
  </x:si>
  <x:si>
    <x:t xml:space="preserve">9786256911130</x:t>
  </x:si>
  <x:si>
    <x:t xml:space="preserve">Felsefe</x:t>
  </x:si>
  <x:si>
    <x:t xml:space="preserve">https://app.karakok.net/spShowFlip/2160</x:t>
  </x:si>
  <x:si>
    <x:t xml:space="preserve">9786256921689</x:t>
  </x:si>
  <x:si>
    <x:t xml:space="preserve">https://app.karakok.net/spShowFlip/1918</x:t>
  </x:si>
  <x:si>
    <x:t xml:space="preserve">9786256712218</x:t>
  </x:si>
  <x:si>
    <x:t xml:space="preserve">https://online.fliphtml5.com/udqwy/lixu/</x:t>
  </x:si>
  <x:si>
    <x:t xml:space="preserve">9786256457041</x:t>
  </x:si>
  <x:si>
    <x:t xml:space="preserve">https://app.karakok.net/spShowFlip/2163</x:t>
  </x:si>
  <x:si>
    <x:t xml:space="preserve">9786256142268</x:t>
  </x:si>
  <x:si>
    <x:t xml:space="preserve">9786255801159</x:t>
  </x:si>
  <x:si>
    <x:t xml:space="preserve">https://online.fliphtml5.com/chncu/unbs/</x:t>
  </x:si>
  <x:si>
    <x:t xml:space="preserve">ORNEK00000073</x:t>
  </x:si>
  <x:si>
    <x:t xml:space="preserve">9786052758342</x:t>
  </x:si>
  <x:si>
    <x:t xml:space="preserve">9786256921955</x:t>
  </x:si>
  <x:si>
    <x:t xml:space="preserve">ORNEK00000019</x:t>
  </x:si>
  <x:si>
    <x:t xml:space="preserve">9786256142718</x:t>
  </x:si>
  <x:si>
    <x:t xml:space="preserve">ORNEK00000064</x:t>
  </x:si>
  <x:si>
    <x:t xml:space="preserve">ORNEK00000081</x:t>
  </x:si>
  <x:si>
    <x:t xml:space="preserve">9786258715040</x:t>
  </x:si>
  <x:si>
    <x:t xml:space="preserve">Sosyal Bilimler</x:t>
  </x:si>
  <x:si>
    <x:t xml:space="preserve">ORNEK00000012</x:t>
  </x:si>
  <x:si>
    <x:t xml:space="preserve">Alan Yayınları</x:t>
  </x:si>
  <x:si>
    <x:t xml:space="preserve">Tüm Dersler</x:t>
  </x:si>
  <x:si>
    <x:t xml:space="preserve">ORNEK00000014</x:t>
  </x:si>
  <x:si>
    <x:t xml:space="preserve">9786256712249</x:t>
  </x:si>
  <x:si>
    <x:t xml:space="preserve">Kamp Kitabı</x:t>
  </x:si>
  <x:si>
    <x:t xml:space="preserve">ORNEK00000013</x:t>
  </x:si>
  <x:si>
    <x:t xml:space="preserve">ORNEK00000015</x:t>
  </x:si>
  <x:si>
    <x:t xml:space="preserve">9786256412989</x:t>
  </x:si>
  <x:si>
    <x:t xml:space="preserve">Din Kültürü</x:t>
  </x:si>
  <x:si>
    <x:t xml:space="preserve">9786256142275</x:t>
  </x:si>
  <x:si>
    <x:t xml:space="preserve">Tekli İndirim %</x:t>
  </x:si>
  <x:si>
    <x:t xml:space="preserve">Toplu İndirim %</x:t>
  </x:si>
  <x:si>
    <x:t xml:space="preserve">Tasarım Ayarı</x:t>
  </x:si>
  <x:si>
    <x:t xml:space="preserve">Değer</x:t>
  </x:si>
  <x:si>
    <x:t xml:space="preserve">Başlık</x:t>
  </x:si>
  <x:si>
    <x:t xml:space="preserve">2026-2027 Öğretmen Fiyat Listesi</x:t>
  </x:si>
  <x:si>
    <x:t xml:space="preserve">Alt Başlık</x:t>
  </x:si>
  <x:si>
    <x:t xml:space="preserve">Dersi seçin, sınıflara ayrılmış kitapları ve fiyatları görüntüleyin.</x:t>
  </x:si>
  <x:si>
    <x:t xml:space="preserve">Ana Renk</x:t>
  </x:si>
  <x:si>
    <x:t xml:space="preserve">#173F5F</x:t>
  </x:si>
  <x:si>
    <x:t xml:space="preserve">Vurgu Rengi</x:t>
  </x:si>
  <x:si>
    <x:t xml:space="preserve">#F2B134</x:t>
  </x:si>
  <x:si>
    <x:t xml:space="preserve">Fiyat Listesi Yönetim Dosyası</x:t>
  </x:si>
  <x:si>
    <x:t xml:space="preserve">Nasıl kullanılır?</x:t>
  </x:si>
  <x:si>
    <x:t xml:space="preserve">1</x:t>
  </x:si>
  <x:si>
    <x:t xml:space="preserve">Yeni ürünü Ürünler sayfasındaki tablonun en altına ekleyin.</x:t>
  </x:si>
  <x:si>
    <x:t xml:space="preserve">2</x:t>
  </x:si>
  <x:si>
    <x:t xml:space="preserve">Fiyat sütunu normal satış fiyatıdır.</x:t>
  </x:si>
  <x:si>
    <x:t xml:space="preserve">3</x:t>
  </x:si>
  <x:si>
    <x:t xml:space="preserve">İndirimler sayfasında Yayın ve Sınıf bazında Tekli/Toplu indirim oranlarını yazın.</x:t>
  </x:si>
  <x:si>
    <x:t xml:space="preserve">4</x:t>
  </x:si>
  <x:si>
    <x:t xml:space="preserve">Ürünler sayfasındaki İnd ve Toplu fiyatlar otomatik hesaplanır.</x:t>
  </x:si>
  <x:si>
    <x:t xml:space="preserve">5</x:t>
  </x:si>
  <x:si>
    <x:t xml:space="preserve">Tanıtım Linki varsa kitap adına otomatik olarak bağlanır.</x:t>
  </x:si>
  <x:si>
    <x:t xml:space="preserve">6</x:t>
  </x:si>
  <x:si>
    <x:t xml:space="preserve">Dosya GitHub'a yüklendiğinde web programı ve PDF otomatik yenilenir.</x:t>
  </x:si>
  <x:si>
    <x:t xml:space="preserve">7</x:t>
  </x:si>
  <x:si>
    <x:t xml:space="preserve">Yeni bir yayınevi ekleyip Güncelle düğmesine bastığınızda Ayarlar listesine otomatik eklenir. Karşısındaki Kitabevi Kodu'nu seçin.</x:t>
  </x:si>
  <x:si>
    <x:t xml:space="preserve">8</x:t>
  </x:si>
  <x:si>
    <x:t xml:space="preserve">Logo göstermek için Sayfa Ayarları sayfasındaki Logo Linki alanına doğrudan görsel bağlantısını yapıştırın.</x:t>
  </x:si>
  <x:si>
    <x:t xml:space="preserve">Sınıf Ayarları</x:t>
  </x:si>
  <x:si>
    <x:t xml:space="preserve">Kitabevi Listesi</x:t>
  </x:si>
  <x:si>
    <x:t xml:space="preserve">Yayınevi - Kitabevi Eşleştirmesi</x:t>
  </x:si>
  <x:si>
    <x:t xml:space="preserve">Kademe</x:t>
  </x:si>
  <x:si>
    <x:t xml:space="preserve">Kitabevi Kodu</x:t>
  </x:si>
  <x:si>
    <x:t xml:space="preserve">Kitabevi Adı</x:t>
  </x:si>
  <x:si>
    <x:t xml:space="preserve">Yayınevi</x:t>
  </x:si>
  <x:si>
    <x:t xml:space="preserve">5. Sınıf</x:t>
  </x:si>
  <x:si>
    <x:t xml:space="preserve">Ortaokul</x:t>
  </x:si>
  <x:si>
    <x:t xml:space="preserve">kitabevi-1</x:t>
  </x:si>
  <x:si>
    <x:t xml:space="preserve">İşler Kitabevi</x:t>
  </x:si>
  <x:si>
    <x:t xml:space="preserve">kitabevi-2</x:t>
  </x:si>
  <x:si>
    <x:t xml:space="preserve">6. Sınıf</x:t>
  </x:si>
  <x:si>
    <x:t xml:space="preserve">Mega Kitabevi</x:t>
  </x:si>
  <x:si>
    <x:t xml:space="preserve">7. Sınıf</x:t>
  </x:si>
  <x:si>
    <x:t xml:space="preserve">8. Sınıf</x:t>
  </x:si>
  <x:si>
    <x:t xml:space="preserve">Lise</x:t>
  </x:si>
  <x:si>
    <x:t xml:space="preserve">Sayfa Başlığı</x:t>
  </x:si>
  <x:si>
    <x:t xml:space="preserve">Açıklama</x:t>
  </x:si>
  <x:si>
    <x:t xml:space="preserve">Aktif</x:t>
  </x:si>
  <x:si>
    <x:t xml:space="preserve">Ana Sayfa Sırası</x:t>
  </x:si>
  <x:si>
    <x:t xml:space="preserve">Logo Linki</x:t>
  </x:si>
  <x:si>
    <x:t xml:space="preserve">Gösterilecek Diğer Liste</x:t>
  </x:si>
  <x:si>
    <x:t xml:space="preserve">Ortaokul kitapları ve güncel fiyat listesi</x:t>
  </x:si>
  <x:si>
    <x:t xml:space="preserve">#8B1E2D</x:t>
  </x:si>
  <x:si>
    <x:t xml:space="preserve">Evet</x:t>
  </x:si>
  <x:si>
    <x:t xml:space="preserve">assets/logos/isler-kitabevi.png</x:t>
  </x:si>
  <x:si>
    <x:t xml:space="preserve">kitabevi-2 | Ortaokul</x:t>
  </x:si>
  <x:si>
    <x:t xml:space="preserve">Lise kitapları ve güncel fiyat listesi</x:t>
  </x:si>
  <x:si>
    <x:t xml:space="preserve">kitabevi-2 | Lise</x:t>
  </x:si>
  <x:si>
    <x:t xml:space="preserve">#211F20</x:t>
  </x:si>
  <x:si>
    <x:t xml:space="preserve">#F6B500</x:t>
  </x:si>
  <x:si>
    <x:t xml:space="preserve">assets/logos/mega-kitabevi.png</x:t>
  </x:si>
  <x:si>
    <x:t xml:space="preserve">Yok</x:t>
  </x:si>
  <x:si>
    <x:t xml:space="preserve">Ad Soyad</x:t>
  </x:si>
  <x:si>
    <x:t xml:space="preserve">Telefon</x:t>
  </x:si>
  <x:si>
    <x:t xml:space="preserve">WhatsApp</x:t>
  </x:si>
  <x:si>
    <x:t xml:space="preserve">Aytaç Arslan</x:t>
  </x:si>
  <x:si>
    <x:t xml:space="preserve">5345556747</x:t>
  </x:si>
  <x:si>
    <x:t xml:space="preserve">Emre Arslan</x:t>
  </x:si>
  <x:si>
    <x:t xml:space="preserve">5466779329</x:t>
  </x:si>
  <x:si>
    <x:t xml:space="preserve">Furkan ÖZKAN</x:t>
  </x:si>
  <x:si>
    <x:t xml:space="preserve">5434333319</x:t>
  </x:si>
</x:sst>
</file>

<file path=xl/styles.xml><?xml version="1.0" encoding="utf-8"?>
<x:styleSheet xmlns:x="http://schemas.openxmlformats.org/spreadsheetml/2006/main">
  <x:numFmts count="1">
    <x:numFmt numFmtId="164" formatCode="\₺#,##0.00"/>
  </x:numFmts>
  <x:fonts count="9">
    <x:font>
      <x:sz val="11"/>
      <x:name val="Carlito"/>
    </x:font>
    <x:font>
      <x:b/>
      <x:sz val="11"/>
      <x:color rgb="FFFFFFFF"/>
      <x:name val="Carlito"/>
    </x:font>
    <x:font>
      <x:sz val="10"/>
      <x:color rgb="FF17212B"/>
      <x:name val="Carlito"/>
    </x:font>
    <x:font>
      <x:b/>
      <x:sz val="18"/>
      <x:color rgb="FFFFFFFF"/>
      <x:name val="Carlito"/>
    </x:font>
    <x:font>
      <x:b/>
      <x:sz val="11"/>
      <x:color rgb="FF17212B"/>
      <x:name val="Carlito"/>
    </x:font>
    <x:font>
      <x:b/>
      <x:sz val="11"/>
      <x:color rgb="FF173F5F"/>
      <x:name val="Carlito"/>
    </x:font>
    <x:font>
      <x:sz val="11"/>
      <x:color theme="10"/>
      <x:name val="Carlito"/>
    </x:font>
    <x:font>
      <x:b/>
      <x:sz val="14"/>
      <x:color rgb="FFFFFFFF"/>
      <x:name val="Carlito"/>
    </x:font>
    <x:font>
      <x:b/>
      <x:sz val="12"/>
      <x:color rgb="FFFFFFFF"/>
      <x:name val="Carlito"/>
    </x:font>
  </x:fonts>
  <x:fills count="17">
    <x:fill>
      <x:patternFill patternType="none"/>
    </x:fill>
    <x:fill>
      <x:patternFill patternType="gray125"/>
    </x:fill>
    <x:fill>
      <x:patternFill patternType="solid">
        <x:fgColor rgb="FF173F5F"/>
      </x:patternFill>
    </x:fill>
    <x:fill>
      <x:patternFill patternType="solid">
        <x:fgColor rgb="FFFFF4CC"/>
      </x:patternFill>
    </x:fill>
    <x:fill>
      <x:patternFill patternType="solid">
        <x:fgColor rgb="FFE9F8EF"/>
      </x:patternFill>
    </x:fill>
    <x:fill>
      <x:patternFill patternType="solid">
        <x:fgColor rgb="FFF2B134"/>
      </x:patternFill>
    </x:fill>
    <x:fill>
      <x:patternFill patternType="solid">
        <x:fgColor rgb="FFEAF2F7"/>
      </x:patternFill>
    </x:fill>
    <x:fill>
      <x:patternFill patternType="solid">
        <x:fgColor rgb="FFFFF4CC"/>
      </x:patternFill>
    </x:fill>
    <x:fill>
      <x:patternFill patternType="solid">
        <x:fgColor rgb="FF173F5F"/>
      </x:patternFill>
    </x:fill>
    <x:fill>
      <x:patternFill patternType="solid">
        <x:fgColor rgb="FFF2B134"/>
      </x:patternFill>
    </x:fill>
    <x:fill>
      <x:patternFill patternType="solid">
        <x:fgColor rgb="FF173F5F"/>
      </x:patternFill>
    </x:fill>
    <x:fill>
      <x:patternFill patternType="solid">
        <x:fgColor rgb="FFF2B134"/>
      </x:patternFill>
    </x:fill>
    <x:fill>
      <x:patternFill patternType="solid">
        <x:fgColor rgb="FF173F5F"/>
      </x:patternFill>
    </x:fill>
    <x:fill>
      <x:patternFill patternType="solid">
        <x:fgColor rgb="FFFFF4CC"/>
      </x:patternFill>
    </x:fill>
    <x:fill>
      <x:patternFill patternType="solid">
        <x:fgColor rgb="FFFFF4CC"/>
      </x:patternFill>
    </x:fill>
    <x:fill>
      <x:patternFill patternType="solid">
        <x:fgColor rgb="FF173F5F"/>
      </x:patternFill>
    </x:fill>
    <x:fill>
      <x:patternFill patternType="solid">
        <x:fgColor rgb="FFFFF4CC"/>
      </x:patternFill>
    </x:fill>
  </x:fills>
  <x:borders count="10">
    <x:border/>
    <x:border>
      <x:bottom style="thin">
        <x:color rgb="FFE5E7EB"/>
      </x:bottom>
    </x:border>
    <x:border>
      <x:top style="thin">
        <x:color rgb="FFE5E7EB"/>
      </x:top>
      <x:bottom style="thin">
        <x:color rgb="FFE5E7EB"/>
      </x:bottom>
    </x:border>
    <x:border>
      <x:top style="thin">
        <x:color rgb="FFE5E7EB"/>
      </x:top>
    </x:border>
    <x:border>
      <x:left style="medium">
        <x:color rgb="FF173F5F"/>
      </x:left>
      <x:top style="medium">
        <x:color rgb="FF173F5F"/>
      </x:top>
      <x:bottom style="medium">
        <x:color rgb="FF173F5F"/>
      </x:bottom>
    </x:border>
    <x:border>
      <x:top style="medium">
        <x:color rgb="FF173F5F"/>
      </x:top>
      <x:bottom style="medium">
        <x:color rgb="FF173F5F"/>
      </x:bottom>
    </x:border>
    <x:border>
      <x:right style="medium">
        <x:color rgb="FF173F5F"/>
      </x:right>
      <x:top style="medium">
        <x:color rgb="FF173F5F"/>
      </x:top>
      <x:bottom style="medium">
        <x:color rgb="FF173F5F"/>
      </x:bottom>
    </x:border>
    <x:border>
      <x:bottom style="thin">
        <x:color rgb="FFDDE3E8"/>
      </x:bottom>
    </x:border>
    <x:border>
      <x:top style="thin">
        <x:color rgb="FFDDE3E8"/>
      </x:top>
      <x:bottom style="thin">
        <x:color rgb="FFDDE3E8"/>
      </x:bottom>
    </x:border>
    <x:border>
      <x:top style="thin">
        <x:color rgb="FFDDE3E8"/>
      </x:top>
    </x:border>
  </x:borders>
  <x:cellStyleXfs count="2">
    <x:xf numFmtId="0" fontId="0" fillId="0" borderId="0"/>
    <x:xf numFmtId="0" fontId="6" fillId="0" borderId="0" applyNumberFormat="0" applyFill="0" applyBorder="0" applyAlignment="0" applyProtection="0"/>
  </x:cellStyleXfs>
  <x:cellXfs count="57">
    <x:xf numFmtId="0" fontId="0" fillId="0" borderId="0" xfId="0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 applyAlignment="1">
      <x:alignment vertical="center"/>
    </x:xf>
    <x:xf numFmtId="0" fontId="0" fillId="0" borderId="3" xfId="0" applyNumberFormat="1" applyFont="1" applyFill="1" applyBorder="1" applyAlignment="1">
      <x:alignment vertical="center"/>
    </x:xf>
    <x:xf numFmtId="9" fontId="0" fillId="3" borderId="1" xfId="0" applyNumberFormat="1" applyFont="1" applyFill="1" applyBorder="1" applyAlignment="1">
      <x:alignment horizontal="center" vertical="center"/>
    </x:xf>
    <x:xf numFmtId="9" fontId="0" fillId="3" borderId="2" xfId="0" applyNumberFormat="1" applyFont="1" applyFill="1" applyBorder="1" applyAlignment="1">
      <x:alignment horizontal="center" vertical="center"/>
    </x:xf>
    <x:xf numFmtId="0" fontId="1" fillId="2" borderId="4" xfId="0" applyNumberFormat="1" applyFont="1" applyFill="1" applyBorder="1" applyAlignment="1">
      <x:alignment horizontal="center" vertical="center" wrapText="1"/>
    </x:xf>
    <x:xf numFmtId="0" fontId="1" fillId="2" borderId="5" xfId="0" applyNumberFormat="1" applyFont="1" applyFill="1" applyBorder="1" applyAlignment="1">
      <x:alignment horizontal="center" vertical="center" wrapText="1"/>
    </x:xf>
    <x:xf numFmtId="0" fontId="1" fillId="2" borderId="6" xfId="0" applyNumberFormat="1" applyFont="1" applyFill="1" applyBorder="1" applyAlignment="1">
      <x:alignment horizontal="center" vertical="center" wrapText="1"/>
    </x:xf>
    <x:xf numFmtId="0" fontId="2" fillId="0" borderId="1" xfId="0" applyNumberFormat="1" applyFont="1" applyFill="1" applyBorder="1" applyAlignment="1">
      <x:alignment vertical="center"/>
    </x:xf>
    <x:xf numFmtId="0" fontId="2" fillId="0" borderId="2" xfId="0" applyNumberFormat="1" applyFont="1" applyFill="1" applyBorder="1" applyAlignment="1">
      <x:alignment vertical="center"/>
    </x:xf>
    <x:xf numFmtId="0" fontId="2" fillId="0" borderId="3" xfId="0" applyNumberFormat="1" applyFont="1" applyFill="1" applyBorder="1" applyAlignment="1">
      <x:alignment vertical="center"/>
    </x:xf>
    <x:xf numFmtId="49" fontId="2" fillId="0" borderId="1" xfId="0" applyNumberFormat="1" applyFont="1" applyFill="1" applyBorder="1" applyAlignment="1">
      <x:alignment vertical="center"/>
    </x:xf>
    <x:xf numFmtId="49" fontId="2" fillId="0" borderId="2" xfId="0" applyNumberFormat="1" applyFont="1" applyFill="1" applyBorder="1" applyAlignment="1">
      <x:alignment vertical="center"/>
    </x:xf>
    <x:xf numFmtId="49" fontId="2" fillId="0" borderId="3" xfId="0" applyNumberFormat="1" applyFont="1" applyFill="1" applyBorder="1" applyAlignment="1">
      <x:alignment vertical="center"/>
    </x:xf>
    <x:xf numFmtId="164" fontId="2" fillId="0" borderId="1" xfId="0" applyNumberFormat="1" applyFont="1" applyFill="1" applyBorder="1" applyAlignment="1">
      <x:alignment vertical="center"/>
    </x:xf>
    <x:xf numFmtId="164" fontId="2" fillId="0" borderId="2" xfId="0" applyNumberFormat="1" applyFont="1" applyFill="1" applyBorder="1" applyAlignment="1">
      <x:alignment vertical="center"/>
    </x:xf>
    <x:xf numFmtId="164" fontId="2" fillId="0" borderId="3" xfId="0" applyNumberFormat="1" applyFont="1" applyFill="1" applyBorder="1" applyAlignment="1">
      <x:alignment vertical="center"/>
    </x:xf>
    <x:xf numFmtId="164" fontId="2" fillId="3" borderId="1" xfId="0" applyNumberFormat="1" applyFont="1" applyFill="1" applyBorder="1" applyAlignment="1">
      <x:alignment vertical="center"/>
    </x:xf>
    <x:xf numFmtId="164" fontId="2" fillId="3" borderId="2" xfId="0" applyNumberFormat="1" applyFont="1" applyFill="1" applyBorder="1" applyAlignment="1">
      <x:alignment vertical="center"/>
    </x:xf>
    <x:xf numFmtId="164" fontId="2" fillId="3" borderId="3" xfId="0" applyNumberFormat="1" applyFont="1" applyFill="1" applyBorder="1" applyAlignment="1">
      <x:alignment vertical="center"/>
    </x:xf>
    <x:xf numFmtId="164" fontId="2" fillId="4" borderId="1" xfId="0" applyNumberFormat="1" applyFont="1" applyFill="1" applyBorder="1" applyAlignment="1">
      <x:alignment vertical="center"/>
    </x:xf>
    <x:xf numFmtId="164" fontId="2" fillId="4" borderId="2" xfId="0" applyNumberFormat="1" applyFont="1" applyFill="1" applyBorder="1" applyAlignment="1">
      <x:alignment vertical="center"/>
    </x:xf>
    <x:xf numFmtId="164" fontId="2" fillId="4" borderId="3" xfId="0" applyNumberFormat="1" applyFont="1" applyFill="1" applyBorder="1" applyAlignment="1">
      <x:alignment vertical="center"/>
    </x:xf>
    <x:xf numFmtId="0" fontId="4" fillId="5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5" fillId="6" borderId="0" xfId="0" applyNumberFormat="1" applyFont="1" applyFill="1" applyBorder="1"/>
    <x:xf numFmtId="0" fontId="0" fillId="3" borderId="0" xfId="0" applyNumberFormat="1" applyFont="1" applyFill="1" applyBorder="1"/>
    <x:xf numFmtId="0" fontId="6" fillId="0" borderId="2" xfId="1" applyNumberFormat="1" applyFill="1" applyBorder="1" applyAlignment="1">
      <x:alignment vertical="center"/>
    </x:xf>
    <x:xf numFmtId="49" fontId="0" fillId="0" borderId="0" xfId="0" applyNumberFormat="1" applyFont="1" applyFill="1" applyBorder="1"/>
    <x:xf numFmtId="0" fontId="4" fillId="9" borderId="0" xfId="0" applyNumberFormat="1" applyFont="1" applyFill="1" applyBorder="1" applyAlignment="1">
      <x:alignment horizontal="center"/>
    </x:xf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7" borderId="7" xfId="0" applyNumberFormat="1" applyFont="1" applyFill="1" applyBorder="1"/>
    <x:xf numFmtId="0" fontId="0" fillId="7" borderId="8" xfId="0" applyNumberFormat="1" applyFont="1" applyFill="1" applyBorder="1"/>
    <x:xf numFmtId="0" fontId="0" fillId="7" borderId="9" xfId="0" applyNumberFormat="1" applyFont="1" applyFill="1" applyBorder="1"/>
    <x:xf numFmtId="0" fontId="1" fillId="8" borderId="0" xfId="0" applyNumberFormat="1" applyFont="1" applyFill="1" applyBorder="1" applyAlignment="1">
      <x:alignment horizontal="center" wrapText="1"/>
    </x:xf>
    <x:xf numFmtId="0" fontId="0" fillId="7" borderId="7" xfId="0" applyNumberFormat="1" applyFont="1" applyFill="1" applyBorder="1" applyAlignment="1">
      <x:alignment vertical="center"/>
    </x:xf>
    <x:xf numFmtId="0" fontId="0" fillId="7" borderId="8" xfId="0" applyNumberFormat="1" applyFont="1" applyFill="1" applyBorder="1" applyAlignment="1">
      <x:alignment vertical="center"/>
    </x:xf>
    <x:xf numFmtId="0" fontId="0" fillId="7" borderId="9" xfId="0" applyNumberFormat="1" applyFont="1" applyFill="1" applyBorder="1" applyAlignment="1">
      <x:alignment vertical="center"/>
    </x:xf>
    <x:xf numFmtId="0" fontId="1" fillId="8" borderId="0" xfId="0" applyNumberFormat="1" applyFont="1" applyFill="1" applyBorder="1" applyAlignment="1">
      <x:alignment horizontal="center"/>
    </x:xf>
    <x:xf numFmtId="49" fontId="0" fillId="7" borderId="7" xfId="0" applyNumberFormat="1" applyFont="1" applyFill="1" applyBorder="1" applyAlignment="1">
      <x:alignment vertical="center"/>
    </x:xf>
    <x:xf numFmtId="49" fontId="0" fillId="7" borderId="8" xfId="0" applyNumberFormat="1" applyFont="1" applyFill="1" applyBorder="1" applyAlignment="1">
      <x:alignment vertical="center"/>
    </x:xf>
    <x:xf numFmtId="49" fontId="0" fillId="7" borderId="9" xfId="0" applyNumberFormat="1" applyFont="1" applyFill="1" applyBorder="1" applyAlignment="1">
      <x:alignment vertical="center"/>
    </x:xf>
    <x:xf numFmtId="0" fontId="4" fillId="11" borderId="0" xfId="0" applyNumberFormat="1" applyFont="1" applyFill="1" applyBorder="1" applyAlignment="1">
      <x:alignment horizontal="center" vertic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2" fillId="13" borderId="0" xfId="0" applyNumberFormat="1" applyFont="1" applyFill="1" applyBorder="1" applyAlignment="1">
      <x:alignment vertical="center"/>
    </x:xf>
    <x:xf numFmtId="0" fontId="0" fillId="14" borderId="1" xfId="0" applyNumberFormat="1" applyFont="1" applyFill="1" applyBorder="1" applyAlignment="1">
      <x:alignment vertical="center"/>
    </x:xf>
    <x:xf numFmtId="0" fontId="0" fillId="14" borderId="2" xfId="0" applyNumberFormat="1" applyFont="1" applyFill="1" applyBorder="1" applyAlignment="1">
      <x:alignment vertical="center"/>
    </x:xf>
    <x:xf numFmtId="0" fontId="1" fillId="15" borderId="0" xfId="0" applyNumberFormat="1" applyFont="1" applyFill="1" applyBorder="1" applyAlignment="1">
      <x:alignment horizontal="center" vertical="center" wrapText="1"/>
    </x:xf>
    <x:xf numFmtId="0" fontId="0" fillId="16" borderId="0" xfId="0" applyNumberFormat="1" applyFont="1" applyFill="1" applyBorder="1"/>
    <x:xf numFmtId="0" fontId="3" fillId="2" borderId="0" xfId="0" applyNumberFormat="1" applyFont="1" applyFill="1" applyBorder="1" applyAlignment="1">
      <x:alignment vertical="center"/>
    </x:xf>
    <x:xf numFmtId="0" fontId="7" fillId="8" borderId="0" xfId="0" applyNumberFormat="1" applyFont="1" applyFill="1" applyBorder="1" applyAlignment="1">
      <x:alignment vertical="center"/>
    </x:xf>
    <x:xf numFmtId="0" fontId="8" fillId="10" borderId="0" xfId="0" applyNumberFormat="1" applyFont="1" applyFill="1" applyBorder="1" applyAlignment="1">
      <x:alignment horizontal="center" vertical="center"/>
    </x:xf>
  </x:cellXfs>
  <x:cellStyles count="2">
    <x:cellStyle name="Köprü" xfId="1"/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0a3572b46c247a0" /><Relationship Type="http://schemas.openxmlformats.org/officeDocument/2006/relationships/theme" Target="/xl/theme/theme1.xml" Id="R1037f88fbfd5493e" /><Relationship Type="http://schemas.openxmlformats.org/officeDocument/2006/relationships/sharedStrings" Target="/xl/sharedStrings.xml" Id="R055a61458a85412a" /><Relationship Type="http://schemas.openxmlformats.org/officeDocument/2006/relationships/worksheet" Target="/xl/worksheets/sheet1.xml" Id="Rb4e2186ed4914404" /><Relationship Type="http://schemas.openxmlformats.org/officeDocument/2006/relationships/worksheet" Target="/xl/worksheets/sheet2.xml" Id="Rd44ecd7575e94c29" /><Relationship Type="http://schemas.openxmlformats.org/officeDocument/2006/relationships/worksheet" Target="/xl/worksheets/sheet3.xml" Id="R1f8ad36bb248466e" /><Relationship Type="http://schemas.openxmlformats.org/officeDocument/2006/relationships/worksheet" Target="/xl/worksheets/sheet4.xml" Id="R3bc9b8502d8a41a3" /><Relationship Type="http://schemas.openxmlformats.org/officeDocument/2006/relationships/worksheet" Target="/xl/worksheets/sheet5.xml" Id="R64b61741e01f4b90" /><Relationship Type="http://schemas.openxmlformats.org/officeDocument/2006/relationships/worksheet" Target="/xl/worksheets/sheet6.xml" Id="R0937c6f936794bd8" /><Relationship Type="http://schemas.openxmlformats.org/officeDocument/2006/relationships/worksheet" Target="/xl/worksheets/sheet7.xml" Id="R1ea1f8e9ac6f403f" /></Relationships>
</file>

<file path=xl/tables/table1.xml><?xml version="1.0" encoding="utf-8"?>
<x:table xmlns:x="http://schemas.openxmlformats.org/spreadsheetml/2006/main" id="7" name="UrunlerTablosu" displayName="UrunlerTablosu" ref="A1:K988" headerRowCount="1" totalsRowCount="0" totalsRowShown="0">
  <x:tableColumns count="11">
    <x:tableColumn id="1" name="Barkod"/>
    <x:tableColumn id="2" name="Yayın"/>
    <x:tableColumn id="3" name="Sınıf"/>
    <x:tableColumn id="4" name="Ders"/>
    <x:tableColumn id="5" name="Genel Tür"/>
    <x:tableColumn id="6" name="Tür"/>
    <x:tableColumn id="7" name="Fiyat"/>
    <x:tableColumn id="8" name="İnd"/>
    <x:tableColumn id="9" name="Toplu"/>
    <x:tableColumn id="10" name="Tanıtım Linki"/>
    <x:tableColumn id="11" name="Yeni Barkodla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IndirimlerTablosu" displayName="IndirimlerTablosu" ref="A1:D210" headerRowCount="1" totalsRowCount="0" totalsRowShown="0">
  <x:tableColumns count="4">
    <x:tableColumn id="1" name="Yayın"/>
    <x:tableColumn id="2" name="Sınıf"/>
    <x:tableColumn id="3" name="Tekli İndirim %"/>
    <x:tableColumn id="4" name="Toplu İndirim %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inifAyarlariTablosu" displayName="SinifAyarlariTablosu" ref="A3:B12" totalsRowShown="0">
  <x:tableColumns count="2">
    <x:tableColumn id="1" name="Sınıf"/>
    <x:tableColumn id="2" name="Kadem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KitabeviListesiTablosu" displayName="KitabeviListesiTablosu" ref="D3:E20" totalsRowShown="0">
  <x:tableColumns count="2">
    <x:tableColumn id="1" name="Kitabevi Kodu"/>
    <x:tableColumn id="2" name="Kitabevi Adı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ayfaAyarlariTablosu" displayName="SayfaAyarlariTablosu" ref="A1:H20" totalsRowShown="0">
  <x:tableColumns count="8">
    <x:tableColumn id="1" name="Kitabevi Kodu"/>
    <x:tableColumn id="2" name="Kademe"/>
    <x:tableColumn id="3" name="Sayfa Başlığı"/>
    <x:tableColumn id="4" name="Açıklama"/>
    <x:tableColumn id="5" name="Ana Renk"/>
    <x:tableColumn id="6" name="Vurgu Rengi"/>
    <x:tableColumn id="7" name="Aktif"/>
    <x:tableColumn id="8" name="Ana Sayfa Sırası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IletisimTablosu" displayName="IletisimTablosu" ref="A1:E40" totalsRowShown="0">
  <x:tableColumns count="5">
    <x:tableColumn id="1" name="Kitabevi Kodu"/>
    <x:tableColumn id="2" name="Kademe"/>
    <x:tableColumn id="3" name="Ad Soyad"/>
    <x:tableColumn id="4" name="Telefon"/>
    <x:tableColumn id="5" name="WhatsApp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s://online.fliphtml5.com/kbscf/eahn/" TargetMode="External" Id="Ra4b72324e2ef4080" /><Relationship Type="http://schemas.openxmlformats.org/officeDocument/2006/relationships/hyperlink" Target="https://online.fliphtml5.com/chncu/mibj/" TargetMode="External" Id="R3a3feb0f39be4566" /><Relationship Type="http://schemas.openxmlformats.org/officeDocument/2006/relationships/hyperlink" Target="https://online.fliphtml5.com/udqwy/tjur/" TargetMode="External" Id="Rb85309b5d0734425" /><Relationship Type="http://schemas.openxmlformats.org/officeDocument/2006/relationships/hyperlink" Target="https://online.fliphtml5.com/cotrr/cewx/" TargetMode="External" Id="R80ca529821ca466b" /><Relationship Type="http://schemas.openxmlformats.org/officeDocument/2006/relationships/hyperlink" Target="https://online.fliphtml5.com/kbscf/nfsd/" TargetMode="External" Id="R20dd3effbe1a4509" /><Relationship Type="http://schemas.openxmlformats.org/officeDocument/2006/relationships/hyperlink" Target="https://online.fliphtml5.com/udqwy/peka/" TargetMode="External" Id="R7d5fc73713b94bee" /><Relationship Type="http://schemas.openxmlformats.org/officeDocument/2006/relationships/hyperlink" Target="https://online.fliphtml5.com/kbscf/wtkw/" TargetMode="External" Id="R073546dd04dd4c53" /><Relationship Type="http://schemas.openxmlformats.org/officeDocument/2006/relationships/hyperlink" Target="https://online.fliphtml5.com/chncu/xxtv/" TargetMode="External" Id="Rc67f8e1f43654072" /><Relationship Type="http://schemas.openxmlformats.org/officeDocument/2006/relationships/hyperlink" Target="https://online.fliphtml5.com/wrbmv/lxrj/" TargetMode="External" Id="R2839874f0cc943b9" /><Relationship Type="http://schemas.openxmlformats.org/officeDocument/2006/relationships/hyperlink" Target="https://online.fliphtml5.com/cotrr/puqp/" TargetMode="External" Id="R34a43ed5fab649f1" /><Relationship Type="http://schemas.openxmlformats.org/officeDocument/2006/relationships/hyperlink" Target="https://online.fliphtml5.com/wrbmv/yois/" TargetMode="External" Id="Rdfbb061f1ce44f4d" /><Relationship Type="http://schemas.openxmlformats.org/officeDocument/2006/relationships/hyperlink" Target="https://online.fliphtml5.com/udqwy/wobl/" TargetMode="External" Id="Rdb6a2c1869274d5a" /><Relationship Type="http://schemas.openxmlformats.org/officeDocument/2006/relationships/hyperlink" Target="https://online.fliphtml5.com/cotrr/uoyw/" TargetMode="External" Id="Rbede3230d9c54a29" /><Relationship Type="http://schemas.openxmlformats.org/officeDocument/2006/relationships/hyperlink" Target="https://online.fliphtml5.com/kbscf/ifyh/" TargetMode="External" Id="R2f9915037ac343aa" /><Relationship Type="http://schemas.openxmlformats.org/officeDocument/2006/relationships/hyperlink" Target="https://online.fliphtml5.com/udqwy/mdvp/" TargetMode="External" Id="R8d9ffcc7fbd747b0" /><Relationship Type="http://schemas.openxmlformats.org/officeDocument/2006/relationships/hyperlink" Target="https://online.fliphtml5.com/udqwy/afjs/" TargetMode="External" Id="R67bb0b85df5742e8" /><Relationship Type="http://schemas.openxmlformats.org/officeDocument/2006/relationships/hyperlink" Target="https://online.fliphtml5.com/kbscf/bilu/" TargetMode="External" Id="R1a4cc84275aa4638" /><Relationship Type="http://schemas.openxmlformats.org/officeDocument/2006/relationships/hyperlink" Target="https://online.fliphtml5.com/wrbmv/jhtg/" TargetMode="External" Id="R7a7d457da26647b1" /><Relationship Type="http://schemas.openxmlformats.org/officeDocument/2006/relationships/hyperlink" Target="https://online.fliphtml5.com/wrbmv/etlo/" TargetMode="External" Id="R3409997c30734d3c" /><Relationship Type="http://schemas.openxmlformats.org/officeDocument/2006/relationships/hyperlink" Target="https://online.fliphtml5.com/udqwy/myzu/" TargetMode="External" Id="R02fbd3927dd342b2" /><Relationship Type="http://schemas.openxmlformats.org/officeDocument/2006/relationships/hyperlink" Target="https://online.fliphtml5.com/cotrr/ebfi/" TargetMode="External" Id="Re50de0ff127d4023" /><Relationship Type="http://schemas.openxmlformats.org/officeDocument/2006/relationships/hyperlink" Target="https://online.fliphtml5.com/kbscf/pqrm/" TargetMode="External" Id="R1e6e48adb3214a04" /><Relationship Type="http://schemas.openxmlformats.org/officeDocument/2006/relationships/hyperlink" Target="https://online.fliphtml5.com/udqwy/atkt/" TargetMode="External" Id="R15b038015f7f4c30" /><Relationship Type="http://schemas.openxmlformats.org/officeDocument/2006/relationships/hyperlink" Target="https://online.fliphtml5.com/kbscf/uclz/" TargetMode="External" Id="R698b4622167844d8" /><Relationship Type="http://schemas.openxmlformats.org/officeDocument/2006/relationships/hyperlink" Target="https://online.fliphtml5.com/chncu/zjmx/" TargetMode="External" Id="Rf8f41c6501074d72" /><Relationship Type="http://schemas.openxmlformats.org/officeDocument/2006/relationships/hyperlink" Target="https://online.fliphtml5.com/wrbmv/wcqa/" TargetMode="External" Id="R28df510b75fd4bdf" /><Relationship Type="http://schemas.openxmlformats.org/officeDocument/2006/relationships/hyperlink" Target="https://online.fliphtml5.com/cotrr/mgkp/" TargetMode="External" Id="R7fb3c9ddbef74fa8" /><Relationship Type="http://schemas.openxmlformats.org/officeDocument/2006/relationships/hyperlink" Target="https://online.fliphtml5.com/wrbmv/lspl/" TargetMode="External" Id="R0717bca0174d4377" /><Relationship Type="http://schemas.openxmlformats.org/officeDocument/2006/relationships/hyperlink" Target="https://online.fliphtml5.com/udqwy/ssrj/" TargetMode="External" Id="R6c4e391390e94d13" /><Relationship Type="http://schemas.openxmlformats.org/officeDocument/2006/relationships/hyperlink" Target="https://online.fliphtml5.com/cotrr/jwjt/" TargetMode="External" Id="R20def37089394d19" /><Relationship Type="http://schemas.openxmlformats.org/officeDocument/2006/relationships/hyperlink" Target="https://online.fliphtml5.com/kbscf/rwrl/" TargetMode="External" Id="R8f2a2478a84d4519" /><Relationship Type="http://schemas.openxmlformats.org/officeDocument/2006/relationships/hyperlink" Target="https://online.fliphtml5.com/udqwy/xwsi/" TargetMode="External" Id="R2692de91c6414706" /><Relationship Type="http://schemas.openxmlformats.org/officeDocument/2006/relationships/hyperlink" Target="https://online.fliphtml5.com/udqwy/hbis/" TargetMode="External" Id="R2188be5fb5ae4347" /><Relationship Type="http://schemas.openxmlformats.org/officeDocument/2006/relationships/hyperlink" Target="https://online.fliphtml5.com/kbscf/wxxz/" TargetMode="External" Id="Rde66a607319842a1" /><Relationship Type="http://schemas.openxmlformats.org/officeDocument/2006/relationships/hyperlink" Target="https://online.fliphtml5.com/cotrr/hqex/" TargetMode="External" Id="R1dffdca16b044525" /><Relationship Type="http://schemas.openxmlformats.org/officeDocument/2006/relationships/hyperlink" Target="https://online.fliphtml5.com/wrbmv/llma/" TargetMode="External" Id="R28f05dd3f30b4ae4" /><Relationship Type="http://schemas.openxmlformats.org/officeDocument/2006/relationships/hyperlink" Target="https://online.fliphtml5.com/udqwy/arvp/" TargetMode="External" Id="Rfc786db988d84f08" /><Relationship Type="http://schemas.openxmlformats.org/officeDocument/2006/relationships/hyperlink" Target="https://online.fliphtml5.com/cotrr/nzux/" TargetMode="External" Id="R2abc01c6cfd04272" /><Relationship Type="http://schemas.openxmlformats.org/officeDocument/2006/relationships/hyperlink" Target="https://online.fliphtml5.com/kbscf/uste/" TargetMode="External" Id="Rf3cb290067fc4760" /><Relationship Type="http://schemas.openxmlformats.org/officeDocument/2006/relationships/hyperlink" Target="https://online.fliphtml5.com/udqwy/nxnv/" TargetMode="External" Id="R0cd80baa7aab40c9" /><Relationship Type="http://schemas.openxmlformats.org/officeDocument/2006/relationships/hyperlink" Target="https://online.fliphtml5.com/kbscf/gitx/" TargetMode="External" Id="Rc2d8efbdfd1e45a2" /><Relationship Type="http://schemas.openxmlformats.org/officeDocument/2006/relationships/hyperlink" Target="https://online.fliphtml5.com/udqwy/byqm/" TargetMode="External" Id="R03008b1be7474a50" /><Relationship Type="http://schemas.openxmlformats.org/officeDocument/2006/relationships/hyperlink" Target="https://online.fliphtml5.com/udqwy/ehfc/" TargetMode="External" Id="Rcb4e46360523436e" /><Relationship Type="http://schemas.openxmlformats.org/officeDocument/2006/relationships/hyperlink" Target="https://online.fliphtml5.com/kbscf/ykgk/" TargetMode="External" Id="R52eea6f359a141d8" /><Relationship Type="http://schemas.openxmlformats.org/officeDocument/2006/relationships/hyperlink" Target="https://online.fliphtml5.com/cotrr/xgsh/" TargetMode="External" Id="R549568ce1cc14060" /><Relationship Type="http://schemas.openxmlformats.org/officeDocument/2006/relationships/hyperlink" Target="https://online.fliphtml5.com/udqwy/mpgu/" TargetMode="External" Id="R596e788bde694818" /><Relationship Type="http://schemas.openxmlformats.org/officeDocument/2006/relationships/hyperlink" Target="https://online.fliphtml5.com/kbscf/xztx/" TargetMode="External" Id="Rda54e90ebb6846ad" /><Relationship Type="http://schemas.openxmlformats.org/officeDocument/2006/relationships/hyperlink" Target="https://online.fliphtml5.com/udqwy/yntn/" TargetMode="External" Id="R0d13e16f18e34ab0" /><Relationship Type="http://schemas.openxmlformats.org/officeDocument/2006/relationships/hyperlink" Target="https://online.fliphtml5.com/udqwy/lixu/" TargetMode="External" Id="Rfb7a6fc4b099408b" /><Relationship Type="http://schemas.openxmlformats.org/officeDocument/2006/relationships/table" Target="/xl/tables/table1.xml" Id="R44906b2b71544f7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d7de647d39f64e4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e4152070316f4f9d" /><Relationship Type="http://schemas.openxmlformats.org/officeDocument/2006/relationships/table" Target="/xl/tables/table4.xml" Id="R1b23ce31576c4f44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33c4f020f134b8e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321ed446144641d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18" customWidth="1"/>
    <x:col min="2" max="2" width="28" customWidth="1"/>
    <x:col min="3" max="3" width="16" customWidth="1"/>
    <x:col min="4" max="4" width="25" customWidth="1"/>
    <x:col min="5" max="5" width="28" customWidth="1"/>
    <x:col min="6" max="6" width="20" customWidth="1"/>
    <x:col min="7" max="9" width="14" customWidth="1"/>
    <x:col min="10" max="10" width="42" customWidth="1"/>
    <x:col min="11" max="11" width="28" customWidth="1"/>
    <x:col min="12" max="12" width="18" customWidth="1"/>
  </x:cols>
  <x:sheetData>
    <x:row r="1" ht="33.95000076293945" customHeight="1">
      <x:c r="A1" s="8" t="s">
        <x:v>0</x:v>
      </x:c>
      <x:c r="B1" s="9" t="s">
        <x:v>1</x:v>
      </x:c>
      <x:c r="C1" s="9" t="s">
        <x:v>2</x:v>
      </x:c>
      <x:c r="D1" s="9" t="s">
        <x:v>3</x:v>
      </x:c>
      <x:c r="E1" s="9" t="s">
        <x:v>4</x:v>
      </x:c>
      <x:c r="F1" s="9" t="s">
        <x:v>5</x:v>
      </x:c>
      <x:c r="G1" s="9" t="s">
        <x:v>6</x:v>
      </x:c>
      <x:c r="H1" s="9" t="s">
        <x:v>7</x:v>
      </x:c>
      <x:c r="I1" s="9" t="s">
        <x:v>8</x:v>
      </x:c>
      <x:c r="J1" s="10" t="s">
        <x:v>9</x:v>
      </x:c>
      <x:c r="K1" t="s">
        <x:v>10</x:v>
      </x:c>
    </x:row>
    <x:row r="2" ht="21.950000762939453" customHeight="1">
      <x:c r="A2" s="14" t="s">
        <x:v>11</x:v>
      </x:c>
      <x:c r="B2" s="11" t="s">
        <x:v>12</x:v>
      </x:c>
      <x:c r="C2" s="11" t="s">
        <x:v>13</x:v>
      </x:c>
      <x:c r="D2" s="11" t="s">
        <x:v>14</x:v>
      </x:c>
      <x:c r="E2" s="11" t="s">
        <x:v>15</x:v>
      </x:c>
      <x:c r="F2" s="11" t="s">
        <x:v>16</x:v>
      </x:c>
      <x:c r="G2" s="17">
        <x:v>509</x:v>
      </x:c>
      <x:c r="H2" s="20" t="n">
        <x:f>IF(SUMIFS('İndirimler'!$C$2:$C$210,'İndirimler'!$A$2:$A$210,B2,'İndirimler'!$B$2:$B$210,C2)&gt;0,ROUND(G2*(1-SUMIFS('İndirimler'!$C$2:$C$210,'İndirimler'!$A$2:$A$210,B2,'İndirimler'!$B$2:$B$210,C2)),2),"")</x:f>
        <x:v>432.65</x:v>
      </x:c>
      <x:c r="I2" s="23" t="n">
        <x:f>IF(SUMIFS('İndirimler'!$D$2:$D$210,'İndirimler'!$A$2:$A$210,B2,'İndirimler'!$B$2:$B$210,C2)&gt;0,ROUND(G2*(1-SUMIFS('İndirimler'!$D$2:$D$210,'İndirimler'!$A$2:$A$210,B2,'İndirimler'!$B$2:$B$210,C2)),2),"")</x:f>
        <x:v>356.3</x:v>
      </x:c>
      <x:c r="J2" s="11"/>
      <x:c r="K2" s="31"/>
    </x:row>
    <x:row r="3" ht="21.950000762939453" customHeight="1">
      <x:c r="A3" s="15" t="s">
        <x:v>17</x:v>
      </x:c>
      <x:c r="B3" s="12" t="s">
        <x:v>18</x:v>
      </x:c>
      <x:c r="C3" s="12" t="s">
        <x:v>13</x:v>
      </x:c>
      <x:c r="D3" s="12" t="s">
        <x:v>14</x:v>
      </x:c>
      <x:c r="E3" s="12"/>
      <x:c r="F3" s="12" t="s">
        <x:v>16</x:v>
      </x:c>
      <x:c r="G3" s="18">
        <x:v>539</x:v>
      </x:c>
      <x:c r="H3" s="21" t="n">
        <x:f>IF(SUMIFS('İndirimler'!$C$2:$C$210,'İndirimler'!$A$2:$A$210,B3,'İndirimler'!$B$2:$B$210,C3)&gt;0,ROUND(G3*(1-SUMIFS('İndirimler'!$C$2:$C$210,'İndirimler'!$A$2:$A$210,B3,'İndirimler'!$B$2:$B$210,C3)),2),"")</x:f>
        <x:v>458.15</x:v>
      </x:c>
      <x:c r="I3" s="24" t="n">
        <x:f>IF(SUMIFS('İndirimler'!$D$2:$D$210,'İndirimler'!$A$2:$A$210,B3,'İndirimler'!$B$2:$B$210,C3)&gt;0,ROUND(G3*(1-SUMIFS('İndirimler'!$D$2:$D$210,'İndirimler'!$A$2:$A$210,B3,'İndirimler'!$B$2:$B$210,C3)),2),"")</x:f>
        <x:v>377.3</x:v>
      </x:c>
      <x:c r="J3" s="12" t="s">
        <x:v>19</x:v>
      </x:c>
      <x:c r="K3" s="31"/>
    </x:row>
    <x:row r="4" ht="21.950000762939453" customHeight="1">
      <x:c r="A4" s="15" t="s">
        <x:v>20</x:v>
      </x:c>
      <x:c r="B4" s="12" t="s">
        <x:v>21</x:v>
      </x:c>
      <x:c r="C4" s="12" t="s">
        <x:v>13</x:v>
      </x:c>
      <x:c r="D4" s="12" t="s">
        <x:v>14</x:v>
      </x:c>
      <x:c r="E4" s="12" t="s">
        <x:v>15</x:v>
      </x:c>
      <x:c r="F4" s="12" t="s">
        <x:v>16</x:v>
      </x:c>
      <x:c r="G4" s="18">
        <x:v>369</x:v>
      </x:c>
      <x:c r="H4" s="21" t="n">
        <x:f>IF(SUMIFS('İndirimler'!$C$2:$C$210,'İndirimler'!$A$2:$A$210,B4,'İndirimler'!$B$2:$B$210,C4)&gt;0,ROUND(G4*(1-SUMIFS('İndirimler'!$C$2:$C$210,'İndirimler'!$A$2:$A$210,B4,'İndirimler'!$B$2:$B$210,C4)),2),"")</x:f>
        <x:v>313.65</x:v>
      </x:c>
      <x:c r="I4" s="24" t="n">
        <x:f>IF(SUMIFS('İndirimler'!$D$2:$D$210,'İndirimler'!$A$2:$A$210,B4,'İndirimler'!$B$2:$B$210,C4)&gt;0,ROUND(G4*(1-SUMIFS('İndirimler'!$D$2:$D$210,'İndirimler'!$A$2:$A$210,B4,'İndirimler'!$B$2:$B$210,C4)),2),"")</x:f>
        <x:v>258.3</x:v>
      </x:c>
      <x:c r="J4" s="12"/>
      <x:c r="K4" s="31"/>
    </x:row>
    <x:row r="5" ht="21.950000762939453" customHeight="1">
      <x:c r="A5" s="15" t="s">
        <x:v>22</x:v>
      </x:c>
      <x:c r="B5" s="12" t="s">
        <x:v>23</x:v>
      </x:c>
      <x:c r="C5" s="12" t="s">
        <x:v>13</x:v>
      </x:c>
      <x:c r="D5" s="12" t="s">
        <x:v>14</x:v>
      </x:c>
      <x:c r="E5" s="12"/>
      <x:c r="F5" s="12" t="s">
        <x:v>16</x:v>
      </x:c>
      <x:c r="G5" s="18">
        <x:v>480</x:v>
      </x:c>
      <x:c r="H5" s="21" t="n">
        <x:f>IF(SUMIFS('İndirimler'!$C$2:$C$210,'İndirimler'!$A$2:$A$210,B5,'İndirimler'!$B$2:$B$210,C5)&gt;0,ROUND(G5*(1-SUMIFS('İndirimler'!$C$2:$C$210,'İndirimler'!$A$2:$A$210,B5,'İndirimler'!$B$2:$B$210,C5)),2),"")</x:f>
        <x:v>408</x:v>
      </x:c>
      <x:c r="I5" s="24" t="n">
        <x:f>IF(SUMIFS('İndirimler'!$D$2:$D$210,'İndirimler'!$A$2:$A$210,B5,'İndirimler'!$B$2:$B$210,C5)&gt;0,ROUND(G5*(1-SUMIFS('İndirimler'!$D$2:$D$210,'İndirimler'!$A$2:$A$210,B5,'İndirimler'!$B$2:$B$210,C5)),2),"")</x:f>
        <x:v>336</x:v>
      </x:c>
      <x:c r="J5" s="12"/>
      <x:c r="K5" s="31"/>
    </x:row>
    <x:row r="6" ht="21.950000762939453" customHeight="1">
      <x:c r="A6" s="15" t="s">
        <x:v>24</x:v>
      </x:c>
      <x:c r="B6" s="12" t="s">
        <x:v>25</x:v>
      </x:c>
      <x:c r="C6" s="12" t="s">
        <x:v>13</x:v>
      </x:c>
      <x:c r="D6" s="12" t="s">
        <x:v>14</x:v>
      </x:c>
      <x:c r="E6" s="12" t="s">
        <x:v>26</x:v>
      </x:c>
      <x:c r="F6" s="12" t="s">
        <x:v>16</x:v>
      </x:c>
      <x:c r="G6" s="18"/>
      <x:c r="H6" s="21" t="n">
        <x:f>IF(SUMIFS('İndirimler'!$C$2:$C$210,'İndirimler'!$A$2:$A$210,B6,'İndirimler'!$B$2:$B$210,C6)&gt;0,ROUND(G6*(1-SUMIFS('İndirimler'!$C$2:$C$210,'İndirimler'!$A$2:$A$210,B6,'İndirimler'!$B$2:$B$210,C6)),2),"")</x:f>
        <x:v>0</x:v>
      </x:c>
      <x:c r="I6" s="24" t="n">
        <x:f>IF(SUMIFS('İndirimler'!$D$2:$D$210,'İndirimler'!$A$2:$A$210,B6,'İndirimler'!$B$2:$B$210,C6)&gt;0,ROUND(G6*(1-SUMIFS('İndirimler'!$D$2:$D$210,'İndirimler'!$A$2:$A$210,B6,'İndirimler'!$B$2:$B$210,C6)),2),"")</x:f>
        <x:v>0</x:v>
      </x:c>
      <x:c r="J6" s="12"/>
      <x:c r="K6" s="31"/>
    </x:row>
    <x:row r="7" ht="21.950000762939453" customHeight="1">
      <x:c r="A7" s="15" t="s">
        <x:v>27</x:v>
      </x:c>
      <x:c r="B7" s="12" t="s">
        <x:v>25</x:v>
      </x:c>
      <x:c r="C7" s="12" t="s">
        <x:v>13</x:v>
      </x:c>
      <x:c r="D7" s="12" t="s">
        <x:v>14</x:v>
      </x:c>
      <x:c r="E7" s="12" t="s">
        <x:v>28</x:v>
      </x:c>
      <x:c r="F7" s="12" t="s">
        <x:v>16</x:v>
      </x:c>
      <x:c r="G7" s="18"/>
      <x:c r="H7" s="21" t="n">
        <x:f>IF(SUMIFS('İndirimler'!$C$2:$C$210,'İndirimler'!$A$2:$A$210,B7,'İndirimler'!$B$2:$B$210,C7)&gt;0,ROUND(G7*(1-SUMIFS('İndirimler'!$C$2:$C$210,'İndirimler'!$A$2:$A$210,B7,'İndirimler'!$B$2:$B$210,C7)),2),"")</x:f>
        <x:v>0</x:v>
      </x:c>
      <x:c r="I7" s="24" t="n">
        <x:f>IF(SUMIFS('İndirimler'!$D$2:$D$210,'İndirimler'!$A$2:$A$210,B7,'İndirimler'!$B$2:$B$210,C7)&gt;0,ROUND(G7*(1-SUMIFS('İndirimler'!$D$2:$D$210,'İndirimler'!$A$2:$A$210,B7,'İndirimler'!$B$2:$B$210,C7)),2),"")</x:f>
        <x:v>0</x:v>
      </x:c>
      <x:c r="J7" s="12"/>
      <x:c r="K7" s="31"/>
    </x:row>
    <x:row r="8" ht="21.950000762939453" customHeight="1">
      <x:c r="A8" s="15" t="s">
        <x:v>29</x:v>
      </x:c>
      <x:c r="B8" s="12" t="s">
        <x:v>25</x:v>
      </x:c>
      <x:c r="C8" s="12" t="s">
        <x:v>13</x:v>
      </x:c>
      <x:c r="D8" s="12" t="s">
        <x:v>14</x:v>
      </x:c>
      <x:c r="E8" s="12" t="s">
        <x:v>30</x:v>
      </x:c>
      <x:c r="F8" s="12" t="s">
        <x:v>16</x:v>
      </x:c>
      <x:c r="G8" s="18">
        <x:v>219</x:v>
      </x:c>
      <x:c r="H8" s="21" t="n">
        <x:f>IF(SUMIFS('İndirimler'!$C$2:$C$210,'İndirimler'!$A$2:$A$210,B8,'İndirimler'!$B$2:$B$210,C8)&gt;0,ROUND(G8*(1-SUMIFS('İndirimler'!$C$2:$C$210,'İndirimler'!$A$2:$A$210,B8,'İndirimler'!$B$2:$B$210,C8)),2),"")</x:f>
        <x:v>186.15</x:v>
      </x:c>
      <x:c r="I8" s="24" t="n">
        <x:f>IF(SUMIFS('İndirimler'!$D$2:$D$210,'İndirimler'!$A$2:$A$210,B8,'İndirimler'!$B$2:$B$210,C8)&gt;0,ROUND(G8*(1-SUMIFS('İndirimler'!$D$2:$D$210,'İndirimler'!$A$2:$A$210,B8,'İndirimler'!$B$2:$B$210,C8)),2),"")</x:f>
        <x:v>153.3</x:v>
      </x:c>
      <x:c r="J8" s="12"/>
      <x:c r="K8" s="31"/>
    </x:row>
    <x:row r="9" ht="21.950000762939453" customHeight="1">
      <x:c r="A9" s="15" t="s">
        <x:v>31</x:v>
      </x:c>
      <x:c r="B9" s="12" t="s">
        <x:v>32</x:v>
      </x:c>
      <x:c r="C9" s="12" t="s">
        <x:v>33</x:v>
      </x:c>
      <x:c r="D9" s="12" t="s">
        <x:v>34</x:v>
      </x:c>
      <x:c r="E9" s="12"/>
      <x:c r="F9" s="12" t="s">
        <x:v>35</x:v>
      </x:c>
      <x:c r="G9" s="18">
        <x:v>549</x:v>
      </x:c>
      <x:c r="H9" s="21" t="n">
        <x:f>IF(SUMIFS('İndirimler'!$C$2:$C$210,'İndirimler'!$A$2:$A$210,B9,'İndirimler'!$B$2:$B$210,C9)&gt;0,ROUND(G9*(1-SUMIFS('İndirimler'!$C$2:$C$210,'İndirimler'!$A$2:$A$210,B9,'İndirimler'!$B$2:$B$210,C9)),2),"")</x:f>
        <x:v>466.65</x:v>
      </x:c>
      <x:c r="I9" s="24" t="n">
        <x:f>IF(SUMIFS('İndirimler'!$D$2:$D$210,'İndirimler'!$A$2:$A$210,B9,'İndirimler'!$B$2:$B$210,C9)&gt;0,ROUND(G9*(1-SUMIFS('İndirimler'!$D$2:$D$210,'İndirimler'!$A$2:$A$210,B9,'İndirimler'!$B$2:$B$210,C9)),2),"")</x:f>
        <x:v>384.3</x:v>
      </x:c>
      <x:c r="J9" s="30" t="s">
        <x:v>36</x:v>
      </x:c>
      <x:c r="K9" s="31"/>
    </x:row>
    <x:row r="10" ht="21.950000762939453" customHeight="1">
      <x:c r="A10" s="15" t="s">
        <x:v>37</x:v>
      </x:c>
      <x:c r="B10" s="12" t="s">
        <x:v>38</x:v>
      </x:c>
      <x:c r="C10" s="12" t="s">
        <x:v>33</x:v>
      </x:c>
      <x:c r="D10" s="12" t="s">
        <x:v>34</x:v>
      </x:c>
      <x:c r="E10" s="12"/>
      <x:c r="F10" s="12" t="s">
        <x:v>35</x:v>
      </x:c>
      <x:c r="G10" s="18">
        <x:v>565</x:v>
      </x:c>
      <x:c r="H10" s="21" t="n">
        <x:f>IF(SUMIFS('İndirimler'!$C$2:$C$210,'İndirimler'!$A$2:$A$210,B10,'İndirimler'!$B$2:$B$210,C10)&gt;0,ROUND(G10*(1-SUMIFS('İndirimler'!$C$2:$C$210,'İndirimler'!$A$2:$A$210,B10,'İndirimler'!$B$2:$B$210,C10)),2),"")</x:f>
        <x:v>480.25</x:v>
      </x:c>
      <x:c r="I10" s="24" t="n">
        <x:f>IF(SUMIFS('İndirimler'!$D$2:$D$210,'İndirimler'!$A$2:$A$210,B10,'İndirimler'!$B$2:$B$210,C10)&gt;0,ROUND(G10*(1-SUMIFS('İndirimler'!$D$2:$D$210,'İndirimler'!$A$2:$A$210,B10,'İndirimler'!$B$2:$B$210,C10)),2),"")</x:f>
        <x:v>395.5</x:v>
      </x:c>
      <x:c r="J10" s="30" t="s">
        <x:v>39</x:v>
      </x:c>
      <x:c r="K10" s="31"/>
    </x:row>
    <x:row r="11" ht="21.950000762939453" customHeight="1">
      <x:c r="A11" s="15" t="s">
        <x:v>40</x:v>
      </x:c>
      <x:c r="B11" s="12" t="s">
        <x:v>18</x:v>
      </x:c>
      <x:c r="C11" s="12" t="s">
        <x:v>33</x:v>
      </x:c>
      <x:c r="D11" s="12" t="s">
        <x:v>34</x:v>
      </x:c>
      <x:c r="E11" s="12" t="s">
        <x:v>41</x:v>
      </x:c>
      <x:c r="F11" s="12" t="s">
        <x:v>42</x:v>
      </x:c>
      <x:c r="G11" s="18"/>
      <x:c r="H11" s="21" t="n">
        <x:f>IF(SUMIFS('İndirimler'!$C$2:$C$210,'İndirimler'!$A$2:$A$210,B11,'İndirimler'!$B$2:$B$210,C11)&gt;0,ROUND(G11*(1-SUMIFS('İndirimler'!$C$2:$C$210,'İndirimler'!$A$2:$A$210,B11,'İndirimler'!$B$2:$B$210,C11)),2),"")</x:f>
        <x:v>0</x:v>
      </x:c>
      <x:c r="I11" s="24" t="n">
        <x:f>IF(SUMIFS('İndirimler'!$D$2:$D$210,'İndirimler'!$A$2:$A$210,B11,'İndirimler'!$B$2:$B$210,C11)&gt;0,ROUND(G11*(1-SUMIFS('İndirimler'!$D$2:$D$210,'İndirimler'!$A$2:$A$210,B11,'İndirimler'!$B$2:$B$210,C11)),2),"")</x:f>
        <x:v>0</x:v>
      </x:c>
      <x:c r="J11" s="12"/>
      <x:c r="K11" s="31"/>
    </x:row>
    <x:row r="12" ht="21.950000762939453" customHeight="1">
      <x:c r="A12" s="15" t="s">
        <x:v>43</x:v>
      </x:c>
      <x:c r="B12" s="12" t="s">
        <x:v>44</x:v>
      </x:c>
      <x:c r="C12" s="12" t="s">
        <x:v>33</x:v>
      </x:c>
      <x:c r="D12" s="12" t="s">
        <x:v>34</x:v>
      </x:c>
      <x:c r="E12" s="12" t="s">
        <x:v>45</x:v>
      </x:c>
      <x:c r="F12" s="12" t="s">
        <x:v>42</x:v>
      </x:c>
      <x:c r="G12" s="18">
        <x:v>428</x:v>
      </x:c>
      <x:c r="H12" s="21" t="n">
        <x:f>IF(SUMIFS('İndirimler'!$C$2:$C$210,'İndirimler'!$A$2:$A$210,B12,'İndirimler'!$B$2:$B$210,C12)&gt;0,ROUND(G12*(1-SUMIFS('İndirimler'!$C$2:$C$210,'İndirimler'!$A$2:$A$210,B12,'İndirimler'!$B$2:$B$210,C12)),2),"")</x:f>
        <x:v>363.8</x:v>
      </x:c>
      <x:c r="I12" s="24" t="n">
        <x:f>IF(SUMIFS('İndirimler'!$D$2:$D$210,'İndirimler'!$A$2:$A$210,B12,'İndirimler'!$B$2:$B$210,C12)&gt;0,ROUND(G12*(1-SUMIFS('İndirimler'!$D$2:$D$210,'İndirimler'!$A$2:$A$210,B12,'İndirimler'!$B$2:$B$210,C12)),2),"")</x:f>
        <x:v>299.6</x:v>
      </x:c>
      <x:c r="J12" s="12" t="s">
        <x:v>46</x:v>
      </x:c>
      <x:c r="K12" s="31"/>
    </x:row>
    <x:row r="13" ht="21.950000762939453" customHeight="1">
      <x:c r="A13" s="15" t="s">
        <x:v>47</x:v>
      </x:c>
      <x:c r="B13" s="12" t="s">
        <x:v>23</x:v>
      </x:c>
      <x:c r="C13" s="12" t="s">
        <x:v>33</x:v>
      </x:c>
      <x:c r="D13" s="12" t="s">
        <x:v>34</x:v>
      </x:c>
      <x:c r="E13" s="12"/>
      <x:c r="F13" s="12" t="s">
        <x:v>42</x:v>
      </x:c>
      <x:c r="G13" s="18">
        <x:v>669</x:v>
      </x:c>
      <x:c r="H13" s="21" t="n">
        <x:f>IF(SUMIFS('İndirimler'!$C$2:$C$210,'İndirimler'!$A$2:$A$210,B13,'İndirimler'!$B$2:$B$210,C13)&gt;0,ROUND(G13*(1-SUMIFS('İndirimler'!$C$2:$C$210,'İndirimler'!$A$2:$A$210,B13,'İndirimler'!$B$2:$B$210,C13)),2),"")</x:f>
        <x:v>568.65</x:v>
      </x:c>
      <x:c r="I13" s="24" t="n">
        <x:f>IF(SUMIFS('İndirimler'!$D$2:$D$210,'İndirimler'!$A$2:$A$210,B13,'İndirimler'!$B$2:$B$210,C13)&gt;0,ROUND(G13*(1-SUMIFS('İndirimler'!$D$2:$D$210,'İndirimler'!$A$2:$A$210,B13,'İndirimler'!$B$2:$B$210,C13)),2),"")</x:f>
        <x:v>468.3</x:v>
      </x:c>
      <x:c r="J13" s="12" t="s">
        <x:v>48</x:v>
      </x:c>
      <x:c r="K13" s="31"/>
    </x:row>
    <x:row r="14" ht="21.950000762939453" customHeight="1">
      <x:c r="A14" s="15" t="s">
        <x:v>49</x:v>
      </x:c>
      <x:c r="B14" s="12" t="s">
        <x:v>50</x:v>
      </x:c>
      <x:c r="C14" s="12" t="s">
        <x:v>33</x:v>
      </x:c>
      <x:c r="D14" s="12" t="s">
        <x:v>34</x:v>
      </x:c>
      <x:c r="E14" s="12" t="s">
        <x:v>51</x:v>
      </x:c>
      <x:c r="F14" s="12" t="s">
        <x:v>42</x:v>
      </x:c>
      <x:c r="G14" s="18">
        <x:v>800</x:v>
      </x:c>
      <x:c r="H14" s="21" t="n">
        <x:f>IF(SUMIFS('İndirimler'!$C$2:$C$210,'İndirimler'!$A$2:$A$210,B14,'İndirimler'!$B$2:$B$210,C14)&gt;0,ROUND(G14*(1-SUMIFS('İndirimler'!$C$2:$C$210,'İndirimler'!$A$2:$A$210,B14,'İndirimler'!$B$2:$B$210,C14)),2),"")</x:f>
        <x:v>680</x:v>
      </x:c>
      <x:c r="I14" s="24" t="n">
        <x:f>IF(SUMIFS('İndirimler'!$D$2:$D$210,'İndirimler'!$A$2:$A$210,B14,'İndirimler'!$B$2:$B$210,C14)&gt;0,ROUND(G14*(1-SUMIFS('İndirimler'!$D$2:$D$210,'İndirimler'!$A$2:$A$210,B14,'İndirimler'!$B$2:$B$210,C14)),2),"")</x:f>
        <x:v>560</x:v>
      </x:c>
      <x:c r="J14" s="12"/>
      <x:c r="K14" s="31"/>
    </x:row>
    <x:row r="15" ht="21.950000762939453" customHeight="1">
      <x:c r="A15" s="15" t="s">
        <x:v>52</x:v>
      </x:c>
      <x:c r="B15" s="12" t="s">
        <x:v>53</x:v>
      </x:c>
      <x:c r="C15" s="12" t="s">
        <x:v>33</x:v>
      </x:c>
      <x:c r="D15" s="12" t="s">
        <x:v>34</x:v>
      </x:c>
      <x:c r="E15" s="12"/>
      <x:c r="F15" s="12" t="s">
        <x:v>42</x:v>
      </x:c>
      <x:c r="G15" s="18">
        <x:v>539</x:v>
      </x:c>
      <x:c r="H15" s="21" t="n">
        <x:f>IF(SUMIFS('İndirimler'!$C$2:$C$210,'İndirimler'!$A$2:$A$210,B15,'İndirimler'!$B$2:$B$210,C15)&gt;0,ROUND(G15*(1-SUMIFS('İndirimler'!$C$2:$C$210,'İndirimler'!$A$2:$A$210,B15,'İndirimler'!$B$2:$B$210,C15)),2),"")</x:f>
        <x:v>458.15</x:v>
      </x:c>
      <x:c r="I15" s="24" t="n">
        <x:f>IF(SUMIFS('İndirimler'!$D$2:$D$210,'İndirimler'!$A$2:$A$210,B15,'İndirimler'!$B$2:$B$210,C15)&gt;0,ROUND(G15*(1-SUMIFS('İndirimler'!$D$2:$D$210,'İndirimler'!$A$2:$A$210,B15,'İndirimler'!$B$2:$B$210,C15)),2),"")</x:f>
        <x:v>377.3</x:v>
      </x:c>
      <x:c r="J15" s="12"/>
      <x:c r="K15" s="31"/>
    </x:row>
    <x:row r="16" ht="21.950000762939453" customHeight="1">
      <x:c r="A16" s="15" t="s">
        <x:v>54</x:v>
      </x:c>
      <x:c r="B16" s="12" t="s">
        <x:v>55</x:v>
      </x:c>
      <x:c r="C16" s="12" t="s">
        <x:v>33</x:v>
      </x:c>
      <x:c r="D16" s="12" t="s">
        <x:v>34</x:v>
      </x:c>
      <x:c r="E16" s="12"/>
      <x:c r="F16" s="12" t="s">
        <x:v>16</x:v>
      </x:c>
      <x:c r="G16" s="18">
        <x:v>402</x:v>
      </x:c>
      <x:c r="H16" s="21" t="n">
        <x:f>IF(SUMIFS('İndirimler'!$C$2:$C$210,'İndirimler'!$A$2:$A$210,B16,'İndirimler'!$B$2:$B$210,C16)&gt;0,ROUND(G16*(1-SUMIFS('İndirimler'!$C$2:$C$210,'İndirimler'!$A$2:$A$210,B16,'İndirimler'!$B$2:$B$210,C16)),2),"")</x:f>
        <x:v>341.7</x:v>
      </x:c>
      <x:c r="I16" s="24" t="n">
        <x:f>IF(SUMIFS('İndirimler'!$D$2:$D$210,'İndirimler'!$A$2:$A$210,B16,'İndirimler'!$B$2:$B$210,C16)&gt;0,ROUND(G16*(1-SUMIFS('İndirimler'!$D$2:$D$210,'İndirimler'!$A$2:$A$210,B16,'İndirimler'!$B$2:$B$210,C16)),2),"")</x:f>
        <x:v>281.4</x:v>
      </x:c>
      <x:c r="J16" s="12" t="s">
        <x:v>56</x:v>
      </x:c>
      <x:c r="K16" s="31"/>
    </x:row>
    <x:row r="17" ht="21.950000762939453" customHeight="1">
      <x:c r="A17" s="15" t="s">
        <x:v>57</x:v>
      </x:c>
      <x:c r="B17" s="12" t="s">
        <x:v>18</x:v>
      </x:c>
      <x:c r="C17" s="12" t="s">
        <x:v>33</x:v>
      </x:c>
      <x:c r="D17" s="12" t="s">
        <x:v>34</x:v>
      </x:c>
      <x:c r="E17" s="12"/>
      <x:c r="F17" s="12" t="s">
        <x:v>16</x:v>
      </x:c>
      <x:c r="G17" s="18">
        <x:v>329</x:v>
      </x:c>
      <x:c r="H17" s="21" t="n">
        <x:f>IF(SUMIFS('İndirimler'!$C$2:$C$210,'İndirimler'!$A$2:$A$210,B17,'İndirimler'!$B$2:$B$210,C17)&gt;0,ROUND(G17*(1-SUMIFS('İndirimler'!$C$2:$C$210,'İndirimler'!$A$2:$A$210,B17,'İndirimler'!$B$2:$B$210,C17)),2),"")</x:f>
        <x:v>279.65</x:v>
      </x:c>
      <x:c r="I17" s="24" t="n">
        <x:f>IF(SUMIFS('İndirimler'!$D$2:$D$210,'İndirimler'!$A$2:$A$210,B17,'İndirimler'!$B$2:$B$210,C17)&gt;0,ROUND(G17*(1-SUMIFS('İndirimler'!$D$2:$D$210,'İndirimler'!$A$2:$A$210,B17,'İndirimler'!$B$2:$B$210,C17)),2),"")</x:f>
        <x:v>230.3</x:v>
      </x:c>
      <x:c r="J17" s="30" t="s">
        <x:v>58</x:v>
      </x:c>
      <x:c r="K17" s="31"/>
    </x:row>
    <x:row r="18" ht="21.950000762939453" customHeight="1">
      <x:c r="A18" s="15" t="s">
        <x:v>59</x:v>
      </x:c>
      <x:c r="B18" s="12" t="s">
        <x:v>44</x:v>
      </x:c>
      <x:c r="C18" s="12" t="s">
        <x:v>33</x:v>
      </x:c>
      <x:c r="D18" s="12" t="s">
        <x:v>34</x:v>
      </x:c>
      <x:c r="E18" s="12" t="s">
        <x:v>60</x:v>
      </x:c>
      <x:c r="F18" s="12" t="s">
        <x:v>16</x:v>
      </x:c>
      <x:c r="G18" s="18">
        <x:v>428</x:v>
      </x:c>
      <x:c r="H18" s="21" t="n">
        <x:f>IF(SUMIFS('İndirimler'!$C$2:$C$210,'İndirimler'!$A$2:$A$210,B18,'İndirimler'!$B$2:$B$210,C18)&gt;0,ROUND(G18*(1-SUMIFS('İndirimler'!$C$2:$C$210,'İndirimler'!$A$2:$A$210,B18,'İndirimler'!$B$2:$B$210,C18)),2),"")</x:f>
        <x:v>363.8</x:v>
      </x:c>
      <x:c r="I18" s="24" t="n">
        <x:f>IF(SUMIFS('İndirimler'!$D$2:$D$210,'İndirimler'!$A$2:$A$210,B18,'İndirimler'!$B$2:$B$210,C18)&gt;0,ROUND(G18*(1-SUMIFS('İndirimler'!$D$2:$D$210,'İndirimler'!$A$2:$A$210,B18,'İndirimler'!$B$2:$B$210,C18)),2),"")</x:f>
        <x:v>299.6</x:v>
      </x:c>
      <x:c r="J18" s="12" t="s">
        <x:v>61</x:v>
      </x:c>
      <x:c r="K18" s="31"/>
    </x:row>
    <x:row r="19" ht="21.950000762939453" customHeight="1">
      <x:c r="A19" s="15" t="s">
        <x:v>62</x:v>
      </x:c>
      <x:c r="B19" s="12" t="s">
        <x:v>63</x:v>
      </x:c>
      <x:c r="C19" s="12" t="s">
        <x:v>33</x:v>
      </x:c>
      <x:c r="D19" s="12" t="s">
        <x:v>34</x:v>
      </x:c>
      <x:c r="E19" s="12" t="s">
        <x:v>64</x:v>
      </x:c>
      <x:c r="F19" s="12" t="s">
        <x:v>16</x:v>
      </x:c>
      <x:c r="G19" s="18">
        <x:v>475</x:v>
      </x:c>
      <x:c r="H19" s="21" t="n">
        <x:f>IF(SUMIFS('İndirimler'!$C$2:$C$210,'İndirimler'!$A$2:$A$210,B19,'İndirimler'!$B$2:$B$210,C19)&gt;0,ROUND(G19*(1-SUMIFS('İndirimler'!$C$2:$C$210,'İndirimler'!$A$2:$A$210,B19,'İndirimler'!$B$2:$B$210,C19)),2),"")</x:f>
        <x:v>403.75</x:v>
      </x:c>
      <x:c r="I19" s="24" t="n">
        <x:f>IF(SUMIFS('İndirimler'!$D$2:$D$210,'İndirimler'!$A$2:$A$210,B19,'İndirimler'!$B$2:$B$210,C19)&gt;0,ROUND(G19*(1-SUMIFS('İndirimler'!$D$2:$D$210,'İndirimler'!$A$2:$A$210,B19,'İndirimler'!$B$2:$B$210,C19)),2),"")</x:f>
        <x:v>332.5</x:v>
      </x:c>
      <x:c r="J19" s="12" t="s">
        <x:v>65</x:v>
      </x:c>
      <x:c r="K19" s="31"/>
    </x:row>
    <x:row r="20" ht="21.950000762939453" customHeight="1">
      <x:c r="A20" s="15" t="s">
        <x:v>66</x:v>
      </x:c>
      <x:c r="B20" s="12" t="s">
        <x:v>23</x:v>
      </x:c>
      <x:c r="C20" s="12" t="s">
        <x:v>33</x:v>
      </x:c>
      <x:c r="D20" s="12" t="s">
        <x:v>34</x:v>
      </x:c>
      <x:c r="E20" s="12"/>
      <x:c r="F20" s="12" t="s">
        <x:v>16</x:v>
      </x:c>
      <x:c r="G20" s="18">
        <x:v>626</x:v>
      </x:c>
      <x:c r="H20" s="21" t="n">
        <x:f>IF(SUMIFS('İndirimler'!$C$2:$C$210,'İndirimler'!$A$2:$A$210,B20,'İndirimler'!$B$2:$B$210,C20)&gt;0,ROUND(G20*(1-SUMIFS('İndirimler'!$C$2:$C$210,'İndirimler'!$A$2:$A$210,B20,'İndirimler'!$B$2:$B$210,C20)),2),"")</x:f>
        <x:v>532.1</x:v>
      </x:c>
      <x:c r="I20" s="24" t="n">
        <x:f>IF(SUMIFS('İndirimler'!$D$2:$D$210,'İndirimler'!$A$2:$A$210,B20,'İndirimler'!$B$2:$B$210,C20)&gt;0,ROUND(G20*(1-SUMIFS('İndirimler'!$D$2:$D$210,'İndirimler'!$A$2:$A$210,B20,'İndirimler'!$B$2:$B$210,C20)),2),"")</x:f>
        <x:v>438.2</x:v>
      </x:c>
      <x:c r="J20" s="30" t="s">
        <x:v>67</x:v>
      </x:c>
      <x:c r="K20" s="31"/>
    </x:row>
    <x:row r="21" ht="21.950000762939453" customHeight="1">
      <x:c r="A21" s="15" t="s">
        <x:v>68</x:v>
      </x:c>
      <x:c r="B21" s="12" t="s">
        <x:v>50</x:v>
      </x:c>
      <x:c r="C21" s="12" t="s">
        <x:v>33</x:v>
      </x:c>
      <x:c r="D21" s="12" t="s">
        <x:v>34</x:v>
      </x:c>
      <x:c r="E21" s="12" t="s">
        <x:v>69</x:v>
      </x:c>
      <x:c r="F21" s="12" t="s">
        <x:v>16</x:v>
      </x:c>
      <x:c r="G21" s="18">
        <x:v>493</x:v>
      </x:c>
      <x:c r="H21" s="21" t="n">
        <x:f>IF(SUMIFS('İndirimler'!$C$2:$C$210,'İndirimler'!$A$2:$A$210,B21,'İndirimler'!$B$2:$B$210,C21)&gt;0,ROUND(G21*(1-SUMIFS('İndirimler'!$C$2:$C$210,'İndirimler'!$A$2:$A$210,B21,'İndirimler'!$B$2:$B$210,C21)),2),"")</x:f>
        <x:v>419.05</x:v>
      </x:c>
      <x:c r="I21" s="24" t="n">
        <x:f>IF(SUMIFS('İndirimler'!$D$2:$D$210,'İndirimler'!$A$2:$A$210,B21,'İndirimler'!$B$2:$B$210,C21)&gt;0,ROUND(G21*(1-SUMIFS('İndirimler'!$D$2:$D$210,'İndirimler'!$A$2:$A$210,B21,'İndirimler'!$B$2:$B$210,C21)),2),"")</x:f>
        <x:v>345.1</x:v>
      </x:c>
      <x:c r="J21" s="12"/>
      <x:c r="K21" s="31"/>
    </x:row>
    <x:row r="22" ht="21.950000762939453" customHeight="1">
      <x:c r="A22" s="15" t="s">
        <x:v>70</x:v>
      </x:c>
      <x:c r="B22" s="12" t="s">
        <x:v>38</x:v>
      </x:c>
      <x:c r="C22" s="12" t="s">
        <x:v>33</x:v>
      </x:c>
      <x:c r="D22" s="12" t="s">
        <x:v>34</x:v>
      </x:c>
      <x:c r="E22" s="12" t="s">
        <x:v>69</x:v>
      </x:c>
      <x:c r="F22" s="12" t="s">
        <x:v>16</x:v>
      </x:c>
      <x:c r="G22" s="18">
        <x:v>519</x:v>
      </x:c>
      <x:c r="H22" s="21" t="n">
        <x:f>IF(SUMIFS('İndirimler'!$C$2:$C$210,'İndirimler'!$A$2:$A$210,B22,'İndirimler'!$B$2:$B$210,C22)&gt;0,ROUND(G22*(1-SUMIFS('İndirimler'!$C$2:$C$210,'İndirimler'!$A$2:$A$210,B22,'İndirimler'!$B$2:$B$210,C22)),2),"")</x:f>
        <x:v>441.15</x:v>
      </x:c>
      <x:c r="I22" s="24" t="n">
        <x:f>IF(SUMIFS('İndirimler'!$D$2:$D$210,'İndirimler'!$A$2:$A$210,B22,'İndirimler'!$B$2:$B$210,C22)&gt;0,ROUND(G22*(1-SUMIFS('İndirimler'!$D$2:$D$210,'İndirimler'!$A$2:$A$210,B22,'İndirimler'!$B$2:$B$210,C22)),2),"")</x:f>
        <x:v>363.3</x:v>
      </x:c>
      <x:c r="J22" s="30"/>
      <x:c r="K22" s="31"/>
    </x:row>
    <x:row r="23" ht="21.950000762939453" customHeight="1">
      <x:c r="A23" s="15" t="s">
        <x:v>71</x:v>
      </x:c>
      <x:c r="B23" s="12" t="s">
        <x:v>72</x:v>
      </x:c>
      <x:c r="C23" s="12" t="s">
        <x:v>33</x:v>
      </x:c>
      <x:c r="D23" s="12" t="s">
        <x:v>34</x:v>
      </x:c>
      <x:c r="E23" s="12"/>
      <x:c r="F23" s="12" t="s">
        <x:v>73</x:v>
      </x:c>
      <x:c r="G23" s="18">
        <x:v>329</x:v>
      </x:c>
      <x:c r="H23" s="21" t="n">
        <x:f>IF(SUMIFS('İndirimler'!$C$2:$C$210,'İndirimler'!$A$2:$A$210,B23,'İndirimler'!$B$2:$B$210,C23)&gt;0,ROUND(G23*(1-SUMIFS('İndirimler'!$C$2:$C$210,'İndirimler'!$A$2:$A$210,B23,'İndirimler'!$B$2:$B$210,C23)),2),"")</x:f>
        <x:v>279.65</x:v>
      </x:c>
      <x:c r="I23" s="24" t="n">
        <x:f>IF(SUMIFS('İndirimler'!$D$2:$D$210,'İndirimler'!$A$2:$A$210,B23,'İndirimler'!$B$2:$B$210,C23)&gt;0,ROUND(G23*(1-SUMIFS('İndirimler'!$D$2:$D$210,'İndirimler'!$A$2:$A$210,B23,'İndirimler'!$B$2:$B$210,C23)),2),"")</x:f>
        <x:v>230.3</x:v>
      </x:c>
      <x:c r="J23" s="12"/>
      <x:c r="K23" s="31"/>
    </x:row>
    <x:row r="24" ht="21.950000762939453" customHeight="1">
      <x:c r="A24" s="15" t="s">
        <x:v>74</x:v>
      </x:c>
      <x:c r="B24" s="12" t="s">
        <x:v>72</x:v>
      </x:c>
      <x:c r="C24" s="12" t="s">
        <x:v>33</x:v>
      </x:c>
      <x:c r="D24" s="12" t="s">
        <x:v>34</x:v>
      </x:c>
      <x:c r="E24" s="12"/>
      <x:c r="F24" s="12" t="s">
        <x:v>73</x:v>
      </x:c>
      <x:c r="G24" s="18">
        <x:v>429</x:v>
      </x:c>
      <x:c r="H24" s="21" t="n">
        <x:f>IF(SUMIFS('İndirimler'!$C$2:$C$210,'İndirimler'!$A$2:$A$210,B24,'İndirimler'!$B$2:$B$210,C24)&gt;0,ROUND(G24*(1-SUMIFS('İndirimler'!$C$2:$C$210,'İndirimler'!$A$2:$A$210,B24,'İndirimler'!$B$2:$B$210,C24)),2),"")</x:f>
        <x:v>364.65</x:v>
      </x:c>
      <x:c r="I24" s="24" t="n">
        <x:f>IF(SUMIFS('İndirimler'!$D$2:$D$210,'İndirimler'!$A$2:$A$210,B24,'İndirimler'!$B$2:$B$210,C24)&gt;0,ROUND(G24*(1-SUMIFS('İndirimler'!$D$2:$D$210,'İndirimler'!$A$2:$A$210,B24,'İndirimler'!$B$2:$B$210,C24)),2),"")</x:f>
        <x:v>300.3</x:v>
      </x:c>
      <x:c r="J24" s="12"/>
      <x:c r="K24" s="31"/>
    </x:row>
    <x:row r="25" ht="21.950000762939453" customHeight="1">
      <x:c r="A25" s="15" t="s">
        <x:v>75</x:v>
      </x:c>
      <x:c r="B25" s="12" t="s">
        <x:v>32</x:v>
      </x:c>
      <x:c r="C25" s="12" t="s">
        <x:v>76</x:v>
      </x:c>
      <x:c r="D25" s="12" t="s">
        <x:v>34</x:v>
      </x:c>
      <x:c r="E25" s="12"/>
      <x:c r="F25" s="12" t="s">
        <x:v>35</x:v>
      </x:c>
      <x:c r="G25" s="18">
        <x:v>529</x:v>
      </x:c>
      <x:c r="H25" s="21" t="n">
        <x:f>IF(SUMIFS('İndirimler'!$C$2:$C$210,'İndirimler'!$A$2:$A$210,B25,'İndirimler'!$B$2:$B$210,C25)&gt;0,ROUND(G25*(1-SUMIFS('İndirimler'!$C$2:$C$210,'İndirimler'!$A$2:$A$210,B25,'İndirimler'!$B$2:$B$210,C25)),2),"")</x:f>
        <x:v>449.65</x:v>
      </x:c>
      <x:c r="I25" s="24" t="n">
        <x:f>IF(SUMIFS('İndirimler'!$D$2:$D$210,'İndirimler'!$A$2:$A$210,B25,'İndirimler'!$B$2:$B$210,C25)&gt;0,ROUND(G25*(1-SUMIFS('İndirimler'!$D$2:$D$210,'İndirimler'!$A$2:$A$210,B25,'İndirimler'!$B$2:$B$210,C25)),2),"")</x:f>
        <x:v>370.3</x:v>
      </x:c>
      <x:c r="J25" s="30" t="s">
        <x:v>77</x:v>
      </x:c>
      <x:c r="K25" s="31"/>
    </x:row>
    <x:row r="26" ht="21.950000762939453" customHeight="1">
      <x:c r="A26" s="15" t="s">
        <x:v>78</x:v>
      </x:c>
      <x:c r="B26" s="12" t="s">
        <x:v>38</x:v>
      </x:c>
      <x:c r="C26" s="12" t="s">
        <x:v>76</x:v>
      </x:c>
      <x:c r="D26" s="12" t="s">
        <x:v>34</x:v>
      </x:c>
      <x:c r="E26" s="12"/>
      <x:c r="F26" s="12" t="s">
        <x:v>35</x:v>
      </x:c>
      <x:c r="G26" s="18">
        <x:v>589</x:v>
      </x:c>
      <x:c r="H26" s="21" t="n">
        <x:f>IF(SUMIFS('İndirimler'!$C$2:$C$210,'İndirimler'!$A$2:$A$210,B26,'İndirimler'!$B$2:$B$210,C26)&gt;0,ROUND(G26*(1-SUMIFS('İndirimler'!$C$2:$C$210,'İndirimler'!$A$2:$A$210,B26,'İndirimler'!$B$2:$B$210,C26)),2),"")</x:f>
        <x:v>500.65</x:v>
      </x:c>
      <x:c r="I26" s="24" t="n">
        <x:f>IF(SUMIFS('İndirimler'!$D$2:$D$210,'İndirimler'!$A$2:$A$210,B26,'İndirimler'!$B$2:$B$210,C26)&gt;0,ROUND(G26*(1-SUMIFS('İndirimler'!$D$2:$D$210,'İndirimler'!$A$2:$A$210,B26,'İndirimler'!$B$2:$B$210,C26)),2),"")</x:f>
        <x:v>412.3</x:v>
      </x:c>
      <x:c r="J26" s="12" t="s">
        <x:v>79</x:v>
      </x:c>
      <x:c r="K26" s="31"/>
    </x:row>
    <x:row r="27" ht="21.950000762939453" customHeight="1">
      <x:c r="A27" s="15" t="s">
        <x:v>80</x:v>
      </x:c>
      <x:c r="B27" s="12" t="s">
        <x:v>18</x:v>
      </x:c>
      <x:c r="C27" s="12" t="s">
        <x:v>76</x:v>
      </x:c>
      <x:c r="D27" s="12" t="s">
        <x:v>34</x:v>
      </x:c>
      <x:c r="E27" s="12" t="s">
        <x:v>41</x:v>
      </x:c>
      <x:c r="F27" s="12" t="s">
        <x:v>42</x:v>
      </x:c>
      <x:c r="G27" s="18"/>
      <x:c r="H27" s="21" t="n">
        <x:f>IF(SUMIFS('İndirimler'!$C$2:$C$210,'İndirimler'!$A$2:$A$210,B27,'İndirimler'!$B$2:$B$210,C27)&gt;0,ROUND(G27*(1-SUMIFS('İndirimler'!$C$2:$C$210,'İndirimler'!$A$2:$A$210,B27,'İndirimler'!$B$2:$B$210,C27)),2),"")</x:f>
        <x:v>0</x:v>
      </x:c>
      <x:c r="I27" s="24" t="n">
        <x:f>IF(SUMIFS('İndirimler'!$D$2:$D$210,'İndirimler'!$A$2:$A$210,B27,'İndirimler'!$B$2:$B$210,C27)&gt;0,ROUND(G27*(1-SUMIFS('İndirimler'!$D$2:$D$210,'İndirimler'!$A$2:$A$210,B27,'İndirimler'!$B$2:$B$210,C27)),2),"")</x:f>
        <x:v>0</x:v>
      </x:c>
      <x:c r="J27" s="12"/>
      <x:c r="K27" s="31"/>
    </x:row>
    <x:row r="28" ht="21.950000762939453" customHeight="1">
      <x:c r="A28" s="15" t="s">
        <x:v>81</x:v>
      </x:c>
      <x:c r="B28" s="12" t="s">
        <x:v>44</x:v>
      </x:c>
      <x:c r="C28" s="12" t="s">
        <x:v>76</x:v>
      </x:c>
      <x:c r="D28" s="12" t="s">
        <x:v>34</x:v>
      </x:c>
      <x:c r="E28" s="12" t="s">
        <x:v>45</x:v>
      </x:c>
      <x:c r="F28" s="12" t="s">
        <x:v>42</x:v>
      </x:c>
      <x:c r="G28" s="18">
        <x:v>376</x:v>
      </x:c>
      <x:c r="H28" s="21" t="n">
        <x:f>IF(SUMIFS('İndirimler'!$C$2:$C$210,'İndirimler'!$A$2:$A$210,B28,'İndirimler'!$B$2:$B$210,C28)&gt;0,ROUND(G28*(1-SUMIFS('İndirimler'!$C$2:$C$210,'İndirimler'!$A$2:$A$210,B28,'İndirimler'!$B$2:$B$210,C28)),2),"")</x:f>
        <x:v>319.6</x:v>
      </x:c>
      <x:c r="I28" s="24" t="n">
        <x:f>IF(SUMIFS('İndirimler'!$D$2:$D$210,'İndirimler'!$A$2:$A$210,B28,'İndirimler'!$B$2:$B$210,C28)&gt;0,ROUND(G28*(1-SUMIFS('İndirimler'!$D$2:$D$210,'İndirimler'!$A$2:$A$210,B28,'İndirimler'!$B$2:$B$210,C28)),2),"")</x:f>
        <x:v>263.2</x:v>
      </x:c>
      <x:c r="J28" s="12" t="s">
        <x:v>82</x:v>
      </x:c>
      <x:c r="K28" s="31"/>
    </x:row>
    <x:row r="29" ht="21.950000762939453" customHeight="1">
      <x:c r="A29" s="15" t="s">
        <x:v>83</x:v>
      </x:c>
      <x:c r="B29" s="12" t="s">
        <x:v>23</x:v>
      </x:c>
      <x:c r="C29" s="12" t="s">
        <x:v>76</x:v>
      </x:c>
      <x:c r="D29" s="12" t="s">
        <x:v>34</x:v>
      </x:c>
      <x:c r="E29" s="12"/>
      <x:c r="F29" s="12" t="s">
        <x:v>42</x:v>
      </x:c>
      <x:c r="G29" s="18">
        <x:v>684</x:v>
      </x:c>
      <x:c r="H29" s="21" t="n">
        <x:f>IF(SUMIFS('İndirimler'!$C$2:$C$210,'İndirimler'!$A$2:$A$210,B29,'İndirimler'!$B$2:$B$210,C29)&gt;0,ROUND(G29*(1-SUMIFS('İndirimler'!$C$2:$C$210,'İndirimler'!$A$2:$A$210,B29,'İndirimler'!$B$2:$B$210,C29)),2),"")</x:f>
        <x:v>581.4</x:v>
      </x:c>
      <x:c r="I29" s="24" t="n">
        <x:f>IF(SUMIFS('İndirimler'!$D$2:$D$210,'İndirimler'!$A$2:$A$210,B29,'İndirimler'!$B$2:$B$210,C29)&gt;0,ROUND(G29*(1-SUMIFS('İndirimler'!$D$2:$D$210,'İndirimler'!$A$2:$A$210,B29,'İndirimler'!$B$2:$B$210,C29)),2),"")</x:f>
        <x:v>478.8</x:v>
      </x:c>
      <x:c r="J29" s="12" t="s">
        <x:v>84</x:v>
      </x:c>
      <x:c r="K29" s="31"/>
    </x:row>
    <x:row r="30" ht="21.950000762939453" customHeight="1">
      <x:c r="A30" s="15" t="s">
        <x:v>85</x:v>
      </x:c>
      <x:c r="B30" s="12" t="s">
        <x:v>50</x:v>
      </x:c>
      <x:c r="C30" s="12" t="s">
        <x:v>76</x:v>
      </x:c>
      <x:c r="D30" s="12" t="s">
        <x:v>34</x:v>
      </x:c>
      <x:c r="E30" s="12" t="s">
        <x:v>51</x:v>
      </x:c>
      <x:c r="F30" s="12" t="s">
        <x:v>42</x:v>
      </x:c>
      <x:c r="G30" s="18">
        <x:v>820</x:v>
      </x:c>
      <x:c r="H30" s="21" t="n">
        <x:f>IF(SUMIFS('İndirimler'!$C$2:$C$210,'İndirimler'!$A$2:$A$210,B30,'İndirimler'!$B$2:$B$210,C30)&gt;0,ROUND(G30*(1-SUMIFS('İndirimler'!$C$2:$C$210,'İndirimler'!$A$2:$A$210,B30,'İndirimler'!$B$2:$B$210,C30)),2),"")</x:f>
        <x:v>697</x:v>
      </x:c>
      <x:c r="I30" s="24" t="n">
        <x:f>IF(SUMIFS('İndirimler'!$D$2:$D$210,'İndirimler'!$A$2:$A$210,B30,'İndirimler'!$B$2:$B$210,C30)&gt;0,ROUND(G30*(1-SUMIFS('İndirimler'!$D$2:$D$210,'İndirimler'!$A$2:$A$210,B30,'İndirimler'!$B$2:$B$210,C30)),2),"")</x:f>
        <x:v>574</x:v>
      </x:c>
      <x:c r="J30" s="12"/>
      <x:c r="K30" s="31"/>
    </x:row>
    <x:row r="31" ht="21.950000762939453" customHeight="1">
      <x:c r="A31" s="15" t="s">
        <x:v>86</x:v>
      </x:c>
      <x:c r="B31" s="12" t="s">
        <x:v>55</x:v>
      </x:c>
      <x:c r="C31" s="12" t="s">
        <x:v>76</x:v>
      </x:c>
      <x:c r="D31" s="12" t="s">
        <x:v>34</x:v>
      </x:c>
      <x:c r="E31" s="12"/>
      <x:c r="F31" s="12" t="s">
        <x:v>16</x:v>
      </x:c>
      <x:c r="G31" s="18">
        <x:v>402</x:v>
      </x:c>
      <x:c r="H31" s="21" t="n">
        <x:f>IF(SUMIFS('İndirimler'!$C$2:$C$210,'İndirimler'!$A$2:$A$210,B31,'İndirimler'!$B$2:$B$210,C31)&gt;0,ROUND(G31*(1-SUMIFS('İndirimler'!$C$2:$C$210,'İndirimler'!$A$2:$A$210,B31,'İndirimler'!$B$2:$B$210,C31)),2),"")</x:f>
        <x:v>341.7</x:v>
      </x:c>
      <x:c r="I31" s="24" t="n">
        <x:f>IF(SUMIFS('İndirimler'!$D$2:$D$210,'İndirimler'!$A$2:$A$210,B31,'İndirimler'!$B$2:$B$210,C31)&gt;0,ROUND(G31*(1-SUMIFS('İndirimler'!$D$2:$D$210,'İndirimler'!$A$2:$A$210,B31,'İndirimler'!$B$2:$B$210,C31)),2),"")</x:f>
        <x:v>281.4</x:v>
      </x:c>
      <x:c r="J31" s="12" t="s">
        <x:v>87</x:v>
      </x:c>
      <x:c r="K31" s="31"/>
    </x:row>
    <x:row r="32" ht="21.950000762939453" customHeight="1">
      <x:c r="A32" s="15" t="s">
        <x:v>88</x:v>
      </x:c>
      <x:c r="B32" s="12" t="s">
        <x:v>18</x:v>
      </x:c>
      <x:c r="C32" s="12" t="s">
        <x:v>76</x:v>
      </x:c>
      <x:c r="D32" s="12" t="s">
        <x:v>34</x:v>
      </x:c>
      <x:c r="E32" s="12"/>
      <x:c r="F32" s="12" t="s">
        <x:v>16</x:v>
      </x:c>
      <x:c r="G32" s="18">
        <x:v>479</x:v>
      </x:c>
      <x:c r="H32" s="21" t="n">
        <x:f>IF(SUMIFS('İndirimler'!$C$2:$C$210,'İndirimler'!$A$2:$A$210,B32,'İndirimler'!$B$2:$B$210,C32)&gt;0,ROUND(G32*(1-SUMIFS('İndirimler'!$C$2:$C$210,'İndirimler'!$A$2:$A$210,B32,'İndirimler'!$B$2:$B$210,C32)),2),"")</x:f>
        <x:v>407.15</x:v>
      </x:c>
      <x:c r="I32" s="24" t="n">
        <x:f>IF(SUMIFS('İndirimler'!$D$2:$D$210,'İndirimler'!$A$2:$A$210,B32,'İndirimler'!$B$2:$B$210,C32)&gt;0,ROUND(G32*(1-SUMIFS('İndirimler'!$D$2:$D$210,'İndirimler'!$A$2:$A$210,B32,'İndirimler'!$B$2:$B$210,C32)),2),"")</x:f>
        <x:v>335.3</x:v>
      </x:c>
      <x:c r="J32" s="30" t="s">
        <x:v>89</x:v>
      </x:c>
      <x:c r="K32" s="31"/>
    </x:row>
    <x:row r="33" ht="21.950000762939453" customHeight="1">
      <x:c r="A33" s="15" t="s">
        <x:v>90</x:v>
      </x:c>
      <x:c r="B33" s="12" t="s">
        <x:v>44</x:v>
      </x:c>
      <x:c r="C33" s="12" t="s">
        <x:v>76</x:v>
      </x:c>
      <x:c r="D33" s="12" t="s">
        <x:v>34</x:v>
      </x:c>
      <x:c r="E33" s="12" t="s">
        <x:v>60</x:v>
      </x:c>
      <x:c r="F33" s="12" t="s">
        <x:v>16</x:v>
      </x:c>
      <x:c r="G33" s="18">
        <x:v>428</x:v>
      </x:c>
      <x:c r="H33" s="21" t="n">
        <x:f>IF(SUMIFS('İndirimler'!$C$2:$C$210,'İndirimler'!$A$2:$A$210,B33,'İndirimler'!$B$2:$B$210,C33)&gt;0,ROUND(G33*(1-SUMIFS('İndirimler'!$C$2:$C$210,'İndirimler'!$A$2:$A$210,B33,'İndirimler'!$B$2:$B$210,C33)),2),"")</x:f>
        <x:v>363.8</x:v>
      </x:c>
      <x:c r="I33" s="24" t="n">
        <x:f>IF(SUMIFS('İndirimler'!$D$2:$D$210,'İndirimler'!$A$2:$A$210,B33,'İndirimler'!$B$2:$B$210,C33)&gt;0,ROUND(G33*(1-SUMIFS('İndirimler'!$D$2:$D$210,'İndirimler'!$A$2:$A$210,B33,'İndirimler'!$B$2:$B$210,C33)),2),"")</x:f>
        <x:v>299.6</x:v>
      </x:c>
      <x:c r="J33" s="12" t="s">
        <x:v>91</x:v>
      </x:c>
      <x:c r="K33" s="31"/>
    </x:row>
    <x:row r="34" ht="21.950000762939453" customHeight="1">
      <x:c r="A34" s="15" t="s">
        <x:v>92</x:v>
      </x:c>
      <x:c r="B34" s="12" t="s">
        <x:v>63</x:v>
      </x:c>
      <x:c r="C34" s="12" t="s">
        <x:v>76</x:v>
      </x:c>
      <x:c r="D34" s="12" t="s">
        <x:v>34</x:v>
      </x:c>
      <x:c r="E34" s="12" t="s">
        <x:v>64</x:v>
      </x:c>
      <x:c r="F34" s="12" t="s">
        <x:v>16</x:v>
      </x:c>
      <x:c r="G34" s="18">
        <x:v>405</x:v>
      </x:c>
      <x:c r="H34" s="21" t="n">
        <x:f>IF(SUMIFS('İndirimler'!$C$2:$C$210,'İndirimler'!$A$2:$A$210,B34,'İndirimler'!$B$2:$B$210,C34)&gt;0,ROUND(G34*(1-SUMIFS('İndirimler'!$C$2:$C$210,'İndirimler'!$A$2:$A$210,B34,'İndirimler'!$B$2:$B$210,C34)),2),"")</x:f>
        <x:v>344.25</x:v>
      </x:c>
      <x:c r="I34" s="24" t="n">
        <x:f>IF(SUMIFS('İndirimler'!$D$2:$D$210,'İndirimler'!$A$2:$A$210,B34,'İndirimler'!$B$2:$B$210,C34)&gt;0,ROUND(G34*(1-SUMIFS('İndirimler'!$D$2:$D$210,'İndirimler'!$A$2:$A$210,B34,'İndirimler'!$B$2:$B$210,C34)),2),"")</x:f>
        <x:v>283.5</x:v>
      </x:c>
      <x:c r="J34" s="12" t="s">
        <x:v>93</x:v>
      </x:c>
      <x:c r="K34" s="31"/>
    </x:row>
    <x:row r="35" ht="21.950000762939453" customHeight="1">
      <x:c r="A35" s="15" t="s">
        <x:v>94</x:v>
      </x:c>
      <x:c r="B35" s="12" t="s">
        <x:v>23</x:v>
      </x:c>
      <x:c r="C35" s="12" t="s">
        <x:v>76</x:v>
      </x:c>
      <x:c r="D35" s="12" t="s">
        <x:v>34</x:v>
      </x:c>
      <x:c r="E35" s="12"/>
      <x:c r="F35" s="12" t="s">
        <x:v>16</x:v>
      </x:c>
      <x:c r="G35" s="18">
        <x:v>622</x:v>
      </x:c>
      <x:c r="H35" s="21" t="n">
        <x:f>IF(SUMIFS('İndirimler'!$C$2:$C$210,'İndirimler'!$A$2:$A$210,B35,'İndirimler'!$B$2:$B$210,C35)&gt;0,ROUND(G35*(1-SUMIFS('İndirimler'!$C$2:$C$210,'İndirimler'!$A$2:$A$210,B35,'İndirimler'!$B$2:$B$210,C35)),2),"")</x:f>
        <x:v>528.7</x:v>
      </x:c>
      <x:c r="I35" s="24" t="n">
        <x:f>IF(SUMIFS('İndirimler'!$D$2:$D$210,'İndirimler'!$A$2:$A$210,B35,'İndirimler'!$B$2:$B$210,C35)&gt;0,ROUND(G35*(1-SUMIFS('İndirimler'!$D$2:$D$210,'İndirimler'!$A$2:$A$210,B35,'İndirimler'!$B$2:$B$210,C35)),2),"")</x:f>
        <x:v>435.4</x:v>
      </x:c>
      <x:c r="J35" s="12" t="s">
        <x:v>95</x:v>
      </x:c>
      <x:c r="K35" s="31"/>
    </x:row>
    <x:row r="36" ht="21.950000762939453" customHeight="1">
      <x:c r="A36" s="15" t="s">
        <x:v>96</x:v>
      </x:c>
      <x:c r="B36" s="12" t="s">
        <x:v>50</x:v>
      </x:c>
      <x:c r="C36" s="12" t="s">
        <x:v>76</x:v>
      </x:c>
      <x:c r="D36" s="12" t="s">
        <x:v>34</x:v>
      </x:c>
      <x:c r="E36" s="12" t="s">
        <x:v>69</x:v>
      </x:c>
      <x:c r="F36" s="12" t="s">
        <x:v>16</x:v>
      </x:c>
      <x:c r="G36" s="18">
        <x:v>598</x:v>
      </x:c>
      <x:c r="H36" s="21" t="n">
        <x:f>IF(SUMIFS('İndirimler'!$C$2:$C$210,'İndirimler'!$A$2:$A$210,B36,'İndirimler'!$B$2:$B$210,C36)&gt;0,ROUND(G36*(1-SUMIFS('İndirimler'!$C$2:$C$210,'İndirimler'!$A$2:$A$210,B36,'İndirimler'!$B$2:$B$210,C36)),2),"")</x:f>
        <x:v>508.3</x:v>
      </x:c>
      <x:c r="I36" s="24" t="n">
        <x:f>IF(SUMIFS('İndirimler'!$D$2:$D$210,'İndirimler'!$A$2:$A$210,B36,'İndirimler'!$B$2:$B$210,C36)&gt;0,ROUND(G36*(1-SUMIFS('İndirimler'!$D$2:$D$210,'İndirimler'!$A$2:$A$210,B36,'İndirimler'!$B$2:$B$210,C36)),2),"")</x:f>
        <x:v>418.6</x:v>
      </x:c>
      <x:c r="J36" s="12"/>
      <x:c r="K36" s="31"/>
    </x:row>
    <x:row r="37" ht="21.950000762939453" customHeight="1">
      <x:c r="A37" s="15" t="s">
        <x:v>97</x:v>
      </x:c>
      <x:c r="B37" s="12" t="s">
        <x:v>53</x:v>
      </x:c>
      <x:c r="C37" s="12" t="s">
        <x:v>76</x:v>
      </x:c>
      <x:c r="D37" s="12" t="s">
        <x:v>34</x:v>
      </x:c>
      <x:c r="E37" s="12"/>
      <x:c r="F37" s="12" t="s">
        <x:v>16</x:v>
      </x:c>
      <x:c r="G37" s="18">
        <x:v>539</x:v>
      </x:c>
      <x:c r="H37" s="21" t="n">
        <x:f>IF(SUMIFS('İndirimler'!$C$2:$C$210,'İndirimler'!$A$2:$A$210,B37,'İndirimler'!$B$2:$B$210,C37)&gt;0,ROUND(G37*(1-SUMIFS('İndirimler'!$C$2:$C$210,'İndirimler'!$A$2:$A$210,B37,'İndirimler'!$B$2:$B$210,C37)),2),"")</x:f>
        <x:v>458.15</x:v>
      </x:c>
      <x:c r="I37" s="24" t="n">
        <x:f>IF(SUMIFS('İndirimler'!$D$2:$D$210,'İndirimler'!$A$2:$A$210,B37,'İndirimler'!$B$2:$B$210,C37)&gt;0,ROUND(G37*(1-SUMIFS('İndirimler'!$D$2:$D$210,'İndirimler'!$A$2:$A$210,B37,'İndirimler'!$B$2:$B$210,C37)),2),"")</x:f>
        <x:v>377.3</x:v>
      </x:c>
      <x:c r="J37" s="12"/>
      <x:c r="K37" s="31"/>
    </x:row>
    <x:row r="38" ht="21.950000762939453" customHeight="1">
      <x:c r="A38" s="15" t="s">
        <x:v>98</x:v>
      </x:c>
      <x:c r="B38" s="12" t="s">
        <x:v>38</x:v>
      </x:c>
      <x:c r="C38" s="12" t="s">
        <x:v>76</x:v>
      </x:c>
      <x:c r="D38" s="12" t="s">
        <x:v>34</x:v>
      </x:c>
      <x:c r="E38" s="12" t="s">
        <x:v>69</x:v>
      </x:c>
      <x:c r="F38" s="12" t="s">
        <x:v>16</x:v>
      </x:c>
      <x:c r="G38" s="18">
        <x:v>505</x:v>
      </x:c>
      <x:c r="H38" s="21" t="n">
        <x:f>IF(SUMIFS('İndirimler'!$C$2:$C$210,'İndirimler'!$A$2:$A$210,B38,'İndirimler'!$B$2:$B$210,C38)&gt;0,ROUND(G38*(1-SUMIFS('İndirimler'!$C$2:$C$210,'İndirimler'!$A$2:$A$210,B38,'İndirimler'!$B$2:$B$210,C38)),2),"")</x:f>
        <x:v>429.25</x:v>
      </x:c>
      <x:c r="I38" s="24" t="n">
        <x:f>IF(SUMIFS('İndirimler'!$D$2:$D$210,'İndirimler'!$A$2:$A$210,B38,'İndirimler'!$B$2:$B$210,C38)&gt;0,ROUND(G38*(1-SUMIFS('İndirimler'!$D$2:$D$210,'İndirimler'!$A$2:$A$210,B38,'İndirimler'!$B$2:$B$210,C38)),2),"")</x:f>
        <x:v>353.5</x:v>
      </x:c>
      <x:c r="J38" s="12"/>
      <x:c r="K38" s="31"/>
    </x:row>
    <x:row r="39" ht="21.950000762939453" customHeight="1">
      <x:c r="A39" s="15" t="s">
        <x:v>99</x:v>
      </x:c>
      <x:c r="B39" s="12" t="s">
        <x:v>72</x:v>
      </x:c>
      <x:c r="C39" s="12" t="s">
        <x:v>76</x:v>
      </x:c>
      <x:c r="D39" s="12" t="s">
        <x:v>34</x:v>
      </x:c>
      <x:c r="E39" s="12"/>
      <x:c r="F39" s="12" t="s">
        <x:v>73</x:v>
      </x:c>
      <x:c r="G39" s="18">
        <x:v>409</x:v>
      </x:c>
      <x:c r="H39" s="21" t="n">
        <x:f>IF(SUMIFS('İndirimler'!$C$2:$C$210,'İndirimler'!$A$2:$A$210,B39,'İndirimler'!$B$2:$B$210,C39)&gt;0,ROUND(G39*(1-SUMIFS('İndirimler'!$C$2:$C$210,'İndirimler'!$A$2:$A$210,B39,'İndirimler'!$B$2:$B$210,C39)),2),"")</x:f>
        <x:v>347.65</x:v>
      </x:c>
      <x:c r="I39" s="24" t="n">
        <x:f>IF(SUMIFS('İndirimler'!$D$2:$D$210,'İndirimler'!$A$2:$A$210,B39,'İndirimler'!$B$2:$B$210,C39)&gt;0,ROUND(G39*(1-SUMIFS('İndirimler'!$D$2:$D$210,'İndirimler'!$A$2:$A$210,B39,'İndirimler'!$B$2:$B$210,C39)),2),"")</x:f>
        <x:v>286.3</x:v>
      </x:c>
      <x:c r="J39" s="12"/>
      <x:c r="K39" s="31"/>
    </x:row>
    <x:row r="40" ht="21.950000762939453" customHeight="1">
      <x:c r="A40" s="15" t="s">
        <x:v>100</x:v>
      </x:c>
      <x:c r="B40" s="12" t="s">
        <x:v>38</x:v>
      </x:c>
      <x:c r="C40" s="12" t="s">
        <x:v>101</x:v>
      </x:c>
      <x:c r="D40" s="12" t="s">
        <x:v>34</x:v>
      </x:c>
      <x:c r="E40" s="12"/>
      <x:c r="F40" s="12" t="s">
        <x:v>35</x:v>
      </x:c>
      <x:c r="G40" s="18"/>
      <x:c r="H40" s="21" t="n">
        <x:f>IF(SUMIFS('İndirimler'!$C$2:$C$210,'İndirimler'!$A$2:$A$210,B40,'İndirimler'!$B$2:$B$210,C40)&gt;0,ROUND(G40*(1-SUMIFS('İndirimler'!$C$2:$C$210,'İndirimler'!$A$2:$A$210,B40,'İndirimler'!$B$2:$B$210,C40)),2),"")</x:f>
        <x:v>0</x:v>
      </x:c>
      <x:c r="I40" s="24" t="n">
        <x:f>IF(SUMIFS('İndirimler'!$D$2:$D$210,'İndirimler'!$A$2:$A$210,B40,'İndirimler'!$B$2:$B$210,C40)&gt;0,ROUND(G40*(1-SUMIFS('İndirimler'!$D$2:$D$210,'İndirimler'!$A$2:$A$210,B40,'İndirimler'!$B$2:$B$210,C40)),2),"")</x:f>
        <x:v>0</x:v>
      </x:c>
      <x:c r="J40" s="12"/>
      <x:c r="K40" s="31"/>
    </x:row>
    <x:row r="41" ht="21.950000762939453" customHeight="1">
      <x:c r="A41" s="15" t="s">
        <x:v>102</x:v>
      </x:c>
      <x:c r="B41" s="12" t="s">
        <x:v>18</x:v>
      </x:c>
      <x:c r="C41" s="12" t="s">
        <x:v>101</x:v>
      </x:c>
      <x:c r="D41" s="12" t="s">
        <x:v>34</x:v>
      </x:c>
      <x:c r="E41" s="12" t="s">
        <x:v>41</x:v>
      </x:c>
      <x:c r="F41" s="12" t="s">
        <x:v>42</x:v>
      </x:c>
      <x:c r="G41" s="18"/>
      <x:c r="H41" s="21" t="n">
        <x:f>IF(SUMIFS('İndirimler'!$C$2:$C$210,'İndirimler'!$A$2:$A$210,B41,'İndirimler'!$B$2:$B$210,C41)&gt;0,ROUND(G41*(1-SUMIFS('İndirimler'!$C$2:$C$210,'İndirimler'!$A$2:$A$210,B41,'İndirimler'!$B$2:$B$210,C41)),2),"")</x:f>
        <x:v>0</x:v>
      </x:c>
      <x:c r="I41" s="24" t="n">
        <x:f>IF(SUMIFS('İndirimler'!$D$2:$D$210,'İndirimler'!$A$2:$A$210,B41,'İndirimler'!$B$2:$B$210,C41)&gt;0,ROUND(G41*(1-SUMIFS('İndirimler'!$D$2:$D$210,'İndirimler'!$A$2:$A$210,B41,'İndirimler'!$B$2:$B$210,C41)),2),"")</x:f>
        <x:v>0</x:v>
      </x:c>
      <x:c r="J41" s="12"/>
      <x:c r="K41" s="31"/>
    </x:row>
    <x:row r="42" ht="21.950000762939453" customHeight="1">
      <x:c r="A42" s="15" t="s">
        <x:v>103</x:v>
      </x:c>
      <x:c r="B42" s="12" t="s">
        <x:v>72</x:v>
      </x:c>
      <x:c r="C42" s="12" t="s">
        <x:v>101</x:v>
      </x:c>
      <x:c r="D42" s="12" t="s">
        <x:v>34</x:v>
      </x:c>
      <x:c r="E42" s="12" t="s">
        <x:v>104</x:v>
      </x:c>
      <x:c r="F42" s="12" t="s">
        <x:v>42</x:v>
      </x:c>
      <x:c r="G42" s="18"/>
      <x:c r="H42" s="21" t="n">
        <x:f>IF(SUMIFS('İndirimler'!$C$2:$C$210,'İndirimler'!$A$2:$A$210,B42,'İndirimler'!$B$2:$B$210,C42)&gt;0,ROUND(G42*(1-SUMIFS('İndirimler'!$C$2:$C$210,'İndirimler'!$A$2:$A$210,B42,'İndirimler'!$B$2:$B$210,C42)),2),"")</x:f>
        <x:v>0</x:v>
      </x:c>
      <x:c r="I42" s="24" t="n">
        <x:f>IF(SUMIFS('İndirimler'!$D$2:$D$210,'İndirimler'!$A$2:$A$210,B42,'İndirimler'!$B$2:$B$210,C42)&gt;0,ROUND(G42*(1-SUMIFS('İndirimler'!$D$2:$D$210,'İndirimler'!$A$2:$A$210,B42,'İndirimler'!$B$2:$B$210,C42)),2),"")</x:f>
        <x:v>0</x:v>
      </x:c>
      <x:c r="J42" s="12"/>
      <x:c r="K42" s="31"/>
    </x:row>
    <x:row r="43" ht="21.950000762939453" customHeight="1">
      <x:c r="A43" s="15" t="s">
        <x:v>105</x:v>
      </x:c>
      <x:c r="B43" s="12" t="s">
        <x:v>23</x:v>
      </x:c>
      <x:c r="C43" s="12" t="s">
        <x:v>101</x:v>
      </x:c>
      <x:c r="D43" s="12" t="s">
        <x:v>34</x:v>
      </x:c>
      <x:c r="E43" s="12"/>
      <x:c r="F43" s="12" t="s">
        <x:v>42</x:v>
      </x:c>
      <x:c r="G43" s="18">
        <x:v>684</x:v>
      </x:c>
      <x:c r="H43" s="21" t="n">
        <x:f>IF(SUMIFS('İndirimler'!$C$2:$C$210,'İndirimler'!$A$2:$A$210,B43,'İndirimler'!$B$2:$B$210,C43)&gt;0,ROUND(G43*(1-SUMIFS('İndirimler'!$C$2:$C$210,'İndirimler'!$A$2:$A$210,B43,'İndirimler'!$B$2:$B$210,C43)),2),"")</x:f>
        <x:v>581.4</x:v>
      </x:c>
      <x:c r="I43" s="24" t="n">
        <x:f>IF(SUMIFS('İndirimler'!$D$2:$D$210,'İndirimler'!$A$2:$A$210,B43,'İndirimler'!$B$2:$B$210,C43)&gt;0,ROUND(G43*(1-SUMIFS('İndirimler'!$D$2:$D$210,'İndirimler'!$A$2:$A$210,B43,'İndirimler'!$B$2:$B$210,C43)),2),"")</x:f>
        <x:v>478.8</x:v>
      </x:c>
      <x:c r="J43" s="12"/>
      <x:c r="K43" s="31"/>
    </x:row>
    <x:row r="44" ht="21.950000762939453" customHeight="1">
      <x:c r="A44" s="15" t="s">
        <x:v>106</x:v>
      </x:c>
      <x:c r="B44" s="12" t="s">
        <x:v>50</x:v>
      </x:c>
      <x:c r="C44" s="12" t="s">
        <x:v>101</x:v>
      </x:c>
      <x:c r="D44" s="12" t="s">
        <x:v>34</x:v>
      </x:c>
      <x:c r="E44" s="12" t="s">
        <x:v>51</x:v>
      </x:c>
      <x:c r="F44" s="12" t="s">
        <x:v>42</x:v>
      </x:c>
      <x:c r="G44" s="18">
        <x:v>840</x:v>
      </x:c>
      <x:c r="H44" s="21" t="n">
        <x:f>IF(SUMIFS('İndirimler'!$C$2:$C$210,'İndirimler'!$A$2:$A$210,B44,'İndirimler'!$B$2:$B$210,C44)&gt;0,ROUND(G44*(1-SUMIFS('İndirimler'!$C$2:$C$210,'İndirimler'!$A$2:$A$210,B44,'İndirimler'!$B$2:$B$210,C44)),2),"")</x:f>
        <x:v>714</x:v>
      </x:c>
      <x:c r="I44" s="24" t="n">
        <x:f>IF(SUMIFS('İndirimler'!$D$2:$D$210,'İndirimler'!$A$2:$A$210,B44,'İndirimler'!$B$2:$B$210,C44)&gt;0,ROUND(G44*(1-SUMIFS('İndirimler'!$D$2:$D$210,'İndirimler'!$A$2:$A$210,B44,'İndirimler'!$B$2:$B$210,C44)),2),"")</x:f>
        <x:v>588</x:v>
      </x:c>
      <x:c r="J44" s="12"/>
      <x:c r="K44" s="31"/>
    </x:row>
    <x:row r="45" ht="21.950000762939453" customHeight="1">
      <x:c r="A45" s="15" t="s">
        <x:v>107</x:v>
      </x:c>
      <x:c r="B45" s="12" t="s">
        <x:v>55</x:v>
      </x:c>
      <x:c r="C45" s="12" t="s">
        <x:v>101</x:v>
      </x:c>
      <x:c r="D45" s="12" t="s">
        <x:v>34</x:v>
      </x:c>
      <x:c r="E45" s="12"/>
      <x:c r="F45" s="12" t="s">
        <x:v>16</x:v>
      </x:c>
      <x:c r="G45" s="18">
        <x:v>402</x:v>
      </x:c>
      <x:c r="H45" s="21" t="n">
        <x:f>IF(SUMIFS('İndirimler'!$C$2:$C$210,'İndirimler'!$A$2:$A$210,B45,'İndirimler'!$B$2:$B$210,C45)&gt;0,ROUND(G45*(1-SUMIFS('İndirimler'!$C$2:$C$210,'İndirimler'!$A$2:$A$210,B45,'İndirimler'!$B$2:$B$210,C45)),2),"")</x:f>
        <x:v>341.7</x:v>
      </x:c>
      <x:c r="I45" s="24" t="n">
        <x:f>IF(SUMIFS('İndirimler'!$D$2:$D$210,'İndirimler'!$A$2:$A$210,B45,'İndirimler'!$B$2:$B$210,C45)&gt;0,ROUND(G45*(1-SUMIFS('İndirimler'!$D$2:$D$210,'İndirimler'!$A$2:$A$210,B45,'İndirimler'!$B$2:$B$210,C45)),2),"")</x:f>
        <x:v>281.4</x:v>
      </x:c>
      <x:c r="J45" s="12"/>
      <x:c r="K45" s="31"/>
    </x:row>
    <x:row r="46" ht="21.950000762939453" customHeight="1">
      <x:c r="A46" s="15" t="s">
        <x:v>108</x:v>
      </x:c>
      <x:c r="B46" s="12" t="s">
        <x:v>18</x:v>
      </x:c>
      <x:c r="C46" s="12" t="s">
        <x:v>101</x:v>
      </x:c>
      <x:c r="D46" s="12" t="s">
        <x:v>34</x:v>
      </x:c>
      <x:c r="E46" s="12" t="s">
        <x:v>109</x:v>
      </x:c>
      <x:c r="F46" s="12" t="s">
        <x:v>16</x:v>
      </x:c>
      <x:c r="G46" s="18"/>
      <x:c r="H46" s="21" t="n">
        <x:f>IF(SUMIFS('İndirimler'!$C$2:$C$210,'İndirimler'!$A$2:$A$210,B46,'İndirimler'!$B$2:$B$210,C46)&gt;0,ROUND(G46*(1-SUMIFS('İndirimler'!$C$2:$C$210,'İndirimler'!$A$2:$A$210,B46,'İndirimler'!$B$2:$B$210,C46)),2),"")</x:f>
        <x:v>0</x:v>
      </x:c>
      <x:c r="I46" s="24" t="n">
        <x:f>IF(SUMIFS('İndirimler'!$D$2:$D$210,'İndirimler'!$A$2:$A$210,B46,'İndirimler'!$B$2:$B$210,C46)&gt;0,ROUND(G46*(1-SUMIFS('İndirimler'!$D$2:$D$210,'İndirimler'!$A$2:$A$210,B46,'İndirimler'!$B$2:$B$210,C46)),2),"")</x:f>
        <x:v>0</x:v>
      </x:c>
      <x:c r="J46" s="12"/>
      <x:c r="K46" s="31"/>
    </x:row>
    <x:row r="47" ht="21.950000762939453" customHeight="1">
      <x:c r="A47" s="15" t="s">
        <x:v>110</x:v>
      </x:c>
      <x:c r="B47" s="12" t="s">
        <x:v>63</x:v>
      </x:c>
      <x:c r="C47" s="12" t="s">
        <x:v>101</x:v>
      </x:c>
      <x:c r="D47" s="12" t="s">
        <x:v>34</x:v>
      </x:c>
      <x:c r="E47" s="12" t="s">
        <x:v>64</x:v>
      </x:c>
      <x:c r="F47" s="12" t="s">
        <x:v>16</x:v>
      </x:c>
      <x:c r="G47" s="18"/>
      <x:c r="H47" s="21" t="n">
        <x:f>IF(SUMIFS('İndirimler'!$C$2:$C$210,'İndirimler'!$A$2:$A$210,B47,'İndirimler'!$B$2:$B$210,C47)&gt;0,ROUND(G47*(1-SUMIFS('İndirimler'!$C$2:$C$210,'İndirimler'!$A$2:$A$210,B47,'İndirimler'!$B$2:$B$210,C47)),2),"")</x:f>
        <x:v>0</x:v>
      </x:c>
      <x:c r="I47" s="24" t="n">
        <x:f>IF(SUMIFS('İndirimler'!$D$2:$D$210,'İndirimler'!$A$2:$A$210,B47,'İndirimler'!$B$2:$B$210,C47)&gt;0,ROUND(G47*(1-SUMIFS('İndirimler'!$D$2:$D$210,'İndirimler'!$A$2:$A$210,B47,'İndirimler'!$B$2:$B$210,C47)),2),"")</x:f>
        <x:v>0</x:v>
      </x:c>
      <x:c r="J47" s="12" t="s">
        <x:v>111</x:v>
      </x:c>
      <x:c r="K47" s="31"/>
    </x:row>
    <x:row r="48" ht="21.950000762939453" customHeight="1">
      <x:c r="A48" s="15" t="s">
        <x:v>112</x:v>
      </x:c>
      <x:c r="B48" s="12" t="s">
        <x:v>23</x:v>
      </x:c>
      <x:c r="C48" s="12" t="s">
        <x:v>101</x:v>
      </x:c>
      <x:c r="D48" s="12" t="s">
        <x:v>34</x:v>
      </x:c>
      <x:c r="E48" s="12"/>
      <x:c r="F48" s="12" t="s">
        <x:v>16</x:v>
      </x:c>
      <x:c r="G48" s="18">
        <x:v>614</x:v>
      </x:c>
      <x:c r="H48" s="21" t="n">
        <x:f>IF(SUMIFS('İndirimler'!$C$2:$C$210,'İndirimler'!$A$2:$A$210,B48,'İndirimler'!$B$2:$B$210,C48)&gt;0,ROUND(G48*(1-SUMIFS('İndirimler'!$C$2:$C$210,'İndirimler'!$A$2:$A$210,B48,'İndirimler'!$B$2:$B$210,C48)),2),"")</x:f>
        <x:v>521.9</x:v>
      </x:c>
      <x:c r="I48" s="24" t="n">
        <x:f>IF(SUMIFS('İndirimler'!$D$2:$D$210,'İndirimler'!$A$2:$A$210,B48,'İndirimler'!$B$2:$B$210,C48)&gt;0,ROUND(G48*(1-SUMIFS('İndirimler'!$D$2:$D$210,'İndirimler'!$A$2:$A$210,B48,'İndirimler'!$B$2:$B$210,C48)),2),"")</x:f>
        <x:v>429.8</x:v>
      </x:c>
      <x:c r="J48" s="12"/>
      <x:c r="K48" s="31"/>
    </x:row>
    <x:row r="49" ht="21.950000762939453" customHeight="1">
      <x:c r="A49" s="15" t="s">
        <x:v>113</x:v>
      </x:c>
      <x:c r="B49" s="12" t="s">
        <x:v>50</x:v>
      </x:c>
      <x:c r="C49" s="12" t="s">
        <x:v>101</x:v>
      </x:c>
      <x:c r="D49" s="12" t="s">
        <x:v>34</x:v>
      </x:c>
      <x:c r="E49" s="12" t="s">
        <x:v>69</x:v>
      </x:c>
      <x:c r="F49" s="12" t="s">
        <x:v>16</x:v>
      </x:c>
      <x:c r="G49" s="18">
        <x:v>616</x:v>
      </x:c>
      <x:c r="H49" s="21" t="n">
        <x:f>IF(SUMIFS('İndirimler'!$C$2:$C$210,'İndirimler'!$A$2:$A$210,B49,'İndirimler'!$B$2:$B$210,C49)&gt;0,ROUND(G49*(1-SUMIFS('İndirimler'!$C$2:$C$210,'İndirimler'!$A$2:$A$210,B49,'İndirimler'!$B$2:$B$210,C49)),2),"")</x:f>
        <x:v>523.6</x:v>
      </x:c>
      <x:c r="I49" s="24" t="n">
        <x:f>IF(SUMIFS('İndirimler'!$D$2:$D$210,'İndirimler'!$A$2:$A$210,B49,'İndirimler'!$B$2:$B$210,C49)&gt;0,ROUND(G49*(1-SUMIFS('İndirimler'!$D$2:$D$210,'İndirimler'!$A$2:$A$210,B49,'İndirimler'!$B$2:$B$210,C49)),2),"")</x:f>
        <x:v>431.2</x:v>
      </x:c>
      <x:c r="J49" s="12"/>
      <x:c r="K49" s="31"/>
    </x:row>
    <x:row r="50" ht="21.950000762939453" customHeight="1">
      <x:c r="A50" s="15" t="s">
        <x:v>114</x:v>
      </x:c>
      <x:c r="B50" s="12" t="s">
        <x:v>53</x:v>
      </x:c>
      <x:c r="C50" s="12" t="s">
        <x:v>101</x:v>
      </x:c>
      <x:c r="D50" s="12" t="s">
        <x:v>34</x:v>
      </x:c>
      <x:c r="E50" s="12"/>
      <x:c r="F50" s="12" t="s">
        <x:v>16</x:v>
      </x:c>
      <x:c r="G50" s="18"/>
      <x:c r="H50" s="21" t="n">
        <x:f>IF(SUMIFS('İndirimler'!$C$2:$C$210,'İndirimler'!$A$2:$A$210,B50,'İndirimler'!$B$2:$B$210,C50)&gt;0,ROUND(G50*(1-SUMIFS('İndirimler'!$C$2:$C$210,'İndirimler'!$A$2:$A$210,B50,'İndirimler'!$B$2:$B$210,C50)),2),"")</x:f>
        <x:v>0</x:v>
      </x:c>
      <x:c r="I50" s="24" t="n">
        <x:f>IF(SUMIFS('İndirimler'!$D$2:$D$210,'İndirimler'!$A$2:$A$210,B50,'İndirimler'!$B$2:$B$210,C50)&gt;0,ROUND(G50*(1-SUMIFS('İndirimler'!$D$2:$D$210,'İndirimler'!$A$2:$A$210,B50,'İndirimler'!$B$2:$B$210,C50)),2),"")</x:f>
        <x:v>0</x:v>
      </x:c>
      <x:c r="J50" s="12"/>
      <x:c r="K50" s="31"/>
    </x:row>
    <x:row r="51" ht="21.950000762939453" customHeight="1">
      <x:c r="A51" s="15" t="s">
        <x:v>115</x:v>
      </x:c>
      <x:c r="B51" s="12" t="s">
        <x:v>38</x:v>
      </x:c>
      <x:c r="C51" s="12" t="s">
        <x:v>101</x:v>
      </x:c>
      <x:c r="D51" s="12" t="s">
        <x:v>34</x:v>
      </x:c>
      <x:c r="E51" s="12"/>
      <x:c r="F51" s="12" t="s">
        <x:v>16</x:v>
      </x:c>
      <x:c r="G51" s="18"/>
      <x:c r="H51" s="21" t="n">
        <x:f>IF(SUMIFS('İndirimler'!$C$2:$C$210,'İndirimler'!$A$2:$A$210,B51,'İndirimler'!$B$2:$B$210,C51)&gt;0,ROUND(G51*(1-SUMIFS('İndirimler'!$C$2:$C$210,'İndirimler'!$A$2:$A$210,B51,'İndirimler'!$B$2:$B$210,C51)),2),"")</x:f>
        <x:v>0</x:v>
      </x:c>
      <x:c r="I51" s="24" t="n">
        <x:f>IF(SUMIFS('İndirimler'!$D$2:$D$210,'İndirimler'!$A$2:$A$210,B51,'İndirimler'!$B$2:$B$210,C51)&gt;0,ROUND(G51*(1-SUMIFS('İndirimler'!$D$2:$D$210,'İndirimler'!$A$2:$A$210,B51,'İndirimler'!$B$2:$B$210,C51)),2),"")</x:f>
        <x:v>0</x:v>
      </x:c>
      <x:c r="J51" s="12"/>
      <x:c r="K51" s="31"/>
    </x:row>
    <x:row r="52" ht="21.950000762939453" customHeight="1">
      <x:c r="A52" s="15" t="s">
        <x:v>116</x:v>
      </x:c>
      <x:c r="B52" s="12" t="s">
        <x:v>72</x:v>
      </x:c>
      <x:c r="C52" s="12" t="s">
        <x:v>101</x:v>
      </x:c>
      <x:c r="D52" s="12" t="s">
        <x:v>34</x:v>
      </x:c>
      <x:c r="E52" s="12"/>
      <x:c r="F52" s="12" t="s">
        <x:v>73</x:v>
      </x:c>
      <x:c r="G52" s="18"/>
      <x:c r="H52" s="21" t="n">
        <x:f>IF(SUMIFS('İndirimler'!$C$2:$C$210,'İndirimler'!$A$2:$A$210,B52,'İndirimler'!$B$2:$B$210,C52)&gt;0,ROUND(G52*(1-SUMIFS('İndirimler'!$C$2:$C$210,'İndirimler'!$A$2:$A$210,B52,'İndirimler'!$B$2:$B$210,C52)),2),"")</x:f>
        <x:v>0</x:v>
      </x:c>
      <x:c r="I52" s="24" t="n">
        <x:f>IF(SUMIFS('İndirimler'!$D$2:$D$210,'İndirimler'!$A$2:$A$210,B52,'İndirimler'!$B$2:$B$210,C52)&gt;0,ROUND(G52*(1-SUMIFS('İndirimler'!$D$2:$D$210,'İndirimler'!$A$2:$A$210,B52,'İndirimler'!$B$2:$B$210,C52)),2),"")</x:f>
        <x:v>0</x:v>
      </x:c>
      <x:c r="J52" s="12"/>
      <x:c r="K52" s="31"/>
    </x:row>
    <x:row r="53" ht="21.950000762939453" customHeight="1">
      <x:c r="A53" s="15" t="s">
        <x:v>117</x:v>
      </x:c>
      <x:c r="B53" s="12" t="s">
        <x:v>38</x:v>
      </x:c>
      <x:c r="C53" s="12" t="s">
        <x:v>13</x:v>
      </x:c>
      <x:c r="D53" s="12" t="s">
        <x:v>34</x:v>
      </x:c>
      <x:c r="E53" s="12" t="s">
        <x:v>69</x:v>
      </x:c>
      <x:c r="F53" s="12" t="s">
        <x:v>16</x:v>
      </x:c>
      <x:c r="G53" s="18">
        <x:v>365</x:v>
      </x:c>
      <x:c r="H53" s="21" t="n">
        <x:f>IF(SUMIFS('İndirimler'!$C$2:$C$210,'İndirimler'!$A$2:$A$210,B53,'İndirimler'!$B$2:$B$210,C53)&gt;0,ROUND(G53*(1-SUMIFS('İndirimler'!$C$2:$C$210,'İndirimler'!$A$2:$A$210,B53,'İndirimler'!$B$2:$B$210,C53)),2),"")</x:f>
        <x:v>310.25</x:v>
      </x:c>
      <x:c r="I53" s="24" t="n">
        <x:f>IF(SUMIFS('İndirimler'!$D$2:$D$210,'İndirimler'!$A$2:$A$210,B53,'İndirimler'!$B$2:$B$210,C53)&gt;0,ROUND(G53*(1-SUMIFS('İndirimler'!$D$2:$D$210,'İndirimler'!$A$2:$A$210,B53,'İndirimler'!$B$2:$B$210,C53)),2),"")</x:f>
        <x:v>255.5</x:v>
      </x:c>
      <x:c r="J53" s="12"/>
      <x:c r="K53" s="31"/>
    </x:row>
    <x:row r="54" ht="21.950000762939453" customHeight="1">
      <x:c r="A54" s="15" t="s">
        <x:v>118</x:v>
      </x:c>
      <x:c r="B54" s="12" t="s">
        <x:v>119</x:v>
      </x:c>
      <x:c r="C54" s="12" t="s">
        <x:v>33</x:v>
      </x:c>
      <x:c r="D54" s="12" t="s">
        <x:v>120</x:v>
      </x:c>
      <x:c r="E54" s="12" t="s">
        <x:v>41</x:v>
      </x:c>
      <x:c r="F54" s="12" t="s">
        <x:v>35</x:v>
      </x:c>
      <x:c r="G54" s="18">
        <x:v>659</x:v>
      </x:c>
      <x:c r="H54" s="21" t="n">
        <x:f>IF(SUMIFS('İndirimler'!$C$2:$C$210,'İndirimler'!$A$2:$A$210,B54,'İndirimler'!$B$2:$B$210,C54)&gt;0,ROUND(G54*(1-SUMIFS('İndirimler'!$C$2:$C$210,'İndirimler'!$A$2:$A$210,B54,'İndirimler'!$B$2:$B$210,C54)),2),"")</x:f>
        <x:v>560.15</x:v>
      </x:c>
      <x:c r="I54" s="24" t="n">
        <x:f>IF(SUMIFS('İndirimler'!$D$2:$D$210,'İndirimler'!$A$2:$A$210,B54,'İndirimler'!$B$2:$B$210,C54)&gt;0,ROUND(G54*(1-SUMIFS('İndirimler'!$D$2:$D$210,'İndirimler'!$A$2:$A$210,B54,'İndirimler'!$B$2:$B$210,C54)),2),"")</x:f>
        <x:v>461.3</x:v>
      </x:c>
      <x:c r="J54" s="12"/>
      <x:c r="K54" s="31"/>
    </x:row>
    <x:row r="55" ht="21.950000762939453" customHeight="1">
      <x:c r="A55" s="15" t="s">
        <x:v>121</x:v>
      </x:c>
      <x:c r="B55" s="12" t="s">
        <x:v>119</x:v>
      </x:c>
      <x:c r="C55" s="12" t="s">
        <x:v>33</x:v>
      </x:c>
      <x:c r="D55" s="12" t="s">
        <x:v>120</x:v>
      </x:c>
      <x:c r="E55" s="12" t="s">
        <x:v>41</x:v>
      </x:c>
      <x:c r="F55" s="12" t="s">
        <x:v>35</x:v>
      </x:c>
      <x:c r="G55" s="18">
        <x:v>659</x:v>
      </x:c>
      <x:c r="H55" s="21" t="n">
        <x:f>IF(SUMIFS('İndirimler'!$C$2:$C$210,'İndirimler'!$A$2:$A$210,B55,'İndirimler'!$B$2:$B$210,C55)&gt;0,ROUND(G55*(1-SUMIFS('İndirimler'!$C$2:$C$210,'İndirimler'!$A$2:$A$210,B55,'İndirimler'!$B$2:$B$210,C55)),2),"")</x:f>
        <x:v>560.15</x:v>
      </x:c>
      <x:c r="I55" s="24" t="n">
        <x:f>IF(SUMIFS('İndirimler'!$D$2:$D$210,'İndirimler'!$A$2:$A$210,B55,'İndirimler'!$B$2:$B$210,C55)&gt;0,ROUND(G55*(1-SUMIFS('İndirimler'!$D$2:$D$210,'İndirimler'!$A$2:$A$210,B55,'İndirimler'!$B$2:$B$210,C55)),2),"")</x:f>
        <x:v>461.3</x:v>
      </x:c>
      <x:c r="J55" s="12"/>
      <x:c r="K55" s="31"/>
    </x:row>
    <x:row r="56" ht="21.950000762939453" customHeight="1">
      <x:c r="A56" s="15" t="s">
        <x:v>122</x:v>
      </x:c>
      <x:c r="B56" s="12" t="s">
        <x:v>123</x:v>
      </x:c>
      <x:c r="C56" s="12" t="s">
        <x:v>33</x:v>
      </x:c>
      <x:c r="D56" s="12" t="s">
        <x:v>120</x:v>
      </x:c>
      <x:c r="E56" s="12" t="s">
        <x:v>124</x:v>
      </x:c>
      <x:c r="F56" s="12" t="s">
        <x:v>35</x:v>
      </x:c>
      <x:c r="G56" s="18"/>
      <x:c r="H56" s="21" t="n">
        <x:f>IF(SUMIFS('İndirimler'!$C$2:$C$210,'İndirimler'!$A$2:$A$210,B56,'İndirimler'!$B$2:$B$210,C56)&gt;0,ROUND(G56*(1-SUMIFS('İndirimler'!$C$2:$C$210,'İndirimler'!$A$2:$A$210,B56,'İndirimler'!$B$2:$B$210,C56)),2),"")</x:f>
        <x:v>0</x:v>
      </x:c>
      <x:c r="I56" s="24" t="n">
        <x:f>IF(SUMIFS('İndirimler'!$D$2:$D$210,'İndirimler'!$A$2:$A$210,B56,'İndirimler'!$B$2:$B$210,C56)&gt;0,ROUND(G56*(1-SUMIFS('İndirimler'!$D$2:$D$210,'İndirimler'!$A$2:$A$210,B56,'İndirimler'!$B$2:$B$210,C56)),2),"")</x:f>
        <x:v>0</x:v>
      </x:c>
      <x:c r="J56" s="12"/>
      <x:c r="K56" s="31"/>
    </x:row>
    <x:row r="57" ht="21.950000762939453" customHeight="1">
      <x:c r="A57" s="15" t="s">
        <x:v>125</x:v>
      </x:c>
      <x:c r="B57" s="12" t="s">
        <x:v>25</x:v>
      </x:c>
      <x:c r="C57" s="12" t="s">
        <x:v>33</x:v>
      </x:c>
      <x:c r="D57" s="12" t="s">
        <x:v>120</x:v>
      </x:c>
      <x:c r="E57" s="12" t="s">
        <x:v>126</x:v>
      </x:c>
      <x:c r="F57" s="12" t="s">
        <x:v>35</x:v>
      </x:c>
      <x:c r="G57" s="18">
        <x:v>659</x:v>
      </x:c>
      <x:c r="H57" s="21" t="n">
        <x:f>IF(SUMIFS('İndirimler'!$C$2:$C$210,'İndirimler'!$A$2:$A$210,B57,'İndirimler'!$B$2:$B$210,C57)&gt;0,ROUND(G57*(1-SUMIFS('İndirimler'!$C$2:$C$210,'İndirimler'!$A$2:$A$210,B57,'İndirimler'!$B$2:$B$210,C57)),2),"")</x:f>
        <x:v>560.15</x:v>
      </x:c>
      <x:c r="I57" s="24" t="n">
        <x:f>IF(SUMIFS('İndirimler'!$D$2:$D$210,'İndirimler'!$A$2:$A$210,B57,'İndirimler'!$B$2:$B$210,C57)&gt;0,ROUND(G57*(1-SUMIFS('İndirimler'!$D$2:$D$210,'İndirimler'!$A$2:$A$210,B57,'İndirimler'!$B$2:$B$210,C57)),2),"")</x:f>
        <x:v>461.3</x:v>
      </x:c>
      <x:c r="J57" s="12"/>
      <x:c r="K57" s="31"/>
    </x:row>
    <x:row r="58" ht="21.950000762939453" customHeight="1">
      <x:c r="A58" s="15" t="s">
        <x:v>127</x:v>
      </x:c>
      <x:c r="B58" s="12" t="s">
        <x:v>128</x:v>
      </x:c>
      <x:c r="C58" s="12" t="s">
        <x:v>33</x:v>
      </x:c>
      <x:c r="D58" s="12" t="s">
        <x:v>120</x:v>
      </x:c>
      <x:c r="E58" s="12" t="s">
        <x:v>129</x:v>
      </x:c>
      <x:c r="F58" s="12" t="s">
        <x:v>35</x:v>
      </x:c>
      <x:c r="G58" s="18">
        <x:v>659</x:v>
      </x:c>
      <x:c r="H58" s="21" t="n">
        <x:f>IF(SUMIFS('İndirimler'!$C$2:$C$210,'İndirimler'!$A$2:$A$210,B58,'İndirimler'!$B$2:$B$210,C58)&gt;0,ROUND(G58*(1-SUMIFS('İndirimler'!$C$2:$C$210,'İndirimler'!$A$2:$A$210,B58,'İndirimler'!$B$2:$B$210,C58)),2),"")</x:f>
        <x:v>560.15</x:v>
      </x:c>
      <x:c r="I58" s="24" t="n">
        <x:f>IF(SUMIFS('İndirimler'!$D$2:$D$210,'İndirimler'!$A$2:$A$210,B58,'İndirimler'!$B$2:$B$210,C58)&gt;0,ROUND(G58*(1-SUMIFS('İndirimler'!$D$2:$D$210,'İndirimler'!$A$2:$A$210,B58,'İndirimler'!$B$2:$B$210,C58)),2),"")</x:f>
        <x:v>461.3</x:v>
      </x:c>
      <x:c r="J58" s="12"/>
      <x:c r="K58" s="31" t="s">
        <x:v>130</x:v>
      </x:c>
    </x:row>
    <x:row r="59" ht="21.950000762939453" customHeight="1">
      <x:c r="A59" s="15" t="s">
        <x:v>131</x:v>
      </x:c>
      <x:c r="B59" s="12" t="s">
        <x:v>32</x:v>
      </x:c>
      <x:c r="C59" s="12" t="s">
        <x:v>33</x:v>
      </x:c>
      <x:c r="D59" s="12" t="s">
        <x:v>120</x:v>
      </x:c>
      <x:c r="E59" s="12"/>
      <x:c r="F59" s="12" t="s">
        <x:v>35</x:v>
      </x:c>
      <x:c r="G59" s="18">
        <x:v>699</x:v>
      </x:c>
      <x:c r="H59" s="21" t="n">
        <x:f>IF(SUMIFS('İndirimler'!$C$2:$C$210,'İndirimler'!$A$2:$A$210,B59,'İndirimler'!$B$2:$B$210,C59)&gt;0,ROUND(G59*(1-SUMIFS('İndirimler'!$C$2:$C$210,'İndirimler'!$A$2:$A$210,B59,'İndirimler'!$B$2:$B$210,C59)),2),"")</x:f>
        <x:v>594.15</x:v>
      </x:c>
      <x:c r="I59" s="24" t="n">
        <x:f>IF(SUMIFS('İndirimler'!$D$2:$D$210,'İndirimler'!$A$2:$A$210,B59,'İndirimler'!$B$2:$B$210,C59)&gt;0,ROUND(G59*(1-SUMIFS('İndirimler'!$D$2:$D$210,'İndirimler'!$A$2:$A$210,B59,'İndirimler'!$B$2:$B$210,C59)),2),"")</x:f>
        <x:v>489.3</x:v>
      </x:c>
      <x:c r="J59" s="30" t="s">
        <x:v>132</x:v>
      </x:c>
      <x:c r="K59" s="31"/>
    </x:row>
    <x:row r="60" ht="21.950000762939453" customHeight="1">
      <x:c r="A60" s="15" t="s">
        <x:v>133</x:v>
      </x:c>
      <x:c r="B60" s="12" t="s">
        <x:v>134</x:v>
      </x:c>
      <x:c r="C60" s="12" t="s">
        <x:v>33</x:v>
      </x:c>
      <x:c r="D60" s="12" t="s">
        <x:v>120</x:v>
      </x:c>
      <x:c r="E60" s="12"/>
      <x:c r="F60" s="12" t="s">
        <x:v>35</x:v>
      </x:c>
      <x:c r="G60" s="18">
        <x:v>999</x:v>
      </x:c>
      <x:c r="H60" s="21" t="n">
        <x:f>IF(SUMIFS('İndirimler'!$C$2:$C$210,'İndirimler'!$A$2:$A$210,B60,'İndirimler'!$B$2:$B$210,C60)&gt;0,ROUND(G60*(1-SUMIFS('İndirimler'!$C$2:$C$210,'İndirimler'!$A$2:$A$210,B60,'İndirimler'!$B$2:$B$210,C60)),2),"")</x:f>
        <x:v>849.15</x:v>
      </x:c>
      <x:c r="I60" s="24" t="n">
        <x:f>IF(SUMIFS('İndirimler'!$D$2:$D$210,'İndirimler'!$A$2:$A$210,B60,'İndirimler'!$B$2:$B$210,C60)&gt;0,ROUND(G60*(1-SUMIFS('İndirimler'!$D$2:$D$210,'İndirimler'!$A$2:$A$210,B60,'İndirimler'!$B$2:$B$210,C60)),2),"")</x:f>
        <x:v>699.3</x:v>
      </x:c>
      <x:c r="J60" s="12"/>
      <x:c r="K60" s="31"/>
    </x:row>
    <x:row r="61" ht="21.950000762939453" customHeight="1">
      <x:c r="A61" s="15" t="s">
        <x:v>135</x:v>
      </x:c>
      <x:c r="B61" s="12" t="s">
        <x:v>38</x:v>
      </x:c>
      <x:c r="C61" s="12" t="s">
        <x:v>33</x:v>
      </x:c>
      <x:c r="D61" s="12" t="s">
        <x:v>120</x:v>
      </x:c>
      <x:c r="E61" s="12"/>
      <x:c r="F61" s="12" t="s">
        <x:v>35</x:v>
      </x:c>
      <x:c r="G61" s="18">
        <x:v>899</x:v>
      </x:c>
      <x:c r="H61" s="21" t="n">
        <x:f>IF(SUMIFS('İndirimler'!$C$2:$C$210,'İndirimler'!$A$2:$A$210,B61,'İndirimler'!$B$2:$B$210,C61)&gt;0,ROUND(G61*(1-SUMIFS('İndirimler'!$C$2:$C$210,'İndirimler'!$A$2:$A$210,B61,'İndirimler'!$B$2:$B$210,C61)),2),"")</x:f>
        <x:v>764.15</x:v>
      </x:c>
      <x:c r="I61" s="24" t="n">
        <x:f>IF(SUMIFS('İndirimler'!$D$2:$D$210,'İndirimler'!$A$2:$A$210,B61,'İndirimler'!$B$2:$B$210,C61)&gt;0,ROUND(G61*(1-SUMIFS('İndirimler'!$D$2:$D$210,'İndirimler'!$A$2:$A$210,B61,'İndirimler'!$B$2:$B$210,C61)),2),"")</x:f>
        <x:v>629.3</x:v>
      </x:c>
      <x:c r="J61" s="30" t="s">
        <x:v>136</x:v>
      </x:c>
      <x:c r="K61" s="31"/>
    </x:row>
    <x:row r="62" ht="21.950000762939453" customHeight="1">
      <x:c r="A62" s="15" t="s">
        <x:v>137</x:v>
      </x:c>
      <x:c r="B62" s="12" t="s">
        <x:v>138</x:v>
      </x:c>
      <x:c r="C62" s="12" t="s">
        <x:v>33</x:v>
      </x:c>
      <x:c r="D62" s="12" t="s">
        <x:v>120</x:v>
      </x:c>
      <x:c r="E62" s="12" t="s">
        <x:v>139</x:v>
      </x:c>
      <x:c r="F62" s="12" t="s">
        <x:v>42</x:v>
      </x:c>
      <x:c r="G62" s="18">
        <x:v>644</x:v>
      </x:c>
      <x:c r="H62" s="21" t="n">
        <x:f>IF(SUMIFS('İndirimler'!$C$2:$C$210,'İndirimler'!$A$2:$A$210,B62,'İndirimler'!$B$2:$B$210,C62)&gt;0,ROUND(G62*(1-SUMIFS('İndirimler'!$C$2:$C$210,'İndirimler'!$A$2:$A$210,B62,'İndirimler'!$B$2:$B$210,C62)),2),"")</x:f>
        <x:v>547.4</x:v>
      </x:c>
      <x:c r="I62" s="24" t="n">
        <x:f>IF(SUMIFS('İndirimler'!$D$2:$D$210,'İndirimler'!$A$2:$A$210,B62,'İndirimler'!$B$2:$B$210,C62)&gt;0,ROUND(G62*(1-SUMIFS('İndirimler'!$D$2:$D$210,'İndirimler'!$A$2:$A$210,B62,'İndirimler'!$B$2:$B$210,C62)),2),"")</x:f>
        <x:v>450.8</x:v>
      </x:c>
      <x:c r="J62" s="30" t="s">
        <x:v>140</x:v>
      </x:c>
      <x:c r="K62" s="31"/>
    </x:row>
    <x:row r="63" ht="21.950000762939453" customHeight="1">
      <x:c r="A63" s="15" t="s">
        <x:v>141</x:v>
      </x:c>
      <x:c r="B63" s="12" t="s">
        <x:v>44</x:v>
      </x:c>
      <x:c r="C63" s="12" t="s">
        <x:v>33</x:v>
      </x:c>
      <x:c r="D63" s="12" t="s">
        <x:v>120</x:v>
      </x:c>
      <x:c r="E63" s="12" t="s">
        <x:v>142</x:v>
      </x:c>
      <x:c r="F63" s="12" t="s">
        <x:v>42</x:v>
      </x:c>
      <x:c r="G63" s="18">
        <x:v>428</x:v>
      </x:c>
      <x:c r="H63" s="21" t="n">
        <x:f>IF(SUMIFS('İndirimler'!$C$2:$C$210,'İndirimler'!$A$2:$A$210,B63,'İndirimler'!$B$2:$B$210,C63)&gt;0,ROUND(G63*(1-SUMIFS('İndirimler'!$C$2:$C$210,'İndirimler'!$A$2:$A$210,B63,'İndirimler'!$B$2:$B$210,C63)),2),"")</x:f>
        <x:v>363.8</x:v>
      </x:c>
      <x:c r="I63" s="24" t="n">
        <x:f>IF(SUMIFS('İndirimler'!$D$2:$D$210,'İndirimler'!$A$2:$A$210,B63,'İndirimler'!$B$2:$B$210,C63)&gt;0,ROUND(G63*(1-SUMIFS('İndirimler'!$D$2:$D$210,'İndirimler'!$A$2:$A$210,B63,'İndirimler'!$B$2:$B$210,C63)),2),"")</x:f>
        <x:v>299.6</x:v>
      </x:c>
      <x:c r="J63" s="12" t="s">
        <x:v>143</x:v>
      </x:c>
      <x:c r="K63" s="31"/>
    </x:row>
    <x:row r="64" ht="21.950000762939453" customHeight="1">
      <x:c r="A64" s="15" t="s">
        <x:v>144</x:v>
      </x:c>
      <x:c r="B64" s="12" t="s">
        <x:v>23</x:v>
      </x:c>
      <x:c r="C64" s="12" t="s">
        <x:v>33</x:v>
      </x:c>
      <x:c r="D64" s="12" t="s">
        <x:v>120</x:v>
      </x:c>
      <x:c r="E64" s="12"/>
      <x:c r="F64" s="12" t="s">
        <x:v>145</x:v>
      </x:c>
      <x:c r="G64" s="18">
        <x:v>576</x:v>
      </x:c>
      <x:c r="H64" s="21" t="n">
        <x:f>IF(SUMIFS('İndirimler'!$C$2:$C$210,'İndirimler'!$A$2:$A$210,B64,'İndirimler'!$B$2:$B$210,C64)&gt;0,ROUND(G64*(1-SUMIFS('İndirimler'!$C$2:$C$210,'İndirimler'!$A$2:$A$210,B64,'İndirimler'!$B$2:$B$210,C64)),2),"")</x:f>
        <x:v>489.6</x:v>
      </x:c>
      <x:c r="I64" s="24" t="n">
        <x:f>IF(SUMIFS('İndirimler'!$D$2:$D$210,'İndirimler'!$A$2:$A$210,B64,'İndirimler'!$B$2:$B$210,C64)&gt;0,ROUND(G64*(1-SUMIFS('İndirimler'!$D$2:$D$210,'İndirimler'!$A$2:$A$210,B64,'İndirimler'!$B$2:$B$210,C64)),2),"")</x:f>
        <x:v>403.2</x:v>
      </x:c>
      <x:c r="J64" s="30" t="s">
        <x:v>146</x:v>
      </x:c>
      <x:c r="K64" s="31"/>
    </x:row>
    <x:row r="65" ht="21.950000762939453" customHeight="1">
      <x:c r="A65" s="15" t="s">
        <x:v>147</x:v>
      </x:c>
      <x:c r="B65" s="12" t="s">
        <x:v>23</x:v>
      </x:c>
      <x:c r="C65" s="12" t="s">
        <x:v>33</x:v>
      </x:c>
      <x:c r="D65" s="12" t="s">
        <x:v>120</x:v>
      </x:c>
      <x:c r="E65" s="12"/>
      <x:c r="F65" s="12" t="s">
        <x:v>148</x:v>
      </x:c>
      <x:c r="G65" s="18">
        <x:v>576</x:v>
      </x:c>
      <x:c r="H65" s="21" t="n">
        <x:f>IF(SUMIFS('İndirimler'!$C$2:$C$210,'İndirimler'!$A$2:$A$210,B65,'İndirimler'!$B$2:$B$210,C65)&gt;0,ROUND(G65*(1-SUMIFS('İndirimler'!$C$2:$C$210,'İndirimler'!$A$2:$A$210,B65,'İndirimler'!$B$2:$B$210,C65)),2),"")</x:f>
        <x:v>489.6</x:v>
      </x:c>
      <x:c r="I65" s="24" t="n">
        <x:f>IF(SUMIFS('İndirimler'!$D$2:$D$210,'İndirimler'!$A$2:$A$210,B65,'İndirimler'!$B$2:$B$210,C65)&gt;0,ROUND(G65*(1-SUMIFS('İndirimler'!$D$2:$D$210,'İndirimler'!$A$2:$A$210,B65,'İndirimler'!$B$2:$B$210,C65)),2),"")</x:f>
        <x:v>403.2</x:v>
      </x:c>
      <x:c r="J65" s="12" t="s">
        <x:v>149</x:v>
      </x:c>
      <x:c r="K65" s="31"/>
    </x:row>
    <x:row r="66" ht="21.950000762939453" customHeight="1">
      <x:c r="A66" s="15" t="s">
        <x:v>150</x:v>
      </x:c>
      <x:c r="B66" s="12" t="s">
        <x:v>50</x:v>
      </x:c>
      <x:c r="C66" s="12" t="s">
        <x:v>33</x:v>
      </x:c>
      <x:c r="D66" s="12" t="s">
        <x:v>120</x:v>
      </x:c>
      <x:c r="E66" s="12" t="s">
        <x:v>151</x:v>
      </x:c>
      <x:c r="F66" s="12" t="s">
        <x:v>42</x:v>
      </x:c>
      <x:c r="G66" s="18">
        <x:v>840</x:v>
      </x:c>
      <x:c r="H66" s="21" t="n">
        <x:f>IF(SUMIFS('İndirimler'!$C$2:$C$210,'İndirimler'!$A$2:$A$210,B66,'İndirimler'!$B$2:$B$210,C66)&gt;0,ROUND(G66*(1-SUMIFS('İndirimler'!$C$2:$C$210,'İndirimler'!$A$2:$A$210,B66,'İndirimler'!$B$2:$B$210,C66)),2),"")</x:f>
        <x:v>714</x:v>
      </x:c>
      <x:c r="I66" s="24" t="n">
        <x:f>IF(SUMIFS('İndirimler'!$D$2:$D$210,'İndirimler'!$A$2:$A$210,B66,'İndirimler'!$B$2:$B$210,C66)&gt;0,ROUND(G66*(1-SUMIFS('İndirimler'!$D$2:$D$210,'İndirimler'!$A$2:$A$210,B66,'İndirimler'!$B$2:$B$210,C66)),2),"")</x:f>
        <x:v>588</x:v>
      </x:c>
      <x:c r="J66" s="12"/>
      <x:c r="K66" s="31"/>
    </x:row>
    <x:row r="67" ht="21.950000762939453" customHeight="1">
      <x:c r="A67" s="15" t="s">
        <x:v>152</x:v>
      </x:c>
      <x:c r="B67" s="12" t="s">
        <x:v>55</x:v>
      </x:c>
      <x:c r="C67" s="12" t="s">
        <x:v>33</x:v>
      </x:c>
      <x:c r="D67" s="12" t="s">
        <x:v>120</x:v>
      </x:c>
      <x:c r="E67" s="12" t="s">
        <x:v>69</x:v>
      </x:c>
      <x:c r="F67" s="12" t="s">
        <x:v>16</x:v>
      </x:c>
      <x:c r="G67" s="18">
        <x:v>498</x:v>
      </x:c>
      <x:c r="H67" s="21" t="n">
        <x:f>IF(SUMIFS('İndirimler'!$C$2:$C$210,'İndirimler'!$A$2:$A$210,B67,'İndirimler'!$B$2:$B$210,C67)&gt;0,ROUND(G67*(1-SUMIFS('İndirimler'!$C$2:$C$210,'İndirimler'!$A$2:$A$210,B67,'İndirimler'!$B$2:$B$210,C67)),2),"")</x:f>
        <x:v>423.3</x:v>
      </x:c>
      <x:c r="I67" s="24" t="n">
        <x:f>IF(SUMIFS('İndirimler'!$D$2:$D$210,'İndirimler'!$A$2:$A$210,B67,'İndirimler'!$B$2:$B$210,C67)&gt;0,ROUND(G67*(1-SUMIFS('İndirimler'!$D$2:$D$210,'İndirimler'!$A$2:$A$210,B67,'İndirimler'!$B$2:$B$210,C67)),2),"")</x:f>
        <x:v>348.6</x:v>
      </x:c>
      <x:c r="J67" s="12" t="s">
        <x:v>153</x:v>
      </x:c>
      <x:c r="K67" s="31"/>
    </x:row>
    <x:row r="68" ht="21.950000762939453" customHeight="1">
      <x:c r="A68" s="15" t="s">
        <x:v>154</x:v>
      </x:c>
      <x:c r="B68" s="12" t="s">
        <x:v>119</x:v>
      </x:c>
      <x:c r="C68" s="12" t="s">
        <x:v>33</x:v>
      </x:c>
      <x:c r="D68" s="12" t="s">
        <x:v>120</x:v>
      </x:c>
      <x:c r="E68" s="12"/>
      <x:c r="F68" s="12" t="s">
        <x:v>16</x:v>
      </x:c>
      <x:c r="G68" s="18">
        <x:v>479</x:v>
      </x:c>
      <x:c r="H68" s="21" t="n">
        <x:f>IF(SUMIFS('İndirimler'!$C$2:$C$210,'İndirimler'!$A$2:$A$210,B68,'İndirimler'!$B$2:$B$210,C68)&gt;0,ROUND(G68*(1-SUMIFS('İndirimler'!$C$2:$C$210,'İndirimler'!$A$2:$A$210,B68,'İndirimler'!$B$2:$B$210,C68)),2),"")</x:f>
        <x:v>407.15</x:v>
      </x:c>
      <x:c r="I68" s="24" t="n">
        <x:f>IF(SUMIFS('İndirimler'!$D$2:$D$210,'İndirimler'!$A$2:$A$210,B68,'İndirimler'!$B$2:$B$210,C68)&gt;0,ROUND(G68*(1-SUMIFS('İndirimler'!$D$2:$D$210,'İndirimler'!$A$2:$A$210,B68,'İndirimler'!$B$2:$B$210,C68)),2),"")</x:f>
        <x:v>335.3</x:v>
      </x:c>
      <x:c r="J68" s="12"/>
      <x:c r="K68" s="31"/>
    </x:row>
    <x:row r="69" ht="21.950000762939453" customHeight="1">
      <x:c r="A69" s="15" t="s">
        <x:v>155</x:v>
      </x:c>
      <x:c r="B69" s="12" t="s">
        <x:v>119</x:v>
      </x:c>
      <x:c r="C69" s="12" t="s">
        <x:v>33</x:v>
      </x:c>
      <x:c r="D69" s="12" t="s">
        <x:v>120</x:v>
      </x:c>
      <x:c r="E69" s="12" t="s">
        <x:v>156</x:v>
      </x:c>
      <x:c r="F69" s="12" t="s">
        <x:v>16</x:v>
      </x:c>
      <x:c r="G69" s="18">
        <x:v>505</x:v>
      </x:c>
      <x:c r="H69" s="21" t="n">
        <x:f>IF(SUMIFS('İndirimler'!$C$2:$C$210,'İndirimler'!$A$2:$A$210,B69,'İndirimler'!$B$2:$B$210,C69)&gt;0,ROUND(G69*(1-SUMIFS('İndirimler'!$C$2:$C$210,'İndirimler'!$A$2:$A$210,B69,'İndirimler'!$B$2:$B$210,C69)),2),"")</x:f>
        <x:v>429.25</x:v>
      </x:c>
      <x:c r="I69" s="24" t="n">
        <x:f>IF(SUMIFS('İndirimler'!$D$2:$D$210,'İndirimler'!$A$2:$A$210,B69,'İndirimler'!$B$2:$B$210,C69)&gt;0,ROUND(G69*(1-SUMIFS('İndirimler'!$D$2:$D$210,'İndirimler'!$A$2:$A$210,B69,'İndirimler'!$B$2:$B$210,C69)),2),"")</x:f>
        <x:v>353.5</x:v>
      </x:c>
      <x:c r="J69" s="12"/>
      <x:c r="K69" s="31"/>
    </x:row>
    <x:row r="70" ht="21.950000762939453" customHeight="1">
      <x:c r="A70" s="15" t="s">
        <x:v>157</x:v>
      </x:c>
      <x:c r="B70" s="12" t="s">
        <x:v>138</x:v>
      </x:c>
      <x:c r="C70" s="12" t="s">
        <x:v>33</x:v>
      </x:c>
      <x:c r="D70" s="12" t="s">
        <x:v>120</x:v>
      </x:c>
      <x:c r="E70" s="12"/>
      <x:c r="F70" s="12" t="s">
        <x:v>16</x:v>
      </x:c>
      <x:c r="G70" s="18">
        <x:v>608</x:v>
      </x:c>
      <x:c r="H70" s="21" t="n">
        <x:f>IF(SUMIFS('İndirimler'!$C$2:$C$210,'İndirimler'!$A$2:$A$210,B70,'İndirimler'!$B$2:$B$210,C70)&gt;0,ROUND(G70*(1-SUMIFS('İndirimler'!$C$2:$C$210,'İndirimler'!$A$2:$A$210,B70,'İndirimler'!$B$2:$B$210,C70)),2),"")</x:f>
        <x:v>516.8</x:v>
      </x:c>
      <x:c r="I70" s="24" t="n">
        <x:f>IF(SUMIFS('İndirimler'!$D$2:$D$210,'İndirimler'!$A$2:$A$210,B70,'İndirimler'!$B$2:$B$210,C70)&gt;0,ROUND(G70*(1-SUMIFS('İndirimler'!$D$2:$D$210,'İndirimler'!$A$2:$A$210,B70,'İndirimler'!$B$2:$B$210,C70)),2),"")</x:f>
        <x:v>425.6</x:v>
      </x:c>
      <x:c r="J70" s="30" t="s">
        <x:v>158</x:v>
      </x:c>
      <x:c r="K70" s="31"/>
    </x:row>
    <x:row r="71" ht="21.950000762939453" customHeight="1">
      <x:c r="A71" s="15" t="s">
        <x:v>159</x:v>
      </x:c>
      <x:c r="B71" s="12" t="s">
        <x:v>18</x:v>
      </x:c>
      <x:c r="C71" s="12" t="s">
        <x:v>33</x:v>
      </x:c>
      <x:c r="D71" s="12" t="s">
        <x:v>120</x:v>
      </x:c>
      <x:c r="E71" s="12"/>
      <x:c r="F71" s="12" t="s">
        <x:v>16</x:v>
      </x:c>
      <x:c r="G71" s="18">
        <x:v>619</x:v>
      </x:c>
      <x:c r="H71" s="21" t="n">
        <x:f>IF(SUMIFS('İndirimler'!$C$2:$C$210,'İndirimler'!$A$2:$A$210,B71,'İndirimler'!$B$2:$B$210,C71)&gt;0,ROUND(G71*(1-SUMIFS('İndirimler'!$C$2:$C$210,'İndirimler'!$A$2:$A$210,B71,'İndirimler'!$B$2:$B$210,C71)),2),"")</x:f>
        <x:v>526.15</x:v>
      </x:c>
      <x:c r="I71" s="24" t="n">
        <x:f>IF(SUMIFS('İndirimler'!$D$2:$D$210,'İndirimler'!$A$2:$A$210,B71,'İndirimler'!$B$2:$B$210,C71)&gt;0,ROUND(G71*(1-SUMIFS('İndirimler'!$D$2:$D$210,'İndirimler'!$A$2:$A$210,B71,'İndirimler'!$B$2:$B$210,C71)),2),"")</x:f>
        <x:v>433.3</x:v>
      </x:c>
      <x:c r="J71" s="30" t="s">
        <x:v>160</x:v>
      </x:c>
      <x:c r="K71" s="31"/>
    </x:row>
    <x:row r="72" ht="21.950000762939453" customHeight="1">
      <x:c r="A72" s="15" t="s">
        <x:v>161</x:v>
      </x:c>
      <x:c r="B72" s="12" t="s">
        <x:v>18</x:v>
      </x:c>
      <x:c r="C72" s="12" t="s">
        <x:v>33</x:v>
      </x:c>
      <x:c r="D72" s="12" t="s">
        <x:v>120</x:v>
      </x:c>
      <x:c r="E72" s="12" t="s">
        <x:v>41</x:v>
      </x:c>
      <x:c r="F72" s="12" t="s">
        <x:v>42</x:v>
      </x:c>
      <x:c r="G72" s="18">
        <x:v>799</x:v>
      </x:c>
      <x:c r="H72" s="21" t="n">
        <x:f>IF(SUMIFS('İndirimler'!$C$2:$C$210,'İndirimler'!$A$2:$A$210,B72,'İndirimler'!$B$2:$B$210,C72)&gt;0,ROUND(G72*(1-SUMIFS('İndirimler'!$C$2:$C$210,'İndirimler'!$A$2:$A$210,B72,'İndirimler'!$B$2:$B$210,C72)),2),"")</x:f>
        <x:v>679.15</x:v>
      </x:c>
      <x:c r="I72" s="24" t="n">
        <x:f>IF(SUMIFS('İndirimler'!$D$2:$D$210,'İndirimler'!$A$2:$A$210,B72,'İndirimler'!$B$2:$B$210,C72)&gt;0,ROUND(G72*(1-SUMIFS('İndirimler'!$D$2:$D$210,'İndirimler'!$A$2:$A$210,B72,'İndirimler'!$B$2:$B$210,C72)),2),"")</x:f>
        <x:v>559.3</x:v>
      </x:c>
      <x:c r="J72" s="12"/>
      <x:c r="K72" s="31"/>
    </x:row>
    <x:row r="73" ht="21.950000762939453" customHeight="1">
      <x:c r="A73" s="15" t="s">
        <x:v>162</x:v>
      </x:c>
      <x:c r="B73" s="12" t="s">
        <x:v>44</x:v>
      </x:c>
      <x:c r="C73" s="12" t="s">
        <x:v>33</x:v>
      </x:c>
      <x:c r="D73" s="12" t="s">
        <x:v>120</x:v>
      </x:c>
      <x:c r="E73" s="12" t="s">
        <x:v>163</x:v>
      </x:c>
      <x:c r="F73" s="12" t="s">
        <x:v>16</x:v>
      </x:c>
      <x:c r="G73" s="18">
        <x:v>428</x:v>
      </x:c>
      <x:c r="H73" s="21" t="n">
        <x:f>IF(SUMIFS('İndirimler'!$C$2:$C$210,'İndirimler'!$A$2:$A$210,B73,'İndirimler'!$B$2:$B$210,C73)&gt;0,ROUND(G73*(1-SUMIFS('İndirimler'!$C$2:$C$210,'İndirimler'!$A$2:$A$210,B73,'İndirimler'!$B$2:$B$210,C73)),2),"")</x:f>
        <x:v>363.8</x:v>
      </x:c>
      <x:c r="I73" s="24" t="n">
        <x:f>IF(SUMIFS('İndirimler'!$D$2:$D$210,'İndirimler'!$A$2:$A$210,B73,'İndirimler'!$B$2:$B$210,C73)&gt;0,ROUND(G73*(1-SUMIFS('İndirimler'!$D$2:$D$210,'İndirimler'!$A$2:$A$210,B73,'İndirimler'!$B$2:$B$210,C73)),2),"")</x:f>
        <x:v>299.6</x:v>
      </x:c>
      <x:c r="J73" s="12" t="s">
        <x:v>164</x:v>
      </x:c>
      <x:c r="K73" s="31"/>
    </x:row>
    <x:row r="74" ht="21.950000762939453" customHeight="1">
      <x:c r="A74" s="15" t="s">
        <x:v>165</x:v>
      </x:c>
      <x:c r="B74" s="12" t="s">
        <x:v>166</x:v>
      </x:c>
      <x:c r="C74" s="12" t="s">
        <x:v>33</x:v>
      </x:c>
      <x:c r="D74" s="12" t="s">
        <x:v>120</x:v>
      </x:c>
      <x:c r="E74" s="12" t="s">
        <x:v>41</x:v>
      </x:c>
      <x:c r="F74" s="12" t="s">
        <x:v>16</x:v>
      </x:c>
      <x:c r="G74" s="18">
        <x:v>455</x:v>
      </x:c>
      <x:c r="H74" s="21" t="n">
        <x:f>IF(SUMIFS('İndirimler'!$C$2:$C$210,'İndirimler'!$A$2:$A$210,B74,'İndirimler'!$B$2:$B$210,C74)&gt;0,ROUND(G74*(1-SUMIFS('İndirimler'!$C$2:$C$210,'İndirimler'!$A$2:$A$210,B74,'İndirimler'!$B$2:$B$210,C74)),2),"")</x:f>
        <x:v>386.75</x:v>
      </x:c>
      <x:c r="I74" s="24" t="n">
        <x:f>IF(SUMIFS('İndirimler'!$D$2:$D$210,'İndirimler'!$A$2:$A$210,B74,'İndirimler'!$B$2:$B$210,C74)&gt;0,ROUND(G74*(1-SUMIFS('İndirimler'!$D$2:$D$210,'İndirimler'!$A$2:$A$210,B74,'İndirimler'!$B$2:$B$210,C74)),2),"")</x:f>
        <x:v>318.5</x:v>
      </x:c>
      <x:c r="J74" s="12"/>
      <x:c r="K74" s="31"/>
    </x:row>
    <x:row r="75" ht="21.950000762939453" customHeight="1">
      <x:c r="A75" s="15" t="s">
        <x:v>167</x:v>
      </x:c>
      <x:c r="B75" s="12" t="s">
        <x:v>63</x:v>
      </x:c>
      <x:c r="C75" s="12" t="s">
        <x:v>33</x:v>
      </x:c>
      <x:c r="D75" s="12" t="s">
        <x:v>120</x:v>
      </x:c>
      <x:c r="E75" s="12" t="s">
        <x:v>64</x:v>
      </x:c>
      <x:c r="F75" s="12" t="s">
        <x:v>16</x:v>
      </x:c>
      <x:c r="G75" s="18">
        <x:v>545</x:v>
      </x:c>
      <x:c r="H75" s="21" t="n">
        <x:f>IF(SUMIFS('İndirimler'!$C$2:$C$210,'İndirimler'!$A$2:$A$210,B75,'İndirimler'!$B$2:$B$210,C75)&gt;0,ROUND(G75*(1-SUMIFS('İndirimler'!$C$2:$C$210,'İndirimler'!$A$2:$A$210,B75,'İndirimler'!$B$2:$B$210,C75)),2),"")</x:f>
        <x:v>463.25</x:v>
      </x:c>
      <x:c r="I75" s="24" t="n">
        <x:f>IF(SUMIFS('İndirimler'!$D$2:$D$210,'İndirimler'!$A$2:$A$210,B75,'İndirimler'!$B$2:$B$210,C75)&gt;0,ROUND(G75*(1-SUMIFS('İndirimler'!$D$2:$D$210,'İndirimler'!$A$2:$A$210,B75,'İndirimler'!$B$2:$B$210,C75)),2),"")</x:f>
        <x:v>381.5</x:v>
      </x:c>
      <x:c r="J75" s="12" t="s">
        <x:v>168</x:v>
      </x:c>
      <x:c r="K75" s="31"/>
    </x:row>
    <x:row r="76" ht="21.950000762939453" customHeight="1">
      <x:c r="A76" s="15" t="s">
        <x:v>169</x:v>
      </x:c>
      <x:c r="B76" s="12" t="s">
        <x:v>23</x:v>
      </x:c>
      <x:c r="C76" s="12" t="s">
        <x:v>33</x:v>
      </x:c>
      <x:c r="D76" s="12" t="s">
        <x:v>120</x:v>
      </x:c>
      <x:c r="E76" s="12"/>
      <x:c r="F76" s="12" t="s">
        <x:v>16</x:v>
      </x:c>
      <x:c r="G76" s="18">
        <x:v>676</x:v>
      </x:c>
      <x:c r="H76" s="21" t="n">
        <x:f>IF(SUMIFS('İndirimler'!$C$2:$C$210,'İndirimler'!$A$2:$A$210,B76,'İndirimler'!$B$2:$B$210,C76)&gt;0,ROUND(G76*(1-SUMIFS('İndirimler'!$C$2:$C$210,'İndirimler'!$A$2:$A$210,B76,'İndirimler'!$B$2:$B$210,C76)),2),"")</x:f>
        <x:v>574.6</x:v>
      </x:c>
      <x:c r="I76" s="24" t="n">
        <x:f>IF(SUMIFS('İndirimler'!$D$2:$D$210,'İndirimler'!$A$2:$A$210,B76,'İndirimler'!$B$2:$B$210,C76)&gt;0,ROUND(G76*(1-SUMIFS('İndirimler'!$D$2:$D$210,'İndirimler'!$A$2:$A$210,B76,'İndirimler'!$B$2:$B$210,C76)),2),"")</x:f>
        <x:v>473.2</x:v>
      </x:c>
      <x:c r="J76" s="30" t="s">
        <x:v>170</x:v>
      </x:c>
      <x:c r="K76" s="31"/>
    </x:row>
    <x:row r="77" ht="21.950000762939453" customHeight="1">
      <x:c r="A77" s="15" t="s">
        <x:v>171</x:v>
      </x:c>
      <x:c r="B77" s="12" t="s">
        <x:v>25</x:v>
      </x:c>
      <x:c r="C77" s="12" t="s">
        <x:v>33</x:v>
      </x:c>
      <x:c r="D77" s="12" t="s">
        <x:v>120</x:v>
      </x:c>
      <x:c r="E77" s="12" t="s">
        <x:v>28</x:v>
      </x:c>
      <x:c r="F77" s="12" t="s">
        <x:v>16</x:v>
      </x:c>
      <x:c r="G77" s="18"/>
      <x:c r="H77" s="21" t="n">
        <x:f>IF(SUMIFS('İndirimler'!$C$2:$C$210,'İndirimler'!$A$2:$A$210,B77,'İndirimler'!$B$2:$B$210,C77)&gt;0,ROUND(G77*(1-SUMIFS('İndirimler'!$C$2:$C$210,'İndirimler'!$A$2:$A$210,B77,'İndirimler'!$B$2:$B$210,C77)),2),"")</x:f>
        <x:v>0</x:v>
      </x:c>
      <x:c r="I77" s="24" t="n">
        <x:f>IF(SUMIFS('İndirimler'!$D$2:$D$210,'İndirimler'!$A$2:$A$210,B77,'İndirimler'!$B$2:$B$210,C77)&gt;0,ROUND(G77*(1-SUMIFS('İndirimler'!$D$2:$D$210,'İndirimler'!$A$2:$A$210,B77,'İndirimler'!$B$2:$B$210,C77)),2),"")</x:f>
        <x:v>0</x:v>
      </x:c>
      <x:c r="J77" s="12"/>
      <x:c r="K77" s="31"/>
    </x:row>
    <x:row r="78" ht="21.950000762939453" customHeight="1">
      <x:c r="A78" s="15" t="s">
        <x:v>172</x:v>
      </x:c>
      <x:c r="B78" s="12" t="s">
        <x:v>50</x:v>
      </x:c>
      <x:c r="C78" s="12" t="s">
        <x:v>33</x:v>
      </x:c>
      <x:c r="D78" s="12" t="s">
        <x:v>120</x:v>
      </x:c>
      <x:c r="E78" s="12" t="s">
        <x:v>69</x:v>
      </x:c>
      <x:c r="F78" s="12" t="s">
        <x:v>16</x:v>
      </x:c>
      <x:c r="G78" s="18">
        <x:v>686</x:v>
      </x:c>
      <x:c r="H78" s="21" t="n">
        <x:f>IF(SUMIFS('İndirimler'!$C$2:$C$210,'İndirimler'!$A$2:$A$210,B78,'İndirimler'!$B$2:$B$210,C78)&gt;0,ROUND(G78*(1-SUMIFS('İndirimler'!$C$2:$C$210,'İndirimler'!$A$2:$A$210,B78,'İndirimler'!$B$2:$B$210,C78)),2),"")</x:f>
        <x:v>583.1</x:v>
      </x:c>
      <x:c r="I78" s="24" t="n">
        <x:f>IF(SUMIFS('İndirimler'!$D$2:$D$210,'İndirimler'!$A$2:$A$210,B78,'İndirimler'!$B$2:$B$210,C78)&gt;0,ROUND(G78*(1-SUMIFS('İndirimler'!$D$2:$D$210,'İndirimler'!$A$2:$A$210,B78,'İndirimler'!$B$2:$B$210,C78)),2),"")</x:f>
        <x:v>480.2</x:v>
      </x:c>
      <x:c r="J78" s="12"/>
      <x:c r="K78" s="31"/>
    </x:row>
    <x:row r="79" ht="21.950000762939453" customHeight="1">
      <x:c r="A79" s="15" t="s">
        <x:v>173</x:v>
      </x:c>
      <x:c r="B79" s="12" t="s">
        <x:v>128</x:v>
      </x:c>
      <x:c r="C79" s="12" t="s">
        <x:v>33</x:v>
      </x:c>
      <x:c r="D79" s="12" t="s">
        <x:v>120</x:v>
      </x:c>
      <x:c r="E79" s="12"/>
      <x:c r="F79" s="12" t="s">
        <x:v>16</x:v>
      </x:c>
      <x:c r="G79" s="18">
        <x:v>579</x:v>
      </x:c>
      <x:c r="H79" s="21" t="n">
        <x:f>IF(SUMIFS('İndirimler'!$C$2:$C$210,'İndirimler'!$A$2:$A$210,B79,'İndirimler'!$B$2:$B$210,C79)&gt;0,ROUND(G79*(1-SUMIFS('İndirimler'!$C$2:$C$210,'İndirimler'!$A$2:$A$210,B79,'İndirimler'!$B$2:$B$210,C79)),2),"")</x:f>
        <x:v>492.15</x:v>
      </x:c>
      <x:c r="I79" s="24" t="n">
        <x:f>IF(SUMIFS('İndirimler'!$D$2:$D$210,'İndirimler'!$A$2:$A$210,B79,'İndirimler'!$B$2:$B$210,C79)&gt;0,ROUND(G79*(1-SUMIFS('İndirimler'!$D$2:$D$210,'İndirimler'!$A$2:$A$210,B79,'İndirimler'!$B$2:$B$210,C79)),2),"")</x:f>
        <x:v>405.3</x:v>
      </x:c>
      <x:c r="J79" s="12"/>
      <x:c r="K79" s="31"/>
    </x:row>
    <x:row r="80" ht="21.950000762939453" customHeight="1">
      <x:c r="A80" s="15" t="s">
        <x:v>174</x:v>
      </x:c>
      <x:c r="B80" s="12" t="s">
        <x:v>134</x:v>
      </x:c>
      <x:c r="C80" s="12" t="s">
        <x:v>33</x:v>
      </x:c>
      <x:c r="D80" s="12" t="s">
        <x:v>120</x:v>
      </x:c>
      <x:c r="E80" s="12"/>
      <x:c r="F80" s="12" t="s">
        <x:v>16</x:v>
      </x:c>
      <x:c r="G80" s="18">
        <x:v>385</x:v>
      </x:c>
      <x:c r="H80" s="21" t="n">
        <x:f>IF(SUMIFS('İndirimler'!$C$2:$C$210,'İndirimler'!$A$2:$A$210,B80,'İndirimler'!$B$2:$B$210,C80)&gt;0,ROUND(G80*(1-SUMIFS('İndirimler'!$C$2:$C$210,'İndirimler'!$A$2:$A$210,B80,'İndirimler'!$B$2:$B$210,C80)),2),"")</x:f>
        <x:v>327.25</x:v>
      </x:c>
      <x:c r="I80" s="24" t="n">
        <x:f>IF(SUMIFS('İndirimler'!$D$2:$D$210,'İndirimler'!$A$2:$A$210,B80,'İndirimler'!$B$2:$B$210,C80)&gt;0,ROUND(G80*(1-SUMIFS('İndirimler'!$D$2:$D$210,'İndirimler'!$A$2:$A$210,B80,'İndirimler'!$B$2:$B$210,C80)),2),"")</x:f>
        <x:v>269.5</x:v>
      </x:c>
      <x:c r="J80" s="12"/>
      <x:c r="K80" s="31"/>
    </x:row>
    <x:row r="81" ht="21.950000762939453" customHeight="1">
      <x:c r="A81" s="15" t="s">
        <x:v>175</x:v>
      </x:c>
      <x:c r="B81" s="12" t="s">
        <x:v>38</x:v>
      </x:c>
      <x:c r="C81" s="12" t="s">
        <x:v>33</x:v>
      </x:c>
      <x:c r="D81" s="12" t="s">
        <x:v>120</x:v>
      </x:c>
      <x:c r="E81" s="12" t="s">
        <x:v>69</x:v>
      </x:c>
      <x:c r="F81" s="12" t="s">
        <x:v>16</x:v>
      </x:c>
      <x:c r="G81" s="18">
        <x:v>500</x:v>
      </x:c>
      <x:c r="H81" s="21" t="n">
        <x:f>IF(SUMIFS('İndirimler'!$C$2:$C$210,'İndirimler'!$A$2:$A$210,B81,'İndirimler'!$B$2:$B$210,C81)&gt;0,ROUND(G81*(1-SUMIFS('İndirimler'!$C$2:$C$210,'İndirimler'!$A$2:$A$210,B81,'İndirimler'!$B$2:$B$210,C81)),2),"")</x:f>
        <x:v>425</x:v>
      </x:c>
      <x:c r="I81" s="24" t="n">
        <x:f>IF(SUMIFS('İndirimler'!$D$2:$D$210,'İndirimler'!$A$2:$A$210,B81,'İndirimler'!$B$2:$B$210,C81)&gt;0,ROUND(G81*(1-SUMIFS('İndirimler'!$D$2:$D$210,'İndirimler'!$A$2:$A$210,B81,'İndirimler'!$B$2:$B$210,C81)),2),"")</x:f>
        <x:v>350</x:v>
      </x:c>
      <x:c r="J81" s="12" t="s">
        <x:v>176</x:v>
      </x:c>
      <x:c r="K81" s="31"/>
    </x:row>
    <x:row r="82" ht="21.950000762939453" customHeight="1">
      <x:c r="A82" s="15" t="s">
        <x:v>177</x:v>
      </x:c>
      <x:c r="B82" s="12" t="s">
        <x:v>72</x:v>
      </x:c>
      <x:c r="C82" s="12" t="s">
        <x:v>33</x:v>
      </x:c>
      <x:c r="D82" s="12" t="s">
        <x:v>120</x:v>
      </x:c>
      <x:c r="E82" s="12"/>
      <x:c r="F82" s="12" t="s">
        <x:v>73</x:v>
      </x:c>
      <x:c r="G82" s="18">
        <x:v>455</x:v>
      </x:c>
      <x:c r="H82" s="21" t="n">
        <x:f>IF(SUMIFS('İndirimler'!$C$2:$C$210,'İndirimler'!$A$2:$A$210,B82,'İndirimler'!$B$2:$B$210,C82)&gt;0,ROUND(G82*(1-SUMIFS('İndirimler'!$C$2:$C$210,'İndirimler'!$A$2:$A$210,B82,'İndirimler'!$B$2:$B$210,C82)),2),"")</x:f>
        <x:v>386.75</x:v>
      </x:c>
      <x:c r="I82" s="24" t="n">
        <x:f>IF(SUMIFS('İndirimler'!$D$2:$D$210,'İndirimler'!$A$2:$A$210,B82,'İndirimler'!$B$2:$B$210,C82)&gt;0,ROUND(G82*(1-SUMIFS('İndirimler'!$D$2:$D$210,'İndirimler'!$A$2:$A$210,B82,'İndirimler'!$B$2:$B$210,C82)),2),"")</x:f>
        <x:v>318.5</x:v>
      </x:c>
      <x:c r="J82" s="12"/>
      <x:c r="K82" s="31"/>
    </x:row>
    <x:row r="83" ht="21.950000762939453" customHeight="1">
      <x:c r="A83" s="15" t="s">
        <x:v>178</x:v>
      </x:c>
      <x:c r="B83" s="12" t="s">
        <x:v>119</x:v>
      </x:c>
      <x:c r="C83" s="12" t="s">
        <x:v>76</x:v>
      </x:c>
      <x:c r="D83" s="12" t="s">
        <x:v>120</x:v>
      </x:c>
      <x:c r="E83" s="12" t="s">
        <x:v>41</x:v>
      </x:c>
      <x:c r="F83" s="12" t="s">
        <x:v>35</x:v>
      </x:c>
      <x:c r="G83" s="18">
        <x:v>689</x:v>
      </x:c>
      <x:c r="H83" s="21" t="n">
        <x:f>IF(SUMIFS('İndirimler'!$C$2:$C$210,'İndirimler'!$A$2:$A$210,B83,'İndirimler'!$B$2:$B$210,C83)&gt;0,ROUND(G83*(1-SUMIFS('İndirimler'!$C$2:$C$210,'İndirimler'!$A$2:$A$210,B83,'İndirimler'!$B$2:$B$210,C83)),2),"")</x:f>
        <x:v>585.65</x:v>
      </x:c>
      <x:c r="I83" s="24" t="n">
        <x:f>IF(SUMIFS('İndirimler'!$D$2:$D$210,'İndirimler'!$A$2:$A$210,B83,'İndirimler'!$B$2:$B$210,C83)&gt;0,ROUND(G83*(1-SUMIFS('İndirimler'!$D$2:$D$210,'İndirimler'!$A$2:$A$210,B83,'İndirimler'!$B$2:$B$210,C83)),2),"")</x:f>
        <x:v>482.3</x:v>
      </x:c>
      <x:c r="J83" s="12"/>
      <x:c r="K83" s="31"/>
    </x:row>
    <x:row r="84" ht="21.950000762939453" customHeight="1">
      <x:c r="A84" s="15" t="s">
        <x:v>179</x:v>
      </x:c>
      <x:c r="B84" s="12" t="s">
        <x:v>123</x:v>
      </x:c>
      <x:c r="C84" s="12" t="s">
        <x:v>76</x:v>
      </x:c>
      <x:c r="D84" s="12" t="s">
        <x:v>120</x:v>
      </x:c>
      <x:c r="E84" s="12" t="s">
        <x:v>124</x:v>
      </x:c>
      <x:c r="F84" s="12" t="s">
        <x:v>35</x:v>
      </x:c>
      <x:c r="G84" s="18"/>
      <x:c r="H84" s="21" t="n">
        <x:f>IF(SUMIFS('İndirimler'!$C$2:$C$210,'İndirimler'!$A$2:$A$210,B84,'İndirimler'!$B$2:$B$210,C84)&gt;0,ROUND(G84*(1-SUMIFS('İndirimler'!$C$2:$C$210,'İndirimler'!$A$2:$A$210,B84,'İndirimler'!$B$2:$B$210,C84)),2),"")</x:f>
        <x:v>0</x:v>
      </x:c>
      <x:c r="I84" s="24" t="n">
        <x:f>IF(SUMIFS('İndirimler'!$D$2:$D$210,'İndirimler'!$A$2:$A$210,B84,'İndirimler'!$B$2:$B$210,C84)&gt;0,ROUND(G84*(1-SUMIFS('İndirimler'!$D$2:$D$210,'İndirimler'!$A$2:$A$210,B84,'İndirimler'!$B$2:$B$210,C84)),2),"")</x:f>
        <x:v>0</x:v>
      </x:c>
      <x:c r="J84" s="12"/>
      <x:c r="K84" s="31"/>
    </x:row>
    <x:row r="85" ht="21.950000762939453" customHeight="1">
      <x:c r="A85" s="15" t="s">
        <x:v>180</x:v>
      </x:c>
      <x:c r="B85" s="12" t="s">
        <x:v>25</x:v>
      </x:c>
      <x:c r="C85" s="12" t="s">
        <x:v>76</x:v>
      </x:c>
      <x:c r="D85" s="12" t="s">
        <x:v>120</x:v>
      </x:c>
      <x:c r="E85" s="12" t="s">
        <x:v>126</x:v>
      </x:c>
      <x:c r="F85" s="12" t="s">
        <x:v>35</x:v>
      </x:c>
      <x:c r="G85" s="18">
        <x:v>879</x:v>
      </x:c>
      <x:c r="H85" s="21" t="n">
        <x:f>IF(SUMIFS('İndirimler'!$C$2:$C$210,'İndirimler'!$A$2:$A$210,B85,'İndirimler'!$B$2:$B$210,C85)&gt;0,ROUND(G85*(1-SUMIFS('İndirimler'!$C$2:$C$210,'İndirimler'!$A$2:$A$210,B85,'İndirimler'!$B$2:$B$210,C85)),2),"")</x:f>
        <x:v>747.15</x:v>
      </x:c>
      <x:c r="I85" s="24" t="n">
        <x:f>IF(SUMIFS('İndirimler'!$D$2:$D$210,'İndirimler'!$A$2:$A$210,B85,'İndirimler'!$B$2:$B$210,C85)&gt;0,ROUND(G85*(1-SUMIFS('İndirimler'!$D$2:$D$210,'İndirimler'!$A$2:$A$210,B85,'İndirimler'!$B$2:$B$210,C85)),2),"")</x:f>
        <x:v>615.3</x:v>
      </x:c>
      <x:c r="J85" s="12"/>
      <x:c r="K85" s="31"/>
    </x:row>
    <x:row r="86" ht="21.950000762939453" customHeight="1">
      <x:c r="A86" s="15" t="s">
        <x:v>181</x:v>
      </x:c>
      <x:c r="B86" s="12" t="s">
        <x:v>128</x:v>
      </x:c>
      <x:c r="C86" s="12" t="s">
        <x:v>76</x:v>
      </x:c>
      <x:c r="D86" s="12" t="s">
        <x:v>120</x:v>
      </x:c>
      <x:c r="E86" s="12" t="s">
        <x:v>129</x:v>
      </x:c>
      <x:c r="F86" s="12" t="s">
        <x:v>35</x:v>
      </x:c>
      <x:c r="G86" s="18">
        <x:v>849</x:v>
      </x:c>
      <x:c r="H86" s="21" t="n">
        <x:f>IF(SUMIFS('İndirimler'!$C$2:$C$210,'İndirimler'!$A$2:$A$210,B86,'İndirimler'!$B$2:$B$210,C86)&gt;0,ROUND(G86*(1-SUMIFS('İndirimler'!$C$2:$C$210,'İndirimler'!$A$2:$A$210,B86,'İndirimler'!$B$2:$B$210,C86)),2),"")</x:f>
        <x:v>721.65</x:v>
      </x:c>
      <x:c r="I86" s="24" t="n">
        <x:f>IF(SUMIFS('İndirimler'!$D$2:$D$210,'İndirimler'!$A$2:$A$210,B86,'İndirimler'!$B$2:$B$210,C86)&gt;0,ROUND(G86*(1-SUMIFS('İndirimler'!$D$2:$D$210,'İndirimler'!$A$2:$A$210,B86,'İndirimler'!$B$2:$B$210,C86)),2),"")</x:f>
        <x:v>594.3</x:v>
      </x:c>
      <x:c r="J86" s="12"/>
      <x:c r="K86" s="31"/>
    </x:row>
    <x:row r="87" ht="21.950000762939453" customHeight="1">
      <x:c r="A87" s="15" t="s">
        <x:v>182</x:v>
      </x:c>
      <x:c r="B87" s="12" t="s">
        <x:v>32</x:v>
      </x:c>
      <x:c r="C87" s="12" t="s">
        <x:v>76</x:v>
      </x:c>
      <x:c r="D87" s="12" t="s">
        <x:v>120</x:v>
      </x:c>
      <x:c r="E87" s="12"/>
      <x:c r="F87" s="12" t="s">
        <x:v>35</x:v>
      </x:c>
      <x:c r="G87" s="18">
        <x:v>739</x:v>
      </x:c>
      <x:c r="H87" s="21" t="n">
        <x:f>IF(SUMIFS('İndirimler'!$C$2:$C$210,'İndirimler'!$A$2:$A$210,B87,'İndirimler'!$B$2:$B$210,C87)&gt;0,ROUND(G87*(1-SUMIFS('İndirimler'!$C$2:$C$210,'İndirimler'!$A$2:$A$210,B87,'İndirimler'!$B$2:$B$210,C87)),2),"")</x:f>
        <x:v>628.15</x:v>
      </x:c>
      <x:c r="I87" s="24" t="n">
        <x:f>IF(SUMIFS('İndirimler'!$D$2:$D$210,'İndirimler'!$A$2:$A$210,B87,'İndirimler'!$B$2:$B$210,C87)&gt;0,ROUND(G87*(1-SUMIFS('İndirimler'!$D$2:$D$210,'İndirimler'!$A$2:$A$210,B87,'İndirimler'!$B$2:$B$210,C87)),2),"")</x:f>
        <x:v>517.3</x:v>
      </x:c>
      <x:c r="J87" s="30" t="s">
        <x:v>183</x:v>
      </x:c>
      <x:c r="K87" s="31"/>
    </x:row>
    <x:row r="88" ht="21.950000762939453" customHeight="1">
      <x:c r="A88" s="15" t="s">
        <x:v>184</x:v>
      </x:c>
      <x:c r="B88" s="12" t="s">
        <x:v>134</x:v>
      </x:c>
      <x:c r="C88" s="12" t="s">
        <x:v>76</x:v>
      </x:c>
      <x:c r="D88" s="12" t="s">
        <x:v>120</x:v>
      </x:c>
      <x:c r="E88" s="12"/>
      <x:c r="F88" s="12" t="s">
        <x:v>35</x:v>
      </x:c>
      <x:c r="G88" s="18">
        <x:v>755</x:v>
      </x:c>
      <x:c r="H88" s="21" t="n">
        <x:f>IF(SUMIFS('İndirimler'!$C$2:$C$210,'İndirimler'!$A$2:$A$210,B88,'İndirimler'!$B$2:$B$210,C88)&gt;0,ROUND(G88*(1-SUMIFS('İndirimler'!$C$2:$C$210,'İndirimler'!$A$2:$A$210,B88,'İndirimler'!$B$2:$B$210,C88)),2),"")</x:f>
        <x:v>641.75</x:v>
      </x:c>
      <x:c r="I88" s="24" t="n">
        <x:f>IF(SUMIFS('İndirimler'!$D$2:$D$210,'İndirimler'!$A$2:$A$210,B88,'İndirimler'!$B$2:$B$210,C88)&gt;0,ROUND(G88*(1-SUMIFS('İndirimler'!$D$2:$D$210,'İndirimler'!$A$2:$A$210,B88,'İndirimler'!$B$2:$B$210,C88)),2),"")</x:f>
        <x:v>528.5</x:v>
      </x:c>
      <x:c r="J88" s="12"/>
      <x:c r="K88" s="31"/>
    </x:row>
    <x:row r="89" ht="21.950000762939453" customHeight="1">
      <x:c r="A89" s="15" t="s">
        <x:v>185</x:v>
      </x:c>
      <x:c r="B89" s="12" t="s">
        <x:v>38</x:v>
      </x:c>
      <x:c r="C89" s="12" t="s">
        <x:v>76</x:v>
      </x:c>
      <x:c r="D89" s="12" t="s">
        <x:v>120</x:v>
      </x:c>
      <x:c r="E89" s="12"/>
      <x:c r="F89" s="12" t="s">
        <x:v>35</x:v>
      </x:c>
      <x:c r="G89" s="18">
        <x:v>779</x:v>
      </x:c>
      <x:c r="H89" s="21" t="n">
        <x:f>IF(SUMIFS('İndirimler'!$C$2:$C$210,'İndirimler'!$A$2:$A$210,B89,'İndirimler'!$B$2:$B$210,C89)&gt;0,ROUND(G89*(1-SUMIFS('İndirimler'!$C$2:$C$210,'İndirimler'!$A$2:$A$210,B89,'İndirimler'!$B$2:$B$210,C89)),2),"")</x:f>
        <x:v>662.15</x:v>
      </x:c>
      <x:c r="I89" s="24" t="n">
        <x:f>IF(SUMIFS('İndirimler'!$D$2:$D$210,'İndirimler'!$A$2:$A$210,B89,'İndirimler'!$B$2:$B$210,C89)&gt;0,ROUND(G89*(1-SUMIFS('İndirimler'!$D$2:$D$210,'İndirimler'!$A$2:$A$210,B89,'İndirimler'!$B$2:$B$210,C89)),2),"")</x:f>
        <x:v>545.3</x:v>
      </x:c>
      <x:c r="J89" s="12" t="s">
        <x:v>186</x:v>
      </x:c>
      <x:c r="K89" s="31"/>
    </x:row>
    <x:row r="90" ht="21.950000762939453" customHeight="1">
      <x:c r="A90" s="15" t="s">
        <x:v>187</x:v>
      </x:c>
      <x:c r="B90" s="12" t="s">
        <x:v>138</x:v>
      </x:c>
      <x:c r="C90" s="12" t="s">
        <x:v>76</x:v>
      </x:c>
      <x:c r="D90" s="12" t="s">
        <x:v>120</x:v>
      </x:c>
      <x:c r="E90" s="12" t="s">
        <x:v>139</x:v>
      </x:c>
      <x:c r="F90" s="12" t="s">
        <x:v>42</x:v>
      </x:c>
      <x:c r="G90" s="18">
        <x:v>592</x:v>
      </x:c>
      <x:c r="H90" s="21" t="n">
        <x:f>IF(SUMIFS('İndirimler'!$C$2:$C$210,'İndirimler'!$A$2:$A$210,B90,'İndirimler'!$B$2:$B$210,C90)&gt;0,ROUND(G90*(1-SUMIFS('İndirimler'!$C$2:$C$210,'İndirimler'!$A$2:$A$210,B90,'İndirimler'!$B$2:$B$210,C90)),2),"")</x:f>
        <x:v>503.2</x:v>
      </x:c>
      <x:c r="I90" s="24" t="n">
        <x:f>IF(SUMIFS('İndirimler'!$D$2:$D$210,'İndirimler'!$A$2:$A$210,B90,'İndirimler'!$B$2:$B$210,C90)&gt;0,ROUND(G90*(1-SUMIFS('İndirimler'!$D$2:$D$210,'İndirimler'!$A$2:$A$210,B90,'İndirimler'!$B$2:$B$210,C90)),2),"")</x:f>
        <x:v>414.4</x:v>
      </x:c>
      <x:c r="J90" s="12" t="s">
        <x:v>188</x:v>
      </x:c>
      <x:c r="K90" s="31"/>
    </x:row>
    <x:row r="91" ht="21.950000762939453" customHeight="1">
      <x:c r="A91" s="15" t="s">
        <x:v>189</x:v>
      </x:c>
      <x:c r="B91" s="12" t="s">
        <x:v>44</x:v>
      </x:c>
      <x:c r="C91" s="12" t="s">
        <x:v>76</x:v>
      </x:c>
      <x:c r="D91" s="12" t="s">
        <x:v>120</x:v>
      </x:c>
      <x:c r="E91" s="12" t="s">
        <x:v>142</x:v>
      </x:c>
      <x:c r="F91" s="12" t="s">
        <x:v>42</x:v>
      </x:c>
      <x:c r="G91" s="18">
        <x:v>428</x:v>
      </x:c>
      <x:c r="H91" s="21" t="n">
        <x:f>IF(SUMIFS('İndirimler'!$C$2:$C$210,'İndirimler'!$A$2:$A$210,B91,'İndirimler'!$B$2:$B$210,C91)&gt;0,ROUND(G91*(1-SUMIFS('İndirimler'!$C$2:$C$210,'İndirimler'!$A$2:$A$210,B91,'İndirimler'!$B$2:$B$210,C91)),2),"")</x:f>
        <x:v>363.8</x:v>
      </x:c>
      <x:c r="I91" s="24" t="n">
        <x:f>IF(SUMIFS('İndirimler'!$D$2:$D$210,'İndirimler'!$A$2:$A$210,B91,'İndirimler'!$B$2:$B$210,C91)&gt;0,ROUND(G91*(1-SUMIFS('İndirimler'!$D$2:$D$210,'İndirimler'!$A$2:$A$210,B91,'İndirimler'!$B$2:$B$210,C91)),2),"")</x:f>
        <x:v>299.6</x:v>
      </x:c>
      <x:c r="J91" s="12" t="s">
        <x:v>190</x:v>
      </x:c>
      <x:c r="K91" s="31"/>
    </x:row>
    <x:row r="92" ht="21.950000762939453" customHeight="1">
      <x:c r="A92" s="15" t="s">
        <x:v>191</x:v>
      </x:c>
      <x:c r="B92" s="12" t="s">
        <x:v>23</x:v>
      </x:c>
      <x:c r="C92" s="12" t="s">
        <x:v>76</x:v>
      </x:c>
      <x:c r="D92" s="12" t="s">
        <x:v>120</x:v>
      </x:c>
      <x:c r="E92" s="12" t="s">
        <x:v>69</x:v>
      </x:c>
      <x:c r="F92" s="12" t="s">
        <x:v>42</x:v>
      </x:c>
      <x:c r="G92" s="18">
        <x:v>678</x:v>
      </x:c>
      <x:c r="H92" s="21" t="n">
        <x:f>IF(SUMIFS('İndirimler'!$C$2:$C$210,'İndirimler'!$A$2:$A$210,B92,'İndirimler'!$B$2:$B$210,C92)&gt;0,ROUND(G92*(1-SUMIFS('İndirimler'!$C$2:$C$210,'İndirimler'!$A$2:$A$210,B92,'İndirimler'!$B$2:$B$210,C92)),2),"")</x:f>
        <x:v>576.3</x:v>
      </x:c>
      <x:c r="I92" s="24" t="n">
        <x:f>IF(SUMIFS('İndirimler'!$D$2:$D$210,'İndirimler'!$A$2:$A$210,B92,'İndirimler'!$B$2:$B$210,C92)&gt;0,ROUND(G92*(1-SUMIFS('İndirimler'!$D$2:$D$210,'İndirimler'!$A$2:$A$210,B92,'İndirimler'!$B$2:$B$210,C92)),2),"")</x:f>
        <x:v>474.6</x:v>
      </x:c>
      <x:c r="J92" s="12" t="s">
        <x:v>95</x:v>
      </x:c>
      <x:c r="K92" s="31"/>
    </x:row>
    <x:row r="93" ht="21.950000762939453" customHeight="1">
      <x:c r="A93" s="15" t="s">
        <x:v>192</x:v>
      </x:c>
      <x:c r="B93" s="12" t="s">
        <x:v>50</x:v>
      </x:c>
      <x:c r="C93" s="12" t="s">
        <x:v>76</x:v>
      </x:c>
      <x:c r="D93" s="12" t="s">
        <x:v>120</x:v>
      </x:c>
      <x:c r="E93" s="12" t="s">
        <x:v>151</x:v>
      </x:c>
      <x:c r="F93" s="12" t="s">
        <x:v>42</x:v>
      </x:c>
      <x:c r="G93" s="18">
        <x:v>840</x:v>
      </x:c>
      <x:c r="H93" s="21" t="n">
        <x:f>IF(SUMIFS('İndirimler'!$C$2:$C$210,'İndirimler'!$A$2:$A$210,B93,'İndirimler'!$B$2:$B$210,C93)&gt;0,ROUND(G93*(1-SUMIFS('İndirimler'!$C$2:$C$210,'İndirimler'!$A$2:$A$210,B93,'İndirimler'!$B$2:$B$210,C93)),2),"")</x:f>
        <x:v>714</x:v>
      </x:c>
      <x:c r="I93" s="24" t="n">
        <x:f>IF(SUMIFS('İndirimler'!$D$2:$D$210,'İndirimler'!$A$2:$A$210,B93,'İndirimler'!$B$2:$B$210,C93)&gt;0,ROUND(G93*(1-SUMIFS('İndirimler'!$D$2:$D$210,'İndirimler'!$A$2:$A$210,B93,'İndirimler'!$B$2:$B$210,C93)),2),"")</x:f>
        <x:v>588</x:v>
      </x:c>
      <x:c r="J93" s="12"/>
      <x:c r="K93" s="31"/>
    </x:row>
    <x:row r="94" ht="21.950000762939453" customHeight="1">
      <x:c r="A94" s="15" t="s">
        <x:v>193</x:v>
      </x:c>
      <x:c r="B94" s="12" t="s">
        <x:v>55</x:v>
      </x:c>
      <x:c r="C94" s="12" t="s">
        <x:v>76</x:v>
      </x:c>
      <x:c r="D94" s="12" t="s">
        <x:v>120</x:v>
      </x:c>
      <x:c r="E94" s="12" t="s">
        <x:v>69</x:v>
      </x:c>
      <x:c r="F94" s="12" t="s">
        <x:v>16</x:v>
      </x:c>
      <x:c r="G94" s="18">
        <x:v>498</x:v>
      </x:c>
      <x:c r="H94" s="21" t="n">
        <x:f>IF(SUMIFS('İndirimler'!$C$2:$C$210,'İndirimler'!$A$2:$A$210,B94,'İndirimler'!$B$2:$B$210,C94)&gt;0,ROUND(G94*(1-SUMIFS('İndirimler'!$C$2:$C$210,'İndirimler'!$A$2:$A$210,B94,'İndirimler'!$B$2:$B$210,C94)),2),"")</x:f>
        <x:v>423.3</x:v>
      </x:c>
      <x:c r="I94" s="24" t="n">
        <x:f>IF(SUMIFS('İndirimler'!$D$2:$D$210,'İndirimler'!$A$2:$A$210,B94,'İndirimler'!$B$2:$B$210,C94)&gt;0,ROUND(G94*(1-SUMIFS('İndirimler'!$D$2:$D$210,'İndirimler'!$A$2:$A$210,B94,'İndirimler'!$B$2:$B$210,C94)),2),"")</x:f>
        <x:v>348.6</x:v>
      </x:c>
      <x:c r="J94" s="12" t="s">
        <x:v>194</x:v>
      </x:c>
      <x:c r="K94" s="31"/>
    </x:row>
    <x:row r="95" ht="21.950000762939453" customHeight="1">
      <x:c r="A95" s="15" t="s">
        <x:v>195</x:v>
      </x:c>
      <x:c r="B95" s="12" t="s">
        <x:v>119</x:v>
      </x:c>
      <x:c r="C95" s="12" t="s">
        <x:v>76</x:v>
      </x:c>
      <x:c r="D95" s="12" t="s">
        <x:v>120</x:v>
      </x:c>
      <x:c r="E95" s="12"/>
      <x:c r="F95" s="12" t="s">
        <x:v>16</x:v>
      </x:c>
      <x:c r="G95" s="18">
        <x:v>465</x:v>
      </x:c>
      <x:c r="H95" s="21" t="n">
        <x:f>IF(SUMIFS('İndirimler'!$C$2:$C$210,'İndirimler'!$A$2:$A$210,B95,'İndirimler'!$B$2:$B$210,C95)&gt;0,ROUND(G95*(1-SUMIFS('İndirimler'!$C$2:$C$210,'İndirimler'!$A$2:$A$210,B95,'İndirimler'!$B$2:$B$210,C95)),2),"")</x:f>
        <x:v>395.25</x:v>
      </x:c>
      <x:c r="I95" s="24" t="n">
        <x:f>IF(SUMIFS('İndirimler'!$D$2:$D$210,'İndirimler'!$A$2:$A$210,B95,'İndirimler'!$B$2:$B$210,C95)&gt;0,ROUND(G95*(1-SUMIFS('İndirimler'!$D$2:$D$210,'İndirimler'!$A$2:$A$210,B95,'İndirimler'!$B$2:$B$210,C95)),2),"")</x:f>
        <x:v>325.5</x:v>
      </x:c>
      <x:c r="J95" s="12"/>
      <x:c r="K95" s="31"/>
    </x:row>
    <x:row r="96" ht="21.950000762939453" customHeight="1">
      <x:c r="A96" s="15" t="s">
        <x:v>196</x:v>
      </x:c>
      <x:c r="B96" s="12" t="s">
        <x:v>119</x:v>
      </x:c>
      <x:c r="C96" s="12" t="s">
        <x:v>76</x:v>
      </x:c>
      <x:c r="D96" s="12" t="s">
        <x:v>120</x:v>
      </x:c>
      <x:c r="E96" s="12" t="s">
        <x:v>156</x:v>
      </x:c>
      <x:c r="F96" s="12" t="s">
        <x:v>16</x:v>
      </x:c>
      <x:c r="G96" s="18">
        <x:v>465</x:v>
      </x:c>
      <x:c r="H96" s="21" t="n">
        <x:f>IF(SUMIFS('İndirimler'!$C$2:$C$210,'İndirimler'!$A$2:$A$210,B96,'İndirimler'!$B$2:$B$210,C96)&gt;0,ROUND(G96*(1-SUMIFS('İndirimler'!$C$2:$C$210,'İndirimler'!$A$2:$A$210,B96,'İndirimler'!$B$2:$B$210,C96)),2),"")</x:f>
        <x:v>395.25</x:v>
      </x:c>
      <x:c r="I96" s="24" t="n">
        <x:f>IF(SUMIFS('İndirimler'!$D$2:$D$210,'İndirimler'!$A$2:$A$210,B96,'İndirimler'!$B$2:$B$210,C96)&gt;0,ROUND(G96*(1-SUMIFS('İndirimler'!$D$2:$D$210,'İndirimler'!$A$2:$A$210,B96,'İndirimler'!$B$2:$B$210,C96)),2),"")</x:f>
        <x:v>325.5</x:v>
      </x:c>
      <x:c r="J96" s="12"/>
      <x:c r="K96" s="31"/>
    </x:row>
    <x:row r="97" ht="21.950000762939453" customHeight="1">
      <x:c r="A97" s="15" t="s">
        <x:v>197</x:v>
      </x:c>
      <x:c r="B97" s="12" t="s">
        <x:v>138</x:v>
      </x:c>
      <x:c r="C97" s="12" t="s">
        <x:v>76</x:v>
      </x:c>
      <x:c r="D97" s="12" t="s">
        <x:v>120</x:v>
      </x:c>
      <x:c r="E97" s="12" t="s">
        <x:v>69</x:v>
      </x:c>
      <x:c r="F97" s="12" t="s">
        <x:v>16</x:v>
      </x:c>
      <x:c r="G97" s="18">
        <x:v>512</x:v>
      </x:c>
      <x:c r="H97" s="21" t="n">
        <x:f>IF(SUMIFS('İndirimler'!$C$2:$C$210,'İndirimler'!$A$2:$A$210,B97,'İndirimler'!$B$2:$B$210,C97)&gt;0,ROUND(G97*(1-SUMIFS('İndirimler'!$C$2:$C$210,'İndirimler'!$A$2:$A$210,B97,'İndirimler'!$B$2:$B$210,C97)),2),"")</x:f>
        <x:v>435.2</x:v>
      </x:c>
      <x:c r="I97" s="24" t="n">
        <x:f>IF(SUMIFS('İndirimler'!$D$2:$D$210,'İndirimler'!$A$2:$A$210,B97,'İndirimler'!$B$2:$B$210,C97)&gt;0,ROUND(G97*(1-SUMIFS('İndirimler'!$D$2:$D$210,'İndirimler'!$A$2:$A$210,B97,'İndirimler'!$B$2:$B$210,C97)),2),"")</x:f>
        <x:v>358.4</x:v>
      </x:c>
      <x:c r="J97" s="12" t="s">
        <x:v>198</x:v>
      </x:c>
      <x:c r="K97" s="31"/>
    </x:row>
    <x:row r="98" ht="21.950000762939453" customHeight="1">
      <x:c r="A98" s="15" t="s">
        <x:v>199</x:v>
      </x:c>
      <x:c r="B98" s="12" t="s">
        <x:v>18</x:v>
      </x:c>
      <x:c r="C98" s="12" t="s">
        <x:v>76</x:v>
      </x:c>
      <x:c r="D98" s="12" t="s">
        <x:v>120</x:v>
      </x:c>
      <x:c r="E98" s="12"/>
      <x:c r="F98" s="12" t="s">
        <x:v>16</x:v>
      </x:c>
      <x:c r="G98" s="18">
        <x:v>685</x:v>
      </x:c>
      <x:c r="H98" s="21" t="n">
        <x:f>IF(SUMIFS('İndirimler'!$C$2:$C$210,'İndirimler'!$A$2:$A$210,B98,'İndirimler'!$B$2:$B$210,C98)&gt;0,ROUND(G98*(1-SUMIFS('İndirimler'!$C$2:$C$210,'İndirimler'!$A$2:$A$210,B98,'İndirimler'!$B$2:$B$210,C98)),2),"")</x:f>
        <x:v>582.25</x:v>
      </x:c>
      <x:c r="I98" s="24" t="n">
        <x:f>IF(SUMIFS('İndirimler'!$D$2:$D$210,'İndirimler'!$A$2:$A$210,B98,'İndirimler'!$B$2:$B$210,C98)&gt;0,ROUND(G98*(1-SUMIFS('İndirimler'!$D$2:$D$210,'İndirimler'!$A$2:$A$210,B98,'İndirimler'!$B$2:$B$210,C98)),2),"")</x:f>
        <x:v>479.5</x:v>
      </x:c>
      <x:c r="J98" s="30" t="s">
        <x:v>200</x:v>
      </x:c>
      <x:c r="K98" s="31"/>
    </x:row>
    <x:row r="99" ht="21.950000762939453" customHeight="1">
      <x:c r="A99" s="15" t="s">
        <x:v>201</x:v>
      </x:c>
      <x:c r="B99" s="12" t="s">
        <x:v>18</x:v>
      </x:c>
      <x:c r="C99" s="12" t="s">
        <x:v>76</x:v>
      </x:c>
      <x:c r="D99" s="12" t="s">
        <x:v>120</x:v>
      </x:c>
      <x:c r="E99" s="12" t="s">
        <x:v>41</x:v>
      </x:c>
      <x:c r="F99" s="12" t="s">
        <x:v>42</x:v>
      </x:c>
      <x:c r="G99" s="18">
        <x:v>819</x:v>
      </x:c>
      <x:c r="H99" s="21" t="n">
        <x:f>IF(SUMIFS('İndirimler'!$C$2:$C$210,'İndirimler'!$A$2:$A$210,B99,'İndirimler'!$B$2:$B$210,C99)&gt;0,ROUND(G99*(1-SUMIFS('İndirimler'!$C$2:$C$210,'İndirimler'!$A$2:$A$210,B99,'İndirimler'!$B$2:$B$210,C99)),2),"")</x:f>
        <x:v>696.15</x:v>
      </x:c>
      <x:c r="I99" s="24" t="n">
        <x:f>IF(SUMIFS('İndirimler'!$D$2:$D$210,'İndirimler'!$A$2:$A$210,B99,'İndirimler'!$B$2:$B$210,C99)&gt;0,ROUND(G99*(1-SUMIFS('İndirimler'!$D$2:$D$210,'İndirimler'!$A$2:$A$210,B99,'İndirimler'!$B$2:$B$210,C99)),2),"")</x:f>
        <x:v>573.3</x:v>
      </x:c>
      <x:c r="J99" s="12"/>
      <x:c r="K99" s="31"/>
    </x:row>
    <x:row r="100" ht="21.950000762939453" customHeight="1">
      <x:c r="A100" s="15" t="s">
        <x:v>202</x:v>
      </x:c>
      <x:c r="B100" s="12" t="s">
        <x:v>44</x:v>
      </x:c>
      <x:c r="C100" s="12" t="s">
        <x:v>76</x:v>
      </x:c>
      <x:c r="D100" s="12" t="s">
        <x:v>120</x:v>
      </x:c>
      <x:c r="E100" s="12" t="s">
        <x:v>163</x:v>
      </x:c>
      <x:c r="F100" s="12" t="s">
        <x:v>16</x:v>
      </x:c>
      <x:c r="G100" s="18">
        <x:v>428</x:v>
      </x:c>
      <x:c r="H100" s="21" t="n">
        <x:f>IF(SUMIFS('İndirimler'!$C$2:$C$210,'İndirimler'!$A$2:$A$210,B100,'İndirimler'!$B$2:$B$210,C100)&gt;0,ROUND(G100*(1-SUMIFS('İndirimler'!$C$2:$C$210,'İndirimler'!$A$2:$A$210,B100,'İndirimler'!$B$2:$B$210,C100)),2),"")</x:f>
        <x:v>363.8</x:v>
      </x:c>
      <x:c r="I100" s="24" t="n">
        <x:f>IF(SUMIFS('İndirimler'!$D$2:$D$210,'İndirimler'!$A$2:$A$210,B100,'İndirimler'!$B$2:$B$210,C100)&gt;0,ROUND(G100*(1-SUMIFS('İndirimler'!$D$2:$D$210,'İndirimler'!$A$2:$A$210,B100,'İndirimler'!$B$2:$B$210,C100)),2),"")</x:f>
        <x:v>299.6</x:v>
      </x:c>
      <x:c r="J100" s="12" t="s">
        <x:v>203</x:v>
      </x:c>
      <x:c r="K100" s="31"/>
    </x:row>
    <x:row r="101" ht="21.950000762939453" customHeight="1">
      <x:c r="A101" s="15" t="s">
        <x:v>204</x:v>
      </x:c>
      <x:c r="B101" s="12" t="s">
        <x:v>166</x:v>
      </x:c>
      <x:c r="C101" s="12" t="s">
        <x:v>76</x:v>
      </x:c>
      <x:c r="D101" s="12" t="s">
        <x:v>120</x:v>
      </x:c>
      <x:c r="E101" s="12"/>
      <x:c r="F101" s="12" t="s">
        <x:v>16</x:v>
      </x:c>
      <x:c r="G101" s="18">
        <x:v>499</x:v>
      </x:c>
      <x:c r="H101" s="21" t="n">
        <x:f>IF(SUMIFS('İndirimler'!$C$2:$C$210,'İndirimler'!$A$2:$A$210,B101,'İndirimler'!$B$2:$B$210,C101)&gt;0,ROUND(G101*(1-SUMIFS('İndirimler'!$C$2:$C$210,'İndirimler'!$A$2:$A$210,B101,'İndirimler'!$B$2:$B$210,C101)),2),"")</x:f>
        <x:v>424.15</x:v>
      </x:c>
      <x:c r="I101" s="24" t="n">
        <x:f>IF(SUMIFS('İndirimler'!$D$2:$D$210,'İndirimler'!$A$2:$A$210,B101,'İndirimler'!$B$2:$B$210,C101)&gt;0,ROUND(G101*(1-SUMIFS('İndirimler'!$D$2:$D$210,'İndirimler'!$A$2:$A$210,B101,'İndirimler'!$B$2:$B$210,C101)),2),"")</x:f>
        <x:v>349.3</x:v>
      </x:c>
      <x:c r="J101" s="12"/>
      <x:c r="K101" s="31"/>
    </x:row>
    <x:row r="102" ht="21.950000762939453" customHeight="1">
      <x:c r="A102" s="15" t="s">
        <x:v>205</x:v>
      </x:c>
      <x:c r="B102" s="12" t="s">
        <x:v>63</x:v>
      </x:c>
      <x:c r="C102" s="12" t="s">
        <x:v>76</x:v>
      </x:c>
      <x:c r="D102" s="12" t="s">
        <x:v>120</x:v>
      </x:c>
      <x:c r="E102" s="12" t="s">
        <x:v>64</x:v>
      </x:c>
      <x:c r="F102" s="12" t="s">
        <x:v>16</x:v>
      </x:c>
      <x:c r="G102" s="18">
        <x:v>569</x:v>
      </x:c>
      <x:c r="H102" s="21" t="n">
        <x:f>IF(SUMIFS('İndirimler'!$C$2:$C$210,'İndirimler'!$A$2:$A$210,B102,'İndirimler'!$B$2:$B$210,C102)&gt;0,ROUND(G102*(1-SUMIFS('İndirimler'!$C$2:$C$210,'İndirimler'!$A$2:$A$210,B102,'İndirimler'!$B$2:$B$210,C102)),2),"")</x:f>
        <x:v>483.65</x:v>
      </x:c>
      <x:c r="I102" s="24" t="n">
        <x:f>IF(SUMIFS('İndirimler'!$D$2:$D$210,'İndirimler'!$A$2:$A$210,B102,'İndirimler'!$B$2:$B$210,C102)&gt;0,ROUND(G102*(1-SUMIFS('İndirimler'!$D$2:$D$210,'İndirimler'!$A$2:$A$210,B102,'İndirimler'!$B$2:$B$210,C102)),2),"")</x:f>
        <x:v>398.3</x:v>
      </x:c>
      <x:c r="J102" s="12" t="s">
        <x:v>206</x:v>
      </x:c>
      <x:c r="K102" s="31"/>
    </x:row>
    <x:row r="103" ht="21.950000762939453" customHeight="1">
      <x:c r="A103" s="15" t="s">
        <x:v>207</x:v>
      </x:c>
      <x:c r="B103" s="12" t="s">
        <x:v>23</x:v>
      </x:c>
      <x:c r="C103" s="12" t="s">
        <x:v>76</x:v>
      </x:c>
      <x:c r="D103" s="12" t="s">
        <x:v>120</x:v>
      </x:c>
      <x:c r="E103" s="12" t="s">
        <x:v>69</x:v>
      </x:c>
      <x:c r="F103" s="12" t="s">
        <x:v>16</x:v>
      </x:c>
      <x:c r="G103" s="18">
        <x:v>670</x:v>
      </x:c>
      <x:c r="H103" s="21" t="n">
        <x:f>IF(SUMIFS('İndirimler'!$C$2:$C$210,'İndirimler'!$A$2:$A$210,B103,'İndirimler'!$B$2:$B$210,C103)&gt;0,ROUND(G103*(1-SUMIFS('İndirimler'!$C$2:$C$210,'İndirimler'!$A$2:$A$210,B103,'İndirimler'!$B$2:$B$210,C103)),2),"")</x:f>
        <x:v>569.5</x:v>
      </x:c>
      <x:c r="I103" s="24" t="n">
        <x:f>IF(SUMIFS('İndirimler'!$D$2:$D$210,'İndirimler'!$A$2:$A$210,B103,'İndirimler'!$B$2:$B$210,C103)&gt;0,ROUND(G103*(1-SUMIFS('İndirimler'!$D$2:$D$210,'İndirimler'!$A$2:$A$210,B103,'İndirimler'!$B$2:$B$210,C103)),2),"")</x:f>
        <x:v>469</x:v>
      </x:c>
      <x:c r="J103" s="12" t="s">
        <x:v>208</x:v>
      </x:c>
      <x:c r="K103" s="31"/>
    </x:row>
    <x:row r="104" ht="21.950000762939453" customHeight="1">
      <x:c r="A104" s="15" t="s">
        <x:v>209</x:v>
      </x:c>
      <x:c r="B104" s="12" t="s">
        <x:v>25</x:v>
      </x:c>
      <x:c r="C104" s="12" t="s">
        <x:v>76</x:v>
      </x:c>
      <x:c r="D104" s="12" t="s">
        <x:v>120</x:v>
      </x:c>
      <x:c r="E104" s="12" t="s">
        <x:v>28</x:v>
      </x:c>
      <x:c r="F104" s="12" t="s">
        <x:v>16</x:v>
      </x:c>
      <x:c r="G104" s="18"/>
      <x:c r="H104" s="21" t="n">
        <x:f>IF(SUMIFS('İndirimler'!$C$2:$C$210,'İndirimler'!$A$2:$A$210,B104,'İndirimler'!$B$2:$B$210,C104)&gt;0,ROUND(G104*(1-SUMIFS('İndirimler'!$C$2:$C$210,'İndirimler'!$A$2:$A$210,B104,'İndirimler'!$B$2:$B$210,C104)),2),"")</x:f>
        <x:v>0</x:v>
      </x:c>
      <x:c r="I104" s="24" t="n">
        <x:f>IF(SUMIFS('İndirimler'!$D$2:$D$210,'İndirimler'!$A$2:$A$210,B104,'İndirimler'!$B$2:$B$210,C104)&gt;0,ROUND(G104*(1-SUMIFS('İndirimler'!$D$2:$D$210,'İndirimler'!$A$2:$A$210,B104,'İndirimler'!$B$2:$B$210,C104)),2),"")</x:f>
        <x:v>0</x:v>
      </x:c>
      <x:c r="J104" s="12"/>
      <x:c r="K104" s="31"/>
    </x:row>
    <x:row r="105" ht="21.950000762939453" customHeight="1">
      <x:c r="A105" s="15" t="s">
        <x:v>210</x:v>
      </x:c>
      <x:c r="B105" s="12" t="s">
        <x:v>50</x:v>
      </x:c>
      <x:c r="C105" s="12" t="s">
        <x:v>76</x:v>
      </x:c>
      <x:c r="D105" s="12" t="s">
        <x:v>120</x:v>
      </x:c>
      <x:c r="E105" s="12" t="s">
        <x:v>69</x:v>
      </x:c>
      <x:c r="F105" s="12" t="s">
        <x:v>16</x:v>
      </x:c>
      <x:c r="G105" s="18">
        <x:v>616</x:v>
      </x:c>
      <x:c r="H105" s="21" t="n">
        <x:f>IF(SUMIFS('İndirimler'!$C$2:$C$210,'İndirimler'!$A$2:$A$210,B105,'İndirimler'!$B$2:$B$210,C105)&gt;0,ROUND(G105*(1-SUMIFS('İndirimler'!$C$2:$C$210,'İndirimler'!$A$2:$A$210,B105,'İndirimler'!$B$2:$B$210,C105)),2),"")</x:f>
        <x:v>523.6</x:v>
      </x:c>
      <x:c r="I105" s="24" t="n">
        <x:f>IF(SUMIFS('İndirimler'!$D$2:$D$210,'İndirimler'!$A$2:$A$210,B105,'İndirimler'!$B$2:$B$210,C105)&gt;0,ROUND(G105*(1-SUMIFS('İndirimler'!$D$2:$D$210,'İndirimler'!$A$2:$A$210,B105,'İndirimler'!$B$2:$B$210,C105)),2),"")</x:f>
        <x:v>431.2</x:v>
      </x:c>
      <x:c r="J105" s="12"/>
      <x:c r="K105" s="31"/>
    </x:row>
    <x:row r="106" ht="21.950000762939453" customHeight="1">
      <x:c r="A106" s="15" t="s">
        <x:v>211</x:v>
      </x:c>
      <x:c r="B106" s="12" t="s">
        <x:v>128</x:v>
      </x:c>
      <x:c r="C106" s="12" t="s">
        <x:v>76</x:v>
      </x:c>
      <x:c r="D106" s="12" t="s">
        <x:v>120</x:v>
      </x:c>
      <x:c r="E106" s="12"/>
      <x:c r="F106" s="12" t="s">
        <x:v>16</x:v>
      </x:c>
      <x:c r="G106" s="18">
        <x:v>669</x:v>
      </x:c>
      <x:c r="H106" s="21" t="n">
        <x:f>IF(SUMIFS('İndirimler'!$C$2:$C$210,'İndirimler'!$A$2:$A$210,B106,'İndirimler'!$B$2:$B$210,C106)&gt;0,ROUND(G106*(1-SUMIFS('İndirimler'!$C$2:$C$210,'İndirimler'!$A$2:$A$210,B106,'İndirimler'!$B$2:$B$210,C106)),2),"")</x:f>
        <x:v>568.65</x:v>
      </x:c>
      <x:c r="I106" s="24" t="n">
        <x:f>IF(SUMIFS('İndirimler'!$D$2:$D$210,'İndirimler'!$A$2:$A$210,B106,'İndirimler'!$B$2:$B$210,C106)&gt;0,ROUND(G106*(1-SUMIFS('İndirimler'!$D$2:$D$210,'İndirimler'!$A$2:$A$210,B106,'İndirimler'!$B$2:$B$210,C106)),2),"")</x:f>
        <x:v>468.3</x:v>
      </x:c>
      <x:c r="J106" s="12"/>
      <x:c r="K106" s="31"/>
    </x:row>
    <x:row r="107" ht="21.950000762939453" customHeight="1">
      <x:c r="A107" s="15" t="s">
        <x:v>212</x:v>
      </x:c>
      <x:c r="B107" s="12" t="s">
        <x:v>134</x:v>
      </x:c>
      <x:c r="C107" s="12" t="s">
        <x:v>76</x:v>
      </x:c>
      <x:c r="D107" s="12" t="s">
        <x:v>120</x:v>
      </x:c>
      <x:c r="E107" s="12"/>
      <x:c r="F107" s="12" t="s">
        <x:v>16</x:v>
      </x:c>
      <x:c r="G107" s="18">
        <x:v>385</x:v>
      </x:c>
      <x:c r="H107" s="21" t="n">
        <x:f>IF(SUMIFS('İndirimler'!$C$2:$C$210,'İndirimler'!$A$2:$A$210,B107,'İndirimler'!$B$2:$B$210,C107)&gt;0,ROUND(G107*(1-SUMIFS('İndirimler'!$C$2:$C$210,'İndirimler'!$A$2:$A$210,B107,'İndirimler'!$B$2:$B$210,C107)),2),"")</x:f>
        <x:v>327.25</x:v>
      </x:c>
      <x:c r="I107" s="24" t="n">
        <x:f>IF(SUMIFS('İndirimler'!$D$2:$D$210,'İndirimler'!$A$2:$A$210,B107,'İndirimler'!$B$2:$B$210,C107)&gt;0,ROUND(G107*(1-SUMIFS('İndirimler'!$D$2:$D$210,'İndirimler'!$A$2:$A$210,B107,'İndirimler'!$B$2:$B$210,C107)),2),"")</x:f>
        <x:v>269.5</x:v>
      </x:c>
      <x:c r="J107" s="12"/>
      <x:c r="K107" s="31"/>
    </x:row>
    <x:row r="108" ht="21.950000762939453" customHeight="1">
      <x:c r="A108" s="15" t="s">
        <x:v>213</x:v>
      </x:c>
      <x:c r="B108" s="12" t="s">
        <x:v>38</x:v>
      </x:c>
      <x:c r="C108" s="12" t="s">
        <x:v>76</x:v>
      </x:c>
      <x:c r="D108" s="12" t="s">
        <x:v>120</x:v>
      </x:c>
      <x:c r="E108" s="12" t="s">
        <x:v>69</x:v>
      </x:c>
      <x:c r="F108" s="12" t="s">
        <x:v>16</x:v>
      </x:c>
      <x:c r="G108" s="18">
        <x:v>519</x:v>
      </x:c>
      <x:c r="H108" s="21" t="n">
        <x:f>IF(SUMIFS('İndirimler'!$C$2:$C$210,'İndirimler'!$A$2:$A$210,B108,'İndirimler'!$B$2:$B$210,C108)&gt;0,ROUND(G108*(1-SUMIFS('İndirimler'!$C$2:$C$210,'İndirimler'!$A$2:$A$210,B108,'İndirimler'!$B$2:$B$210,C108)),2),"")</x:f>
        <x:v>441.15</x:v>
      </x:c>
      <x:c r="I108" s="24" t="n">
        <x:f>IF(SUMIFS('İndirimler'!$D$2:$D$210,'İndirimler'!$A$2:$A$210,B108,'İndirimler'!$B$2:$B$210,C108)&gt;0,ROUND(G108*(1-SUMIFS('İndirimler'!$D$2:$D$210,'İndirimler'!$A$2:$A$210,B108,'İndirimler'!$B$2:$B$210,C108)),2),"")</x:f>
        <x:v>363.3</x:v>
      </x:c>
      <x:c r="J108" s="12" t="s">
        <x:v>214</x:v>
      </x:c>
      <x:c r="K108" s="31"/>
    </x:row>
    <x:row r="109" ht="21.950000762939453" customHeight="1">
      <x:c r="A109" s="15" t="s">
        <x:v>215</x:v>
      </x:c>
      <x:c r="B109" s="12" t="s">
        <x:v>72</x:v>
      </x:c>
      <x:c r="C109" s="12" t="s">
        <x:v>76</x:v>
      </x:c>
      <x:c r="D109" s="12" t="s">
        <x:v>120</x:v>
      </x:c>
      <x:c r="E109" s="12"/>
      <x:c r="F109" s="12" t="s">
        <x:v>73</x:v>
      </x:c>
      <x:c r="G109" s="18">
        <x:v>385</x:v>
      </x:c>
      <x:c r="H109" s="21" t="n">
        <x:f>IF(SUMIFS('İndirimler'!$C$2:$C$210,'İndirimler'!$A$2:$A$210,B109,'İndirimler'!$B$2:$B$210,C109)&gt;0,ROUND(G109*(1-SUMIFS('İndirimler'!$C$2:$C$210,'İndirimler'!$A$2:$A$210,B109,'İndirimler'!$B$2:$B$210,C109)),2),"")</x:f>
        <x:v>327.25</x:v>
      </x:c>
      <x:c r="I109" s="24" t="n">
        <x:f>IF(SUMIFS('İndirimler'!$D$2:$D$210,'İndirimler'!$A$2:$A$210,B109,'İndirimler'!$B$2:$B$210,C109)&gt;0,ROUND(G109*(1-SUMIFS('İndirimler'!$D$2:$D$210,'İndirimler'!$A$2:$A$210,B109,'İndirimler'!$B$2:$B$210,C109)),2),"")</x:f>
        <x:v>269.5</x:v>
      </x:c>
      <x:c r="J109" s="12"/>
      <x:c r="K109" s="31"/>
    </x:row>
    <x:row r="110" ht="21.950000762939453" customHeight="1">
      <x:c r="A110" s="15" t="s">
        <x:v>216</x:v>
      </x:c>
      <x:c r="B110" s="12" t="s">
        <x:v>119</x:v>
      </x:c>
      <x:c r="C110" s="12" t="s">
        <x:v>101</x:v>
      </x:c>
      <x:c r="D110" s="12" t="s">
        <x:v>120</x:v>
      </x:c>
      <x:c r="E110" s="12"/>
      <x:c r="F110" s="12" t="s">
        <x:v>35</x:v>
      </x:c>
      <x:c r="G110" s="18"/>
      <x:c r="H110" s="21" t="n">
        <x:f>IF(SUMIFS('İndirimler'!$C$2:$C$210,'İndirimler'!$A$2:$A$210,B110,'İndirimler'!$B$2:$B$210,C110)&gt;0,ROUND(G110*(1-SUMIFS('İndirimler'!$C$2:$C$210,'İndirimler'!$A$2:$A$210,B110,'İndirimler'!$B$2:$B$210,C110)),2),"")</x:f>
        <x:v>0</x:v>
      </x:c>
      <x:c r="I110" s="24" t="n">
        <x:f>IF(SUMIFS('İndirimler'!$D$2:$D$210,'İndirimler'!$A$2:$A$210,B110,'İndirimler'!$B$2:$B$210,C110)&gt;0,ROUND(G110*(1-SUMIFS('İndirimler'!$D$2:$D$210,'İndirimler'!$A$2:$A$210,B110,'İndirimler'!$B$2:$B$210,C110)),2),"")</x:f>
        <x:v>0</x:v>
      </x:c>
      <x:c r="J110" s="12"/>
      <x:c r="K110" s="31"/>
    </x:row>
    <x:row r="111" ht="21.950000762939453" customHeight="1">
      <x:c r="A111" s="15" t="s">
        <x:v>217</x:v>
      </x:c>
      <x:c r="B111" s="12" t="s">
        <x:v>123</x:v>
      </x:c>
      <x:c r="C111" s="12" t="s">
        <x:v>101</x:v>
      </x:c>
      <x:c r="D111" s="12" t="s">
        <x:v>120</x:v>
      </x:c>
      <x:c r="E111" s="12" t="s">
        <x:v>124</x:v>
      </x:c>
      <x:c r="F111" s="12" t="s">
        <x:v>35</x:v>
      </x:c>
      <x:c r="G111" s="18"/>
      <x:c r="H111" s="21" t="n">
        <x:f>IF(SUMIFS('İndirimler'!$C$2:$C$210,'İndirimler'!$A$2:$A$210,B111,'İndirimler'!$B$2:$B$210,C111)&gt;0,ROUND(G111*(1-SUMIFS('İndirimler'!$C$2:$C$210,'İndirimler'!$A$2:$A$210,B111,'İndirimler'!$B$2:$B$210,C111)),2),"")</x:f>
        <x:v>0</x:v>
      </x:c>
      <x:c r="I111" s="24" t="n">
        <x:f>IF(SUMIFS('İndirimler'!$D$2:$D$210,'İndirimler'!$A$2:$A$210,B111,'İndirimler'!$B$2:$B$210,C111)&gt;0,ROUND(G111*(1-SUMIFS('İndirimler'!$D$2:$D$210,'İndirimler'!$A$2:$A$210,B111,'İndirimler'!$B$2:$B$210,C111)),2),"")</x:f>
        <x:v>0</x:v>
      </x:c>
      <x:c r="J111" s="12"/>
      <x:c r="K111" s="31"/>
    </x:row>
    <x:row r="112" ht="21.950000762939453" customHeight="1">
      <x:c r="A112" s="15" t="s">
        <x:v>218</x:v>
      </x:c>
      <x:c r="B112" s="12" t="s">
        <x:v>25</x:v>
      </x:c>
      <x:c r="C112" s="12" t="s">
        <x:v>101</x:v>
      </x:c>
      <x:c r="D112" s="12" t="s">
        <x:v>120</x:v>
      </x:c>
      <x:c r="E112" s="12" t="s">
        <x:v>126</x:v>
      </x:c>
      <x:c r="F112" s="12" t="s">
        <x:v>35</x:v>
      </x:c>
      <x:c r="G112" s="18"/>
      <x:c r="H112" s="21" t="n">
        <x:f>IF(SUMIFS('İndirimler'!$C$2:$C$210,'İndirimler'!$A$2:$A$210,B112,'İndirimler'!$B$2:$B$210,C112)&gt;0,ROUND(G112*(1-SUMIFS('İndirimler'!$C$2:$C$210,'İndirimler'!$A$2:$A$210,B112,'İndirimler'!$B$2:$B$210,C112)),2),"")</x:f>
        <x:v>0</x:v>
      </x:c>
      <x:c r="I112" s="24" t="n">
        <x:f>IF(SUMIFS('İndirimler'!$D$2:$D$210,'İndirimler'!$A$2:$A$210,B112,'İndirimler'!$B$2:$B$210,C112)&gt;0,ROUND(G112*(1-SUMIFS('İndirimler'!$D$2:$D$210,'İndirimler'!$A$2:$A$210,B112,'İndirimler'!$B$2:$B$210,C112)),2),"")</x:f>
        <x:v>0</x:v>
      </x:c>
      <x:c r="J112" s="12"/>
      <x:c r="K112" s="31"/>
    </x:row>
    <x:row r="113" ht="21.950000762939453" customHeight="1">
      <x:c r="A113" s="15" t="s">
        <x:v>219</x:v>
      </x:c>
      <x:c r="B113" s="12" t="s">
        <x:v>128</x:v>
      </x:c>
      <x:c r="C113" s="12" t="s">
        <x:v>101</x:v>
      </x:c>
      <x:c r="D113" s="12" t="s">
        <x:v>120</x:v>
      </x:c>
      <x:c r="E113" s="12" t="s">
        <x:v>129</x:v>
      </x:c>
      <x:c r="F113" s="12" t="s">
        <x:v>35</x:v>
      </x:c>
      <x:c r="G113" s="18"/>
      <x:c r="H113" s="21" t="n">
        <x:f>IF(SUMIFS('İndirimler'!$C$2:$C$210,'İndirimler'!$A$2:$A$210,B113,'İndirimler'!$B$2:$B$210,C113)&gt;0,ROUND(G113*(1-SUMIFS('İndirimler'!$C$2:$C$210,'İndirimler'!$A$2:$A$210,B113,'İndirimler'!$B$2:$B$210,C113)),2),"")</x:f>
        <x:v>0</x:v>
      </x:c>
      <x:c r="I113" s="24" t="n">
        <x:f>IF(SUMIFS('İndirimler'!$D$2:$D$210,'İndirimler'!$A$2:$A$210,B113,'İndirimler'!$B$2:$B$210,C113)&gt;0,ROUND(G113*(1-SUMIFS('İndirimler'!$D$2:$D$210,'İndirimler'!$A$2:$A$210,B113,'İndirimler'!$B$2:$B$210,C113)),2),"")</x:f>
        <x:v>0</x:v>
      </x:c>
      <x:c r="J113" s="12"/>
      <x:c r="K113" s="31"/>
    </x:row>
    <x:row r="114" ht="21.950000762939453" customHeight="1">
      <x:c r="A114" s="15" t="s">
        <x:v>220</x:v>
      </x:c>
      <x:c r="B114" s="12" t="s">
        <x:v>134</x:v>
      </x:c>
      <x:c r="C114" s="12" t="s">
        <x:v>101</x:v>
      </x:c>
      <x:c r="D114" s="12" t="s">
        <x:v>120</x:v>
      </x:c>
      <x:c r="E114" s="12"/>
      <x:c r="F114" s="12" t="s">
        <x:v>35</x:v>
      </x:c>
      <x:c r="G114" s="18">
        <x:v>659</x:v>
      </x:c>
      <x:c r="H114" s="21" t="n">
        <x:f>IF(SUMIFS('İndirimler'!$C$2:$C$210,'İndirimler'!$A$2:$A$210,B114,'İndirimler'!$B$2:$B$210,C114)&gt;0,ROUND(G114*(1-SUMIFS('İndirimler'!$C$2:$C$210,'İndirimler'!$A$2:$A$210,B114,'İndirimler'!$B$2:$B$210,C114)),2),"")</x:f>
        <x:v>560.15</x:v>
      </x:c>
      <x:c r="I114" s="24" t="n">
        <x:f>IF(SUMIFS('İndirimler'!$D$2:$D$210,'İndirimler'!$A$2:$A$210,B114,'İndirimler'!$B$2:$B$210,C114)&gt;0,ROUND(G114*(1-SUMIFS('İndirimler'!$D$2:$D$210,'İndirimler'!$A$2:$A$210,B114,'İndirimler'!$B$2:$B$210,C114)),2),"")</x:f>
        <x:v>461.3</x:v>
      </x:c>
      <x:c r="J114" s="12"/>
      <x:c r="K114" s="31"/>
    </x:row>
    <x:row r="115" ht="21.950000762939453" customHeight="1">
      <x:c r="A115" s="15" t="s">
        <x:v>221</x:v>
      </x:c>
      <x:c r="B115" s="12" t="s">
        <x:v>38</x:v>
      </x:c>
      <x:c r="C115" s="12" t="s">
        <x:v>101</x:v>
      </x:c>
      <x:c r="D115" s="12" t="s">
        <x:v>120</x:v>
      </x:c>
      <x:c r="E115" s="12"/>
      <x:c r="F115" s="12" t="s">
        <x:v>35</x:v>
      </x:c>
      <x:c r="G115" s="18"/>
      <x:c r="H115" s="21" t="n">
        <x:f>IF(SUMIFS('İndirimler'!$C$2:$C$210,'İndirimler'!$A$2:$A$210,B115,'İndirimler'!$B$2:$B$210,C115)&gt;0,ROUND(G115*(1-SUMIFS('İndirimler'!$C$2:$C$210,'İndirimler'!$A$2:$A$210,B115,'İndirimler'!$B$2:$B$210,C115)),2),"")</x:f>
        <x:v>0</x:v>
      </x:c>
      <x:c r="I115" s="24" t="n">
        <x:f>IF(SUMIFS('İndirimler'!$D$2:$D$210,'İndirimler'!$A$2:$A$210,B115,'İndirimler'!$B$2:$B$210,C115)&gt;0,ROUND(G115*(1-SUMIFS('İndirimler'!$D$2:$D$210,'İndirimler'!$A$2:$A$210,B115,'İndirimler'!$B$2:$B$210,C115)),2),"")</x:f>
        <x:v>0</x:v>
      </x:c>
      <x:c r="J115" s="12"/>
      <x:c r="K115" s="31"/>
    </x:row>
    <x:row r="116" ht="21.950000762939453" customHeight="1">
      <x:c r="A116" s="15" t="s">
        <x:v>222</x:v>
      </x:c>
      <x:c r="B116" s="12" t="s">
        <x:v>138</x:v>
      </x:c>
      <x:c r="C116" s="12" t="s">
        <x:v>101</x:v>
      </x:c>
      <x:c r="D116" s="12" t="s">
        <x:v>120</x:v>
      </x:c>
      <x:c r="E116" s="12" t="s">
        <x:v>139</x:v>
      </x:c>
      <x:c r="F116" s="12" t="s">
        <x:v>42</x:v>
      </x:c>
      <x:c r="G116" s="18">
        <x:v>644</x:v>
      </x:c>
      <x:c r="H116" s="21" t="n">
        <x:f>IF(SUMIFS('İndirimler'!$C$2:$C$210,'İndirimler'!$A$2:$A$210,B116,'İndirimler'!$B$2:$B$210,C116)&gt;0,ROUND(G116*(1-SUMIFS('İndirimler'!$C$2:$C$210,'İndirimler'!$A$2:$A$210,B116,'İndirimler'!$B$2:$B$210,C116)),2),"")</x:f>
        <x:v>547.4</x:v>
      </x:c>
      <x:c r="I116" s="24" t="n">
        <x:f>IF(SUMIFS('İndirimler'!$D$2:$D$210,'İndirimler'!$A$2:$A$210,B116,'İndirimler'!$B$2:$B$210,C116)&gt;0,ROUND(G116*(1-SUMIFS('İndirimler'!$D$2:$D$210,'İndirimler'!$A$2:$A$210,B116,'İndirimler'!$B$2:$B$210,C116)),2),"")</x:f>
        <x:v>450.8</x:v>
      </x:c>
      <x:c r="J116" s="12"/>
      <x:c r="K116" s="31"/>
    </x:row>
    <x:row r="117" ht="21.950000762939453" customHeight="1">
      <x:c r="A117" s="15" t="s">
        <x:v>223</x:v>
      </x:c>
      <x:c r="B117" s="12" t="s">
        <x:v>18</x:v>
      </x:c>
      <x:c r="C117" s="12" t="s">
        <x:v>101</x:v>
      </x:c>
      <x:c r="D117" s="12" t="s">
        <x:v>120</x:v>
      </x:c>
      <x:c r="E117" s="12" t="s">
        <x:v>41</x:v>
      </x:c>
      <x:c r="F117" s="12" t="s">
        <x:v>42</x:v>
      </x:c>
      <x:c r="G117" s="18"/>
      <x:c r="H117" s="21" t="n">
        <x:f>IF(SUMIFS('İndirimler'!$C$2:$C$210,'İndirimler'!$A$2:$A$210,B117,'İndirimler'!$B$2:$B$210,C117)&gt;0,ROUND(G117*(1-SUMIFS('İndirimler'!$C$2:$C$210,'İndirimler'!$A$2:$A$210,B117,'İndirimler'!$B$2:$B$210,C117)),2),"")</x:f>
        <x:v>0</x:v>
      </x:c>
      <x:c r="I117" s="24" t="n">
        <x:f>IF(SUMIFS('İndirimler'!$D$2:$D$210,'İndirimler'!$A$2:$A$210,B117,'İndirimler'!$B$2:$B$210,C117)&gt;0,ROUND(G117*(1-SUMIFS('İndirimler'!$D$2:$D$210,'İndirimler'!$A$2:$A$210,B117,'İndirimler'!$B$2:$B$210,C117)),2),"")</x:f>
        <x:v>0</x:v>
      </x:c>
      <x:c r="J117" s="12"/>
      <x:c r="K117" s="31"/>
    </x:row>
    <x:row r="118" ht="21.950000762939453" customHeight="1">
      <x:c r="A118" s="15" t="s">
        <x:v>224</x:v>
      </x:c>
      <x:c r="B118" s="12" t="s">
        <x:v>72</x:v>
      </x:c>
      <x:c r="C118" s="12" t="s">
        <x:v>101</x:v>
      </x:c>
      <x:c r="D118" s="12" t="s">
        <x:v>120</x:v>
      </x:c>
      <x:c r="E118" s="12" t="s">
        <x:v>104</x:v>
      </x:c>
      <x:c r="F118" s="12" t="s">
        <x:v>42</x:v>
      </x:c>
      <x:c r="G118" s="18"/>
      <x:c r="H118" s="21" t="n">
        <x:f>IF(SUMIFS('İndirimler'!$C$2:$C$210,'İndirimler'!$A$2:$A$210,B118,'İndirimler'!$B$2:$B$210,C118)&gt;0,ROUND(G118*(1-SUMIFS('İndirimler'!$C$2:$C$210,'İndirimler'!$A$2:$A$210,B118,'İndirimler'!$B$2:$B$210,C118)),2),"")</x:f>
        <x:v>0</x:v>
      </x:c>
      <x:c r="I118" s="24" t="n">
        <x:f>IF(SUMIFS('İndirimler'!$D$2:$D$210,'İndirimler'!$A$2:$A$210,B118,'İndirimler'!$B$2:$B$210,C118)&gt;0,ROUND(G118*(1-SUMIFS('İndirimler'!$D$2:$D$210,'İndirimler'!$A$2:$A$210,B118,'İndirimler'!$B$2:$B$210,C118)),2),"")</x:f>
        <x:v>0</x:v>
      </x:c>
      <x:c r="J118" s="12"/>
      <x:c r="K118" s="31"/>
    </x:row>
    <x:row r="119" ht="21.950000762939453" customHeight="1">
      <x:c r="A119" s="15" t="s">
        <x:v>225</x:v>
      </x:c>
      <x:c r="B119" s="12" t="s">
        <x:v>226</x:v>
      </x:c>
      <x:c r="C119" s="12" t="s">
        <x:v>101</x:v>
      </x:c>
      <x:c r="D119" s="12" t="s">
        <x:v>120</x:v>
      </x:c>
      <x:c r="E119" s="12"/>
      <x:c r="F119" s="12" t="s">
        <x:v>42</x:v>
      </x:c>
      <x:c r="G119" s="18">
        <x:v>615</x:v>
      </x:c>
      <x:c r="H119" s="21" t="n">
        <x:f>IF(SUMIFS('İndirimler'!$C$2:$C$210,'İndirimler'!$A$2:$A$210,B119,'İndirimler'!$B$2:$B$210,C119)&gt;0,ROUND(G119*(1-SUMIFS('İndirimler'!$C$2:$C$210,'İndirimler'!$A$2:$A$210,B119,'İndirimler'!$B$2:$B$210,C119)),2),"")</x:f>
        <x:v>522.75</x:v>
      </x:c>
      <x:c r="I119" s="24" t="n">
        <x:f>IF(SUMIFS('İndirimler'!$D$2:$D$210,'İndirimler'!$A$2:$A$210,B119,'İndirimler'!$B$2:$B$210,C119)&gt;0,ROUND(G119*(1-SUMIFS('İndirimler'!$D$2:$D$210,'İndirimler'!$A$2:$A$210,B119,'İndirimler'!$B$2:$B$210,C119)),2),"")</x:f>
        <x:v>430.5</x:v>
      </x:c>
      <x:c r="J119" s="12"/>
      <x:c r="K119" s="31"/>
    </x:row>
    <x:row r="120" ht="21.950000762939453" customHeight="1">
      <x:c r="A120" s="15" t="s">
        <x:v>227</x:v>
      </x:c>
      <x:c r="B120" s="12" t="s">
        <x:v>23</x:v>
      </x:c>
      <x:c r="C120" s="12" t="s">
        <x:v>101</x:v>
      </x:c>
      <x:c r="D120" s="12" t="s">
        <x:v>120</x:v>
      </x:c>
      <x:c r="E120" s="12"/>
      <x:c r="F120" s="12" t="s">
        <x:v>42</x:v>
      </x:c>
      <x:c r="G120" s="18">
        <x:v>684</x:v>
      </x:c>
      <x:c r="H120" s="21" t="n">
        <x:f>IF(SUMIFS('İndirimler'!$C$2:$C$210,'İndirimler'!$A$2:$A$210,B120,'İndirimler'!$B$2:$B$210,C120)&gt;0,ROUND(G120*(1-SUMIFS('İndirimler'!$C$2:$C$210,'İndirimler'!$A$2:$A$210,B120,'İndirimler'!$B$2:$B$210,C120)),2),"")</x:f>
        <x:v>581.4</x:v>
      </x:c>
      <x:c r="I120" s="24" t="n">
        <x:f>IF(SUMIFS('İndirimler'!$D$2:$D$210,'İndirimler'!$A$2:$A$210,B120,'İndirimler'!$B$2:$B$210,C120)&gt;0,ROUND(G120*(1-SUMIFS('İndirimler'!$D$2:$D$210,'İndirimler'!$A$2:$A$210,B120,'İndirimler'!$B$2:$B$210,C120)),2),"")</x:f>
        <x:v>478.8</x:v>
      </x:c>
      <x:c r="J120" s="12"/>
      <x:c r="K120" s="31"/>
    </x:row>
    <x:row r="121" ht="21.950000762939453" customHeight="1">
      <x:c r="A121" s="15" t="s">
        <x:v>228</x:v>
      </x:c>
      <x:c r="B121" s="12" t="s">
        <x:v>50</x:v>
      </x:c>
      <x:c r="C121" s="12" t="s">
        <x:v>101</x:v>
      </x:c>
      <x:c r="D121" s="12" t="s">
        <x:v>120</x:v>
      </x:c>
      <x:c r="E121" s="12" t="s">
        <x:v>151</x:v>
      </x:c>
      <x:c r="F121" s="12" t="s">
        <x:v>42</x:v>
      </x:c>
      <x:c r="G121" s="18">
        <x:v>700</x:v>
      </x:c>
      <x:c r="H121" s="21" t="n">
        <x:f>IF(SUMIFS('İndirimler'!$C$2:$C$210,'İndirimler'!$A$2:$A$210,B121,'İndirimler'!$B$2:$B$210,C121)&gt;0,ROUND(G121*(1-SUMIFS('İndirimler'!$C$2:$C$210,'İndirimler'!$A$2:$A$210,B121,'İndirimler'!$B$2:$B$210,C121)),2),"")</x:f>
        <x:v>595</x:v>
      </x:c>
      <x:c r="I121" s="24" t="n">
        <x:f>IF(SUMIFS('İndirimler'!$D$2:$D$210,'İndirimler'!$A$2:$A$210,B121,'İndirimler'!$B$2:$B$210,C121)&gt;0,ROUND(G121*(1-SUMIFS('İndirimler'!$D$2:$D$210,'İndirimler'!$A$2:$A$210,B121,'İndirimler'!$B$2:$B$210,C121)),2),"")</x:f>
        <x:v>490</x:v>
      </x:c>
      <x:c r="J121" s="12"/>
      <x:c r="K121" s="31"/>
    </x:row>
    <x:row r="122" ht="21.950000762939453" customHeight="1">
      <x:c r="A122" s="15" t="s">
        <x:v>229</x:v>
      </x:c>
      <x:c r="B122" s="12" t="s">
        <x:v>55</x:v>
      </x:c>
      <x:c r="C122" s="12" t="s">
        <x:v>101</x:v>
      </x:c>
      <x:c r="D122" s="12" t="s">
        <x:v>120</x:v>
      </x:c>
      <x:c r="E122" s="12" t="s">
        <x:v>69</x:v>
      </x:c>
      <x:c r="F122" s="12" t="s">
        <x:v>16</x:v>
      </x:c>
      <x:c r="G122" s="18">
        <x:v>478</x:v>
      </x:c>
      <x:c r="H122" s="21" t="n">
        <x:f>IF(SUMIFS('İndirimler'!$C$2:$C$210,'İndirimler'!$A$2:$A$210,B122,'İndirimler'!$B$2:$B$210,C122)&gt;0,ROUND(G122*(1-SUMIFS('İndirimler'!$C$2:$C$210,'İndirimler'!$A$2:$A$210,B122,'İndirimler'!$B$2:$B$210,C122)),2),"")</x:f>
        <x:v>406.3</x:v>
      </x:c>
      <x:c r="I122" s="24" t="n">
        <x:f>IF(SUMIFS('İndirimler'!$D$2:$D$210,'İndirimler'!$A$2:$A$210,B122,'İndirimler'!$B$2:$B$210,C122)&gt;0,ROUND(G122*(1-SUMIFS('İndirimler'!$D$2:$D$210,'İndirimler'!$A$2:$A$210,B122,'İndirimler'!$B$2:$B$210,C122)),2),"")</x:f>
        <x:v>334.6</x:v>
      </x:c>
      <x:c r="J122" s="12"/>
      <x:c r="K122" s="31"/>
    </x:row>
    <x:row r="123" ht="21.950000762939453" customHeight="1">
      <x:c r="A123" s="15" t="s">
        <x:v>230</x:v>
      </x:c>
      <x:c r="B123" s="12" t="s">
        <x:v>119</x:v>
      </x:c>
      <x:c r="C123" s="12" t="s">
        <x:v>101</x:v>
      </x:c>
      <x:c r="D123" s="12" t="s">
        <x:v>120</x:v>
      </x:c>
      <x:c r="E123" s="12"/>
      <x:c r="F123" s="12" t="s">
        <x:v>16</x:v>
      </x:c>
      <x:c r="G123" s="18"/>
      <x:c r="H123" s="21" t="n">
        <x:f>IF(SUMIFS('İndirimler'!$C$2:$C$210,'İndirimler'!$A$2:$A$210,B123,'İndirimler'!$B$2:$B$210,C123)&gt;0,ROUND(G123*(1-SUMIFS('İndirimler'!$C$2:$C$210,'İndirimler'!$A$2:$A$210,B123,'İndirimler'!$B$2:$B$210,C123)),2),"")</x:f>
        <x:v>0</x:v>
      </x:c>
      <x:c r="I123" s="24" t="n">
        <x:f>IF(SUMIFS('İndirimler'!$D$2:$D$210,'İndirimler'!$A$2:$A$210,B123,'İndirimler'!$B$2:$B$210,C123)&gt;0,ROUND(G123*(1-SUMIFS('İndirimler'!$D$2:$D$210,'İndirimler'!$A$2:$A$210,B123,'İndirimler'!$B$2:$B$210,C123)),2),"")</x:f>
        <x:v>0</x:v>
      </x:c>
      <x:c r="J123" s="12"/>
      <x:c r="K123" s="31"/>
    </x:row>
    <x:row r="124" ht="21.950000762939453" customHeight="1">
      <x:c r="A124" s="15" t="s">
        <x:v>231</x:v>
      </x:c>
      <x:c r="B124" s="12" t="s">
        <x:v>119</x:v>
      </x:c>
      <x:c r="C124" s="12" t="s">
        <x:v>101</x:v>
      </x:c>
      <x:c r="D124" s="12" t="s">
        <x:v>120</x:v>
      </x:c>
      <x:c r="E124" s="12" t="s">
        <x:v>232</x:v>
      </x:c>
      <x:c r="F124" s="12" t="s">
        <x:v>16</x:v>
      </x:c>
      <x:c r="G124" s="18"/>
      <x:c r="H124" s="21" t="n">
        <x:f>IF(SUMIFS('İndirimler'!$C$2:$C$210,'İndirimler'!$A$2:$A$210,B124,'İndirimler'!$B$2:$B$210,C124)&gt;0,ROUND(G124*(1-SUMIFS('İndirimler'!$C$2:$C$210,'İndirimler'!$A$2:$A$210,B124,'İndirimler'!$B$2:$B$210,C124)),2),"")</x:f>
        <x:v>0</x:v>
      </x:c>
      <x:c r="I124" s="24" t="n">
        <x:f>IF(SUMIFS('İndirimler'!$D$2:$D$210,'İndirimler'!$A$2:$A$210,B124,'İndirimler'!$B$2:$B$210,C124)&gt;0,ROUND(G124*(1-SUMIFS('İndirimler'!$D$2:$D$210,'İndirimler'!$A$2:$A$210,B124,'İndirimler'!$B$2:$B$210,C124)),2),"")</x:f>
        <x:v>0</x:v>
      </x:c>
      <x:c r="J124" s="12"/>
      <x:c r="K124" s="31"/>
    </x:row>
    <x:row r="125" ht="21.950000762939453" customHeight="1">
      <x:c r="A125" s="15" t="s">
        <x:v>233</x:v>
      </x:c>
      <x:c r="B125" s="12" t="s">
        <x:v>138</x:v>
      </x:c>
      <x:c r="C125" s="12" t="s">
        <x:v>101</x:v>
      </x:c>
      <x:c r="D125" s="12" t="s">
        <x:v>120</x:v>
      </x:c>
      <x:c r="E125" s="12" t="s">
        <x:v>69</x:v>
      </x:c>
      <x:c r="F125" s="12" t="s">
        <x:v>16</x:v>
      </x:c>
      <x:c r="G125" s="18">
        <x:v>480</x:v>
      </x:c>
      <x:c r="H125" s="21" t="n">
        <x:f>IF(SUMIFS('İndirimler'!$C$2:$C$210,'İndirimler'!$A$2:$A$210,B125,'İndirimler'!$B$2:$B$210,C125)&gt;0,ROUND(G125*(1-SUMIFS('İndirimler'!$C$2:$C$210,'İndirimler'!$A$2:$A$210,B125,'İndirimler'!$B$2:$B$210,C125)),2),"")</x:f>
        <x:v>408</x:v>
      </x:c>
      <x:c r="I125" s="24" t="n">
        <x:f>IF(SUMIFS('İndirimler'!$D$2:$D$210,'İndirimler'!$A$2:$A$210,B125,'İndirimler'!$B$2:$B$210,C125)&gt;0,ROUND(G125*(1-SUMIFS('İndirimler'!$D$2:$D$210,'İndirimler'!$A$2:$A$210,B125,'İndirimler'!$B$2:$B$210,C125)),2),"")</x:f>
        <x:v>336</x:v>
      </x:c>
      <x:c r="J125" s="12"/>
      <x:c r="K125" s="31"/>
    </x:row>
    <x:row r="126" ht="21.950000762939453" customHeight="1">
      <x:c r="A126" s="15" t="s">
        <x:v>234</x:v>
      </x:c>
      <x:c r="B126" s="12" t="s">
        <x:v>18</x:v>
      </x:c>
      <x:c r="C126" s="12" t="s">
        <x:v>101</x:v>
      </x:c>
      <x:c r="D126" s="12" t="s">
        <x:v>120</x:v>
      </x:c>
      <x:c r="E126" s="12" t="s">
        <x:v>109</x:v>
      </x:c>
      <x:c r="F126" s="12" t="s">
        <x:v>16</x:v>
      </x:c>
      <x:c r="G126" s="18"/>
      <x:c r="H126" s="21" t="n">
        <x:f>IF(SUMIFS('İndirimler'!$C$2:$C$210,'İndirimler'!$A$2:$A$210,B126,'İndirimler'!$B$2:$B$210,C126)&gt;0,ROUND(G126*(1-SUMIFS('İndirimler'!$C$2:$C$210,'İndirimler'!$A$2:$A$210,B126,'İndirimler'!$B$2:$B$210,C126)),2),"")</x:f>
        <x:v>0</x:v>
      </x:c>
      <x:c r="I126" s="24" t="n">
        <x:f>IF(SUMIFS('İndirimler'!$D$2:$D$210,'İndirimler'!$A$2:$A$210,B126,'İndirimler'!$B$2:$B$210,C126)&gt;0,ROUND(G126*(1-SUMIFS('İndirimler'!$D$2:$D$210,'İndirimler'!$A$2:$A$210,B126,'İndirimler'!$B$2:$B$210,C126)),2),"")</x:f>
        <x:v>0</x:v>
      </x:c>
      <x:c r="J126" s="12"/>
      <x:c r="K126" s="31"/>
    </x:row>
    <x:row r="127" ht="21.950000762939453" customHeight="1">
      <x:c r="A127" s="15" t="s">
        <x:v>235</x:v>
      </x:c>
      <x:c r="B127" s="12" t="s">
        <x:v>166</x:v>
      </x:c>
      <x:c r="C127" s="12" t="s">
        <x:v>101</x:v>
      </x:c>
      <x:c r="D127" s="12" t="s">
        <x:v>120</x:v>
      </x:c>
      <x:c r="E127" s="12"/>
      <x:c r="F127" s="12" t="s">
        <x:v>16</x:v>
      </x:c>
      <x:c r="G127" s="18"/>
      <x:c r="H127" s="21" t="n">
        <x:f>IF(SUMIFS('İndirimler'!$C$2:$C$210,'İndirimler'!$A$2:$A$210,B127,'İndirimler'!$B$2:$B$210,C127)&gt;0,ROUND(G127*(1-SUMIFS('İndirimler'!$C$2:$C$210,'İndirimler'!$A$2:$A$210,B127,'İndirimler'!$B$2:$B$210,C127)),2),"")</x:f>
        <x:v>0</x:v>
      </x:c>
      <x:c r="I127" s="24" t="n">
        <x:f>IF(SUMIFS('İndirimler'!$D$2:$D$210,'İndirimler'!$A$2:$A$210,B127,'İndirimler'!$B$2:$B$210,C127)&gt;0,ROUND(G127*(1-SUMIFS('İndirimler'!$D$2:$D$210,'İndirimler'!$A$2:$A$210,B127,'İndirimler'!$B$2:$B$210,C127)),2),"")</x:f>
        <x:v>0</x:v>
      </x:c>
      <x:c r="J127" s="12"/>
      <x:c r="K127" s="31"/>
    </x:row>
    <x:row r="128" ht="21.950000762939453" customHeight="1">
      <x:c r="A128" s="15" t="s">
        <x:v>236</x:v>
      </x:c>
      <x:c r="B128" s="12" t="s">
        <x:v>63</x:v>
      </x:c>
      <x:c r="C128" s="12" t="s">
        <x:v>101</x:v>
      </x:c>
      <x:c r="D128" s="12" t="s">
        <x:v>120</x:v>
      </x:c>
      <x:c r="E128" s="12" t="s">
        <x:v>64</x:v>
      </x:c>
      <x:c r="F128" s="12" t="s">
        <x:v>16</x:v>
      </x:c>
      <x:c r="G128" s="18"/>
      <x:c r="H128" s="21" t="n">
        <x:f>IF(SUMIFS('İndirimler'!$C$2:$C$210,'İndirimler'!$A$2:$A$210,B128,'İndirimler'!$B$2:$B$210,C128)&gt;0,ROUND(G128*(1-SUMIFS('İndirimler'!$C$2:$C$210,'İndirimler'!$A$2:$A$210,B128,'İndirimler'!$B$2:$B$210,C128)),2),"")</x:f>
        <x:v>0</x:v>
      </x:c>
      <x:c r="I128" s="24" t="n">
        <x:f>IF(SUMIFS('İndirimler'!$D$2:$D$210,'İndirimler'!$A$2:$A$210,B128,'İndirimler'!$B$2:$B$210,C128)&gt;0,ROUND(G128*(1-SUMIFS('İndirimler'!$D$2:$D$210,'İndirimler'!$A$2:$A$210,B128,'İndirimler'!$B$2:$B$210,C128)),2),"")</x:f>
        <x:v>0</x:v>
      </x:c>
      <x:c r="J128" s="30" t="s">
        <x:v>237</x:v>
      </x:c>
      <x:c r="K128" s="31"/>
    </x:row>
    <x:row r="129" ht="21.950000762939453" customHeight="1">
      <x:c r="A129" s="15" t="s">
        <x:v>238</x:v>
      </x:c>
      <x:c r="B129" s="12" t="s">
        <x:v>23</x:v>
      </x:c>
      <x:c r="C129" s="12" t="s">
        <x:v>101</x:v>
      </x:c>
      <x:c r="D129" s="12" t="s">
        <x:v>120</x:v>
      </x:c>
      <x:c r="E129" s="12"/>
      <x:c r="F129" s="12" t="s">
        <x:v>16</x:v>
      </x:c>
      <x:c r="G129" s="18">
        <x:v>624</x:v>
      </x:c>
      <x:c r="H129" s="21" t="n">
        <x:f>IF(SUMIFS('İndirimler'!$C$2:$C$210,'İndirimler'!$A$2:$A$210,B129,'İndirimler'!$B$2:$B$210,C129)&gt;0,ROUND(G129*(1-SUMIFS('İndirimler'!$C$2:$C$210,'İndirimler'!$A$2:$A$210,B129,'İndirimler'!$B$2:$B$210,C129)),2),"")</x:f>
        <x:v>530.4</x:v>
      </x:c>
      <x:c r="I129" s="24" t="n">
        <x:f>IF(SUMIFS('İndirimler'!$D$2:$D$210,'İndirimler'!$A$2:$A$210,B129,'İndirimler'!$B$2:$B$210,C129)&gt;0,ROUND(G129*(1-SUMIFS('İndirimler'!$D$2:$D$210,'İndirimler'!$A$2:$A$210,B129,'İndirimler'!$B$2:$B$210,C129)),2),"")</x:f>
        <x:v>436.8</x:v>
      </x:c>
      <x:c r="J129" s="30"/>
      <x:c r="K129" s="31"/>
    </x:row>
    <x:row r="130" ht="21.950000762939453" customHeight="1">
      <x:c r="A130" s="15" t="s">
        <x:v>239</x:v>
      </x:c>
      <x:c r="B130" s="12" t="s">
        <x:v>25</x:v>
      </x:c>
      <x:c r="C130" s="12" t="s">
        <x:v>101</x:v>
      </x:c>
      <x:c r="D130" s="12" t="s">
        <x:v>120</x:v>
      </x:c>
      <x:c r="E130" s="12" t="s">
        <x:v>28</x:v>
      </x:c>
      <x:c r="F130" s="12" t="s">
        <x:v>16</x:v>
      </x:c>
      <x:c r="G130" s="18"/>
      <x:c r="H130" s="21" t="n">
        <x:f>IF(SUMIFS('İndirimler'!$C$2:$C$210,'İndirimler'!$A$2:$A$210,B130,'İndirimler'!$B$2:$B$210,C130)&gt;0,ROUND(G130*(1-SUMIFS('İndirimler'!$C$2:$C$210,'İndirimler'!$A$2:$A$210,B130,'İndirimler'!$B$2:$B$210,C130)),2),"")</x:f>
        <x:v>0</x:v>
      </x:c>
      <x:c r="I130" s="24" t="n">
        <x:f>IF(SUMIFS('İndirimler'!$D$2:$D$210,'İndirimler'!$A$2:$A$210,B130,'İndirimler'!$B$2:$B$210,C130)&gt;0,ROUND(G130*(1-SUMIFS('İndirimler'!$D$2:$D$210,'İndirimler'!$A$2:$A$210,B130,'İndirimler'!$B$2:$B$210,C130)),2),"")</x:f>
        <x:v>0</x:v>
      </x:c>
      <x:c r="J130" s="12"/>
      <x:c r="K130" s="31"/>
    </x:row>
    <x:row r="131" ht="21.950000762939453" customHeight="1">
      <x:c r="A131" s="15" t="s">
        <x:v>240</x:v>
      </x:c>
      <x:c r="B131" s="12" t="s">
        <x:v>50</x:v>
      </x:c>
      <x:c r="C131" s="12" t="s">
        <x:v>101</x:v>
      </x:c>
      <x:c r="D131" s="12" t="s">
        <x:v>120</x:v>
      </x:c>
      <x:c r="E131" s="12" t="s">
        <x:v>69</x:v>
      </x:c>
      <x:c r="F131" s="12" t="s">
        <x:v>16</x:v>
      </x:c>
      <x:c r="G131" s="18">
        <x:v>493</x:v>
      </x:c>
      <x:c r="H131" s="21" t="n">
        <x:f>IF(SUMIFS('İndirimler'!$C$2:$C$210,'İndirimler'!$A$2:$A$210,B131,'İndirimler'!$B$2:$B$210,C131)&gt;0,ROUND(G131*(1-SUMIFS('İndirimler'!$C$2:$C$210,'İndirimler'!$A$2:$A$210,B131,'İndirimler'!$B$2:$B$210,C131)),2),"")</x:f>
        <x:v>419.05</x:v>
      </x:c>
      <x:c r="I131" s="24" t="n">
        <x:f>IF(SUMIFS('İndirimler'!$D$2:$D$210,'İndirimler'!$A$2:$A$210,B131,'İndirimler'!$B$2:$B$210,C131)&gt;0,ROUND(G131*(1-SUMIFS('İndirimler'!$D$2:$D$210,'İndirimler'!$A$2:$A$210,B131,'İndirimler'!$B$2:$B$210,C131)),2),"")</x:f>
        <x:v>345.1</x:v>
      </x:c>
      <x:c r="J131" s="12"/>
      <x:c r="K131" s="31"/>
    </x:row>
    <x:row r="132" ht="21.950000762939453" customHeight="1">
      <x:c r="A132" s="15" t="s">
        <x:v>241</x:v>
      </x:c>
      <x:c r="B132" s="12" t="s">
        <x:v>128</x:v>
      </x:c>
      <x:c r="C132" s="12" t="s">
        <x:v>101</x:v>
      </x:c>
      <x:c r="D132" s="12" t="s">
        <x:v>120</x:v>
      </x:c>
      <x:c r="E132" s="12"/>
      <x:c r="F132" s="12" t="s">
        <x:v>16</x:v>
      </x:c>
      <x:c r="G132" s="18"/>
      <x:c r="H132" s="21" t="n">
        <x:f>IF(SUMIFS('İndirimler'!$C$2:$C$210,'İndirimler'!$A$2:$A$210,B132,'İndirimler'!$B$2:$B$210,C132)&gt;0,ROUND(G132*(1-SUMIFS('İndirimler'!$C$2:$C$210,'İndirimler'!$A$2:$A$210,B132,'İndirimler'!$B$2:$B$210,C132)),2),"")</x:f>
        <x:v>0</x:v>
      </x:c>
      <x:c r="I132" s="24" t="n">
        <x:f>IF(SUMIFS('İndirimler'!$D$2:$D$210,'İndirimler'!$A$2:$A$210,B132,'İndirimler'!$B$2:$B$210,C132)&gt;0,ROUND(G132*(1-SUMIFS('İndirimler'!$D$2:$D$210,'İndirimler'!$A$2:$A$210,B132,'İndirimler'!$B$2:$B$210,C132)),2),"")</x:f>
        <x:v>0</x:v>
      </x:c>
      <x:c r="J132" s="12"/>
      <x:c r="K132" s="31"/>
    </x:row>
    <x:row r="133" ht="21.950000762939453" customHeight="1">
      <x:c r="A133" s="15" t="s">
        <x:v>242</x:v>
      </x:c>
      <x:c r="B133" s="12" t="s">
        <x:v>134</x:v>
      </x:c>
      <x:c r="C133" s="12" t="s">
        <x:v>101</x:v>
      </x:c>
      <x:c r="D133" s="12" t="s">
        <x:v>120</x:v>
      </x:c>
      <x:c r="E133" s="12"/>
      <x:c r="F133" s="12" t="s">
        <x:v>16</x:v>
      </x:c>
      <x:c r="G133" s="18"/>
      <x:c r="H133" s="21" t="n">
        <x:f>IF(SUMIFS('İndirimler'!$C$2:$C$210,'İndirimler'!$A$2:$A$210,B133,'İndirimler'!$B$2:$B$210,C133)&gt;0,ROUND(G133*(1-SUMIFS('İndirimler'!$C$2:$C$210,'İndirimler'!$A$2:$A$210,B133,'İndirimler'!$B$2:$B$210,C133)),2),"")</x:f>
        <x:v>0</x:v>
      </x:c>
      <x:c r="I133" s="24" t="n">
        <x:f>IF(SUMIFS('İndirimler'!$D$2:$D$210,'İndirimler'!$A$2:$A$210,B133,'İndirimler'!$B$2:$B$210,C133)&gt;0,ROUND(G133*(1-SUMIFS('İndirimler'!$D$2:$D$210,'İndirimler'!$A$2:$A$210,B133,'İndirimler'!$B$2:$B$210,C133)),2),"")</x:f>
        <x:v>0</x:v>
      </x:c>
      <x:c r="J133" s="12"/>
      <x:c r="K133" s="31"/>
    </x:row>
    <x:row r="134" ht="21.950000762939453" customHeight="1">
      <x:c r="A134" s="15" t="s">
        <x:v>243</x:v>
      </x:c>
      <x:c r="B134" s="12" t="s">
        <x:v>38</x:v>
      </x:c>
      <x:c r="C134" s="12" t="s">
        <x:v>101</x:v>
      </x:c>
      <x:c r="D134" s="12" t="s">
        <x:v>120</x:v>
      </x:c>
      <x:c r="E134" s="12"/>
      <x:c r="F134" s="12" t="s">
        <x:v>16</x:v>
      </x:c>
      <x:c r="G134" s="18"/>
      <x:c r="H134" s="21" t="n">
        <x:f>IF(SUMIFS('İndirimler'!$C$2:$C$210,'İndirimler'!$A$2:$A$210,B134,'İndirimler'!$B$2:$B$210,C134)&gt;0,ROUND(G134*(1-SUMIFS('İndirimler'!$C$2:$C$210,'İndirimler'!$A$2:$A$210,B134,'İndirimler'!$B$2:$B$210,C134)),2),"")</x:f>
        <x:v>0</x:v>
      </x:c>
      <x:c r="I134" s="24" t="n">
        <x:f>IF(SUMIFS('İndirimler'!$D$2:$D$210,'İndirimler'!$A$2:$A$210,B134,'İndirimler'!$B$2:$B$210,C134)&gt;0,ROUND(G134*(1-SUMIFS('İndirimler'!$D$2:$D$210,'İndirimler'!$A$2:$A$210,B134,'İndirimler'!$B$2:$B$210,C134)),2),"")</x:f>
        <x:v>0</x:v>
      </x:c>
      <x:c r="J134" s="12"/>
      <x:c r="K134" s="31"/>
    </x:row>
    <x:row r="135" ht="21.950000762939453" customHeight="1">
      <x:c r="A135" s="15" t="s">
        <x:v>244</x:v>
      </x:c>
      <x:c r="B135" s="12" t="s">
        <x:v>72</x:v>
      </x:c>
      <x:c r="C135" s="12" t="s">
        <x:v>101</x:v>
      </x:c>
      <x:c r="D135" s="12" t="s">
        <x:v>120</x:v>
      </x:c>
      <x:c r="E135" s="12"/>
      <x:c r="F135" s="12" t="s">
        <x:v>73</x:v>
      </x:c>
      <x:c r="G135" s="18"/>
      <x:c r="H135" s="21" t="n">
        <x:f>IF(SUMIFS('İndirimler'!$C$2:$C$210,'İndirimler'!$A$2:$A$210,B135,'İndirimler'!$B$2:$B$210,C135)&gt;0,ROUND(G135*(1-SUMIFS('İndirimler'!$C$2:$C$210,'İndirimler'!$A$2:$A$210,B135,'İndirimler'!$B$2:$B$210,C135)),2),"")</x:f>
        <x:v>0</x:v>
      </x:c>
      <x:c r="I135" s="24" t="n">
        <x:f>IF(SUMIFS('İndirimler'!$D$2:$D$210,'İndirimler'!$A$2:$A$210,B135,'İndirimler'!$B$2:$B$210,C135)&gt;0,ROUND(G135*(1-SUMIFS('İndirimler'!$D$2:$D$210,'İndirimler'!$A$2:$A$210,B135,'İndirimler'!$B$2:$B$210,C135)),2),"")</x:f>
        <x:v>0</x:v>
      </x:c>
      <x:c r="J135" s="12"/>
      <x:c r="K135" s="31"/>
    </x:row>
    <x:row r="136" ht="21.950000762939453" customHeight="1">
      <x:c r="A136" s="15" t="s">
        <x:v>245</x:v>
      </x:c>
      <x:c r="B136" s="12" t="s">
        <x:v>119</x:v>
      </x:c>
      <x:c r="C136" s="12" t="s">
        <x:v>246</x:v>
      </x:c>
      <x:c r="D136" s="12" t="s">
        <x:v>120</x:v>
      </x:c>
      <x:c r="E136" s="12"/>
      <x:c r="F136" s="12" t="s">
        <x:v>35</x:v>
      </x:c>
      <x:c r="G136" s="18">
        <x:v>625</x:v>
      </x:c>
      <x:c r="H136" s="21" t="n">
        <x:f>IF(SUMIFS('İndirimler'!$C$2:$C$210,'İndirimler'!$A$2:$A$210,B136,'İndirimler'!$B$2:$B$210,C136)&gt;0,ROUND(G136*(1-SUMIFS('İndirimler'!$C$2:$C$210,'İndirimler'!$A$2:$A$210,B136,'İndirimler'!$B$2:$B$210,C136)),2),"")</x:f>
        <x:v>531.25</x:v>
      </x:c>
      <x:c r="I136" s="24" t="n">
        <x:f>IF(SUMIFS('İndirimler'!$D$2:$D$210,'İndirimler'!$A$2:$A$210,B136,'İndirimler'!$B$2:$B$210,C136)&gt;0,ROUND(G136*(1-SUMIFS('İndirimler'!$D$2:$D$210,'İndirimler'!$A$2:$A$210,B136,'İndirimler'!$B$2:$B$210,C136)),2),"")</x:f>
        <x:v>437.5</x:v>
      </x:c>
      <x:c r="J136" s="12"/>
      <x:c r="K136" s="31"/>
    </x:row>
    <x:row r="137" ht="21.950000762939453" customHeight="1">
      <x:c r="A137" s="15" t="s">
        <x:v>247</x:v>
      </x:c>
      <x:c r="B137" s="12" t="s">
        <x:v>25</x:v>
      </x:c>
      <x:c r="C137" s="12" t="s">
        <x:v>246</x:v>
      </x:c>
      <x:c r="D137" s="12" t="s">
        <x:v>120</x:v>
      </x:c>
      <x:c r="E137" s="12" t="s">
        <x:v>126</x:v>
      </x:c>
      <x:c r="F137" s="12" t="s">
        <x:v>35</x:v>
      </x:c>
      <x:c r="G137" s="18">
        <x:v>719</x:v>
      </x:c>
      <x:c r="H137" s="21" t="n">
        <x:f>IF(SUMIFS('İndirimler'!$C$2:$C$210,'İndirimler'!$A$2:$A$210,B137,'İndirimler'!$B$2:$B$210,C137)&gt;0,ROUND(G137*(1-SUMIFS('İndirimler'!$C$2:$C$210,'İndirimler'!$A$2:$A$210,B137,'İndirimler'!$B$2:$B$210,C137)),2),"")</x:f>
        <x:v>611.15</x:v>
      </x:c>
      <x:c r="I137" s="24" t="n">
        <x:f>IF(SUMIFS('İndirimler'!$D$2:$D$210,'İndirimler'!$A$2:$A$210,B137,'İndirimler'!$B$2:$B$210,C137)&gt;0,ROUND(G137*(1-SUMIFS('İndirimler'!$D$2:$D$210,'İndirimler'!$A$2:$A$210,B137,'İndirimler'!$B$2:$B$210,C137)),2),"")</x:f>
        <x:v>503.3</x:v>
      </x:c>
      <x:c r="J137" s="12"/>
      <x:c r="K137" s="31"/>
    </x:row>
    <x:row r="138" ht="21.950000762939453" customHeight="1">
      <x:c r="A138" s="15" t="s">
        <x:v>248</x:v>
      </x:c>
      <x:c r="B138" s="12" t="s">
        <x:v>128</x:v>
      </x:c>
      <x:c r="C138" s="12" t="s">
        <x:v>246</x:v>
      </x:c>
      <x:c r="D138" s="12" t="s">
        <x:v>120</x:v>
      </x:c>
      <x:c r="E138" s="12" t="s">
        <x:v>129</x:v>
      </x:c>
      <x:c r="F138" s="12" t="s">
        <x:v>35</x:v>
      </x:c>
      <x:c r="G138" s="18">
        <x:v>779</x:v>
      </x:c>
      <x:c r="H138" s="21" t="n">
        <x:f>IF(SUMIFS('İndirimler'!$C$2:$C$210,'İndirimler'!$A$2:$A$210,B138,'İndirimler'!$B$2:$B$210,C138)&gt;0,ROUND(G138*(1-SUMIFS('İndirimler'!$C$2:$C$210,'İndirimler'!$A$2:$A$210,B138,'İndirimler'!$B$2:$B$210,C138)),2),"")</x:f>
        <x:v>662.15</x:v>
      </x:c>
      <x:c r="I138" s="24" t="n">
        <x:f>IF(SUMIFS('İndirimler'!$D$2:$D$210,'İndirimler'!$A$2:$A$210,B138,'İndirimler'!$B$2:$B$210,C138)&gt;0,ROUND(G138*(1-SUMIFS('İndirimler'!$D$2:$D$210,'İndirimler'!$A$2:$A$210,B138,'İndirimler'!$B$2:$B$210,C138)),2),"")</x:f>
        <x:v>545.3</x:v>
      </x:c>
      <x:c r="J138" s="12"/>
      <x:c r="K138" s="31"/>
    </x:row>
    <x:row r="139" ht="21.950000762939453" customHeight="1">
      <x:c r="A139" s="15" t="s">
        <x:v>249</x:v>
      </x:c>
      <x:c r="B139" s="12" t="s">
        <x:v>134</x:v>
      </x:c>
      <x:c r="C139" s="12" t="s">
        <x:v>246</x:v>
      </x:c>
      <x:c r="D139" s="12" t="s">
        <x:v>120</x:v>
      </x:c>
      <x:c r="E139" s="12"/>
      <x:c r="F139" s="12" t="s">
        <x:v>35</x:v>
      </x:c>
      <x:c r="G139" s="18">
        <x:v>539</x:v>
      </x:c>
      <x:c r="H139" s="21" t="n">
        <x:f>IF(SUMIFS('İndirimler'!$C$2:$C$210,'İndirimler'!$A$2:$A$210,B139,'İndirimler'!$B$2:$B$210,C139)&gt;0,ROUND(G139*(1-SUMIFS('İndirimler'!$C$2:$C$210,'İndirimler'!$A$2:$A$210,B139,'İndirimler'!$B$2:$B$210,C139)),2),"")</x:f>
        <x:v>458.15</x:v>
      </x:c>
      <x:c r="I139" s="24" t="n">
        <x:f>IF(SUMIFS('İndirimler'!$D$2:$D$210,'İndirimler'!$A$2:$A$210,B139,'İndirimler'!$B$2:$B$210,C139)&gt;0,ROUND(G139*(1-SUMIFS('İndirimler'!$D$2:$D$210,'İndirimler'!$A$2:$A$210,B139,'İndirimler'!$B$2:$B$210,C139)),2),"")</x:f>
        <x:v>377.3</x:v>
      </x:c>
      <x:c r="J139" s="12"/>
      <x:c r="K139" s="31"/>
    </x:row>
    <x:row r="140" ht="21.950000762939453" customHeight="1">
      <x:c r="A140" s="15" t="s">
        <x:v>250</x:v>
      </x:c>
      <x:c r="B140" s="12" t="s">
        <x:v>38</x:v>
      </x:c>
      <x:c r="C140" s="12" t="s">
        <x:v>246</x:v>
      </x:c>
      <x:c r="D140" s="12" t="s">
        <x:v>120</x:v>
      </x:c>
      <x:c r="E140" s="12" t="s">
        <x:v>251</x:v>
      </x:c>
      <x:c r="F140" s="12" t="s">
        <x:v>35</x:v>
      </x:c>
      <x:c r="G140" s="18">
        <x:v>779</x:v>
      </x:c>
      <x:c r="H140" s="21" t="n">
        <x:f>IF(SUMIFS('İndirimler'!$C$2:$C$210,'İndirimler'!$A$2:$A$210,B140,'İndirimler'!$B$2:$B$210,C140)&gt;0,ROUND(G140*(1-SUMIFS('İndirimler'!$C$2:$C$210,'İndirimler'!$A$2:$A$210,B140,'İndirimler'!$B$2:$B$210,C140)),2),"")</x:f>
        <x:v>662.15</x:v>
      </x:c>
      <x:c r="I140" s="24" t="n">
        <x:f>IF(SUMIFS('İndirimler'!$D$2:$D$210,'İndirimler'!$A$2:$A$210,B140,'İndirimler'!$B$2:$B$210,C140)&gt;0,ROUND(G140*(1-SUMIFS('İndirimler'!$D$2:$D$210,'İndirimler'!$A$2:$A$210,B140,'İndirimler'!$B$2:$B$210,C140)),2),"")</x:f>
        <x:v>545.3</x:v>
      </x:c>
      <x:c r="J140" s="12" t="s">
        <x:v>252</x:v>
      </x:c>
      <x:c r="K140" s="31"/>
    </x:row>
    <x:row r="141" ht="21.950000762939453" customHeight="1">
      <x:c r="A141" s="15" t="s">
        <x:v>253</x:v>
      </x:c>
      <x:c r="B141" s="12" t="s">
        <x:v>38</x:v>
      </x:c>
      <x:c r="C141" s="12" t="s">
        <x:v>246</x:v>
      </x:c>
      <x:c r="D141" s="12" t="s">
        <x:v>120</x:v>
      </x:c>
      <x:c r="E141" s="12" t="s">
        <x:v>254</x:v>
      </x:c>
      <x:c r="F141" s="12" t="s">
        <x:v>35</x:v>
      </x:c>
      <x:c r="G141" s="18">
        <x:v>899</x:v>
      </x:c>
      <x:c r="H141" s="21" t="n">
        <x:f>IF(SUMIFS('İndirimler'!$C$2:$C$210,'İndirimler'!$A$2:$A$210,B141,'İndirimler'!$B$2:$B$210,C141)&gt;0,ROUND(G141*(1-SUMIFS('İndirimler'!$C$2:$C$210,'İndirimler'!$A$2:$A$210,B141,'İndirimler'!$B$2:$B$210,C141)),2),"")</x:f>
        <x:v>764.15</x:v>
      </x:c>
      <x:c r="I141" s="24" t="n">
        <x:f>IF(SUMIFS('İndirimler'!$D$2:$D$210,'İndirimler'!$A$2:$A$210,B141,'İndirimler'!$B$2:$B$210,C141)&gt;0,ROUND(G141*(1-SUMIFS('İndirimler'!$D$2:$D$210,'İndirimler'!$A$2:$A$210,B141,'İndirimler'!$B$2:$B$210,C141)),2),"")</x:f>
        <x:v>629.3</x:v>
      </x:c>
      <x:c r="J141" s="12" t="s">
        <x:v>255</x:v>
      </x:c>
      <x:c r="K141" s="31"/>
    </x:row>
    <x:row r="142" ht="21.950000762939453" customHeight="1">
      <x:c r="A142" s="15" t="s">
        <x:v>256</x:v>
      </x:c>
      <x:c r="B142" s="12" t="s">
        <x:v>138</x:v>
      </x:c>
      <x:c r="C142" s="12" t="s">
        <x:v>246</x:v>
      </x:c>
      <x:c r="D142" s="12" t="s">
        <x:v>120</x:v>
      </x:c>
      <x:c r="E142" s="12" t="s">
        <x:v>139</x:v>
      </x:c>
      <x:c r="F142" s="12" t="s">
        <x:v>42</x:v>
      </x:c>
      <x:c r="G142" s="18">
        <x:v>550</x:v>
      </x:c>
      <x:c r="H142" s="21" t="n">
        <x:f>IF(SUMIFS('İndirimler'!$C$2:$C$210,'İndirimler'!$A$2:$A$210,B142,'İndirimler'!$B$2:$B$210,C142)&gt;0,ROUND(G142*(1-SUMIFS('İndirimler'!$C$2:$C$210,'İndirimler'!$A$2:$A$210,B142,'İndirimler'!$B$2:$B$210,C142)),2),"")</x:f>
        <x:v>467.5</x:v>
      </x:c>
      <x:c r="I142" s="24" t="n">
        <x:f>IF(SUMIFS('İndirimler'!$D$2:$D$210,'İndirimler'!$A$2:$A$210,B142,'İndirimler'!$B$2:$B$210,C142)&gt;0,ROUND(G142*(1-SUMIFS('İndirimler'!$D$2:$D$210,'İndirimler'!$A$2:$A$210,B142,'İndirimler'!$B$2:$B$210,C142)),2),"")</x:f>
        <x:v>385</x:v>
      </x:c>
      <x:c r="J142" s="12" t="s">
        <x:v>257</x:v>
      </x:c>
      <x:c r="K142" s="31"/>
    </x:row>
    <x:row r="143" ht="21.950000762939453" customHeight="1">
      <x:c r="A143" s="15" t="s">
        <x:v>258</x:v>
      </x:c>
      <x:c r="B143" s="12" t="s">
        <x:v>50</x:v>
      </x:c>
      <x:c r="C143" s="12" t="s">
        <x:v>246</x:v>
      </x:c>
      <x:c r="D143" s="12" t="s">
        <x:v>120</x:v>
      </x:c>
      <x:c r="E143" s="12" t="s">
        <x:v>151</x:v>
      </x:c>
      <x:c r="F143" s="12" t="s">
        <x:v>42</x:v>
      </x:c>
      <x:c r="G143" s="18">
        <x:v>681</x:v>
      </x:c>
      <x:c r="H143" s="21" t="n">
        <x:f>IF(SUMIFS('İndirimler'!$C$2:$C$210,'İndirimler'!$A$2:$A$210,B143,'İndirimler'!$B$2:$B$210,C143)&gt;0,ROUND(G143*(1-SUMIFS('İndirimler'!$C$2:$C$210,'İndirimler'!$A$2:$A$210,B143,'İndirimler'!$B$2:$B$210,C143)),2),"")</x:f>
        <x:v>578.85</x:v>
      </x:c>
      <x:c r="I143" s="24" t="n">
        <x:f>IF(SUMIFS('İndirimler'!$D$2:$D$210,'İndirimler'!$A$2:$A$210,B143,'İndirimler'!$B$2:$B$210,C143)&gt;0,ROUND(G143*(1-SUMIFS('İndirimler'!$D$2:$D$210,'İndirimler'!$A$2:$A$210,B143,'İndirimler'!$B$2:$B$210,C143)),2),"")</x:f>
        <x:v>476.7</x:v>
      </x:c>
      <x:c r="J143" s="12"/>
      <x:c r="K143" s="31"/>
    </x:row>
    <x:row r="144" ht="21.950000762939453" customHeight="1">
      <x:c r="A144" s="15" t="s">
        <x:v>259</x:v>
      </x:c>
      <x:c r="B144" s="12" t="s">
        <x:v>25</x:v>
      </x:c>
      <x:c r="C144" s="12" t="s">
        <x:v>13</x:v>
      </x:c>
      <x:c r="D144" s="12" t="s">
        <x:v>120</x:v>
      </x:c>
      <x:c r="E144" s="12" t="s">
        <x:v>126</x:v>
      </x:c>
      <x:c r="F144" s="12" t="s">
        <x:v>35</x:v>
      </x:c>
      <x:c r="G144" s="18">
        <x:v>999</x:v>
      </x:c>
      <x:c r="H144" s="21" t="n">
        <x:f>IF(SUMIFS('İndirimler'!$C$2:$C$210,'İndirimler'!$A$2:$A$210,B144,'İndirimler'!$B$2:$B$210,C144)&gt;0,ROUND(G144*(1-SUMIFS('İndirimler'!$C$2:$C$210,'İndirimler'!$A$2:$A$210,B144,'İndirimler'!$B$2:$B$210,C144)),2),"")</x:f>
        <x:v>849.15</x:v>
      </x:c>
      <x:c r="I144" s="24" t="n">
        <x:f>IF(SUMIFS('İndirimler'!$D$2:$D$210,'İndirimler'!$A$2:$A$210,B144,'İndirimler'!$B$2:$B$210,C144)&gt;0,ROUND(G144*(1-SUMIFS('İndirimler'!$D$2:$D$210,'İndirimler'!$A$2:$A$210,B144,'İndirimler'!$B$2:$B$210,C144)),2),"")</x:f>
        <x:v>699.3</x:v>
      </x:c>
      <x:c r="J144" s="12"/>
      <x:c r="K144" s="31"/>
    </x:row>
    <x:row r="145" ht="21.950000762939453" customHeight="1">
      <x:c r="A145" s="15" t="s">
        <x:v>260</x:v>
      </x:c>
      <x:c r="B145" s="12" t="s">
        <x:v>119</x:v>
      </x:c>
      <x:c r="C145" s="12" t="s">
        <x:v>13</x:v>
      </x:c>
      <x:c r="D145" s="12" t="s">
        <x:v>120</x:v>
      </x:c>
      <x:c r="E145" s="12" t="s">
        <x:v>232</x:v>
      </x:c>
      <x:c r="F145" s="12" t="s">
        <x:v>16</x:v>
      </x:c>
      <x:c r="G145" s="18"/>
      <x:c r="H145" s="21" t="n">
        <x:f>IF(SUMIFS('İndirimler'!$C$2:$C$210,'İndirimler'!$A$2:$A$210,B145,'İndirimler'!$B$2:$B$210,C145)&gt;0,ROUND(G145*(1-SUMIFS('İndirimler'!$C$2:$C$210,'İndirimler'!$A$2:$A$210,B145,'İndirimler'!$B$2:$B$210,C145)),2),"")</x:f>
        <x:v>0</x:v>
      </x:c>
      <x:c r="I145" s="24" t="n">
        <x:f>IF(SUMIFS('İndirimler'!$D$2:$D$210,'İndirimler'!$A$2:$A$210,B145,'İndirimler'!$B$2:$B$210,C145)&gt;0,ROUND(G145*(1-SUMIFS('İndirimler'!$D$2:$D$210,'İndirimler'!$A$2:$A$210,B145,'İndirimler'!$B$2:$B$210,C145)),2),"")</x:f>
        <x:v>0</x:v>
      </x:c>
      <x:c r="J145" s="12"/>
      <x:c r="K145" s="31"/>
    </x:row>
    <x:row r="146" ht="21.950000762939453" customHeight="1">
      <x:c r="A146" s="15" t="s">
        <x:v>261</x:v>
      </x:c>
      <x:c r="B146" s="12" t="s">
        <x:v>119</x:v>
      </x:c>
      <x:c r="C146" s="12" t="s">
        <x:v>13</x:v>
      </x:c>
      <x:c r="D146" s="12" t="s">
        <x:v>120</x:v>
      </x:c>
      <x:c r="E146" s="12" t="s">
        <x:v>262</x:v>
      </x:c>
      <x:c r="F146" s="12" t="s">
        <x:v>16</x:v>
      </x:c>
      <x:c r="G146" s="18">
        <x:v>619</x:v>
      </x:c>
      <x:c r="H146" s="21" t="n">
        <x:f>IF(SUMIFS('İndirimler'!$C$2:$C$210,'İndirimler'!$A$2:$A$210,B146,'İndirimler'!$B$2:$B$210,C146)&gt;0,ROUND(G146*(1-SUMIFS('İndirimler'!$C$2:$C$210,'İndirimler'!$A$2:$A$210,B146,'İndirimler'!$B$2:$B$210,C146)),2),"")</x:f>
        <x:v>526.15</x:v>
      </x:c>
      <x:c r="I146" s="24" t="n">
        <x:f>IF(SUMIFS('İndirimler'!$D$2:$D$210,'İndirimler'!$A$2:$A$210,B146,'İndirimler'!$B$2:$B$210,C146)&gt;0,ROUND(G146*(1-SUMIFS('İndirimler'!$D$2:$D$210,'İndirimler'!$A$2:$A$210,B146,'İndirimler'!$B$2:$B$210,C146)),2),"")</x:f>
        <x:v>433.3</x:v>
      </x:c>
      <x:c r="J146" s="12"/>
      <x:c r="K146" s="31"/>
    </x:row>
    <x:row r="147" ht="21.950000762939453" customHeight="1">
      <x:c r="A147" s="15" t="s">
        <x:v>263</x:v>
      </x:c>
      <x:c r="B147" s="12" t="s">
        <x:v>123</x:v>
      </x:c>
      <x:c r="C147" s="12" t="s">
        <x:v>13</x:v>
      </x:c>
      <x:c r="D147" s="12" t="s">
        <x:v>120</x:v>
      </x:c>
      <x:c r="E147" s="12" t="s">
        <x:v>264</x:v>
      </x:c>
      <x:c r="F147" s="12" t="s">
        <x:v>16</x:v>
      </x:c>
      <x:c r="G147" s="18"/>
      <x:c r="H147" s="21" t="n">
        <x:f>IF(SUMIFS('İndirimler'!$C$2:$C$210,'İndirimler'!$A$2:$A$210,B147,'İndirimler'!$B$2:$B$210,C147)&gt;0,ROUND(G147*(1-SUMIFS('İndirimler'!$C$2:$C$210,'İndirimler'!$A$2:$A$210,B147,'İndirimler'!$B$2:$B$210,C147)),2),"")</x:f>
        <x:v>0</x:v>
      </x:c>
      <x:c r="I147" s="24" t="n">
        <x:f>IF(SUMIFS('İndirimler'!$D$2:$D$210,'İndirimler'!$A$2:$A$210,B147,'İndirimler'!$B$2:$B$210,C147)&gt;0,ROUND(G147*(1-SUMIFS('İndirimler'!$D$2:$D$210,'İndirimler'!$A$2:$A$210,B147,'İndirimler'!$B$2:$B$210,C147)),2),"")</x:f>
        <x:v>0</x:v>
      </x:c>
      <x:c r="J147" s="12"/>
      <x:c r="K147" s="31"/>
    </x:row>
    <x:row r="148" ht="21.950000762939453" customHeight="1">
      <x:c r="A148" s="15" t="s">
        <x:v>265</x:v>
      </x:c>
      <x:c r="B148" s="12" t="s">
        <x:v>123</x:v>
      </x:c>
      <x:c r="C148" s="12" t="s">
        <x:v>13</x:v>
      </x:c>
      <x:c r="D148" s="12" t="s">
        <x:v>120</x:v>
      </x:c>
      <x:c r="E148" s="12" t="s">
        <x:v>124</x:v>
      </x:c>
      <x:c r="F148" s="12" t="s">
        <x:v>16</x:v>
      </x:c>
      <x:c r="G148" s="18">
        <x:v>469</x:v>
      </x:c>
      <x:c r="H148" s="21" t="n">
        <x:f>IF(SUMIFS('İndirimler'!$C$2:$C$210,'İndirimler'!$A$2:$A$210,B148,'İndirimler'!$B$2:$B$210,C148)&gt;0,ROUND(G148*(1-SUMIFS('İndirimler'!$C$2:$C$210,'İndirimler'!$A$2:$A$210,B148,'İndirimler'!$B$2:$B$210,C148)),2),"")</x:f>
        <x:v>398.65</x:v>
      </x:c>
      <x:c r="I148" s="24" t="n">
        <x:f>IF(SUMIFS('İndirimler'!$D$2:$D$210,'İndirimler'!$A$2:$A$210,B148,'İndirimler'!$B$2:$B$210,C148)&gt;0,ROUND(G148*(1-SUMIFS('İndirimler'!$D$2:$D$210,'İndirimler'!$A$2:$A$210,B148,'İndirimler'!$B$2:$B$210,C148)),2),"")</x:f>
        <x:v>328.3</x:v>
      </x:c>
      <x:c r="J148" s="12"/>
      <x:c r="K148" s="31"/>
    </x:row>
    <x:row r="149" ht="21.950000762939453" customHeight="1">
      <x:c r="A149" s="15" t="s">
        <x:v>266</x:v>
      </x:c>
      <x:c r="B149" s="12" t="s">
        <x:v>138</x:v>
      </x:c>
      <x:c r="C149" s="12" t="s">
        <x:v>13</x:v>
      </x:c>
      <x:c r="D149" s="12" t="s">
        <x:v>120</x:v>
      </x:c>
      <x:c r="E149" s="12" t="s">
        <x:v>69</x:v>
      </x:c>
      <x:c r="F149" s="12" t="s">
        <x:v>16</x:v>
      </x:c>
      <x:c r="G149" s="18">
        <x:v>638</x:v>
      </x:c>
      <x:c r="H149" s="21" t="n">
        <x:f>IF(SUMIFS('İndirimler'!$C$2:$C$210,'İndirimler'!$A$2:$A$210,B149,'İndirimler'!$B$2:$B$210,C149)&gt;0,ROUND(G149*(1-SUMIFS('İndirimler'!$C$2:$C$210,'İndirimler'!$A$2:$A$210,B149,'İndirimler'!$B$2:$B$210,C149)),2),"")</x:f>
        <x:v>542.3</x:v>
      </x:c>
      <x:c r="I149" s="24" t="n">
        <x:f>IF(SUMIFS('İndirimler'!$D$2:$D$210,'İndirimler'!$A$2:$A$210,B149,'İndirimler'!$B$2:$B$210,C149)&gt;0,ROUND(G149*(1-SUMIFS('İndirimler'!$D$2:$D$210,'İndirimler'!$A$2:$A$210,B149,'İndirimler'!$B$2:$B$210,C149)),2),"")</x:f>
        <x:v>446.6</x:v>
      </x:c>
      <x:c r="J149" s="12"/>
      <x:c r="K149" s="31"/>
    </x:row>
    <x:row r="150" ht="21.950000762939453" customHeight="1">
      <x:c r="A150" s="15" t="s">
        <x:v>267</x:v>
      </x:c>
      <x:c r="B150" s="12" t="s">
        <x:v>18</x:v>
      </x:c>
      <x:c r="C150" s="12" t="s">
        <x:v>13</x:v>
      </x:c>
      <x:c r="D150" s="12" t="s">
        <x:v>120</x:v>
      </x:c>
      <x:c r="E150" s="12"/>
      <x:c r="F150" s="12" t="s">
        <x:v>16</x:v>
      </x:c>
      <x:c r="G150" s="18">
        <x:v>549</x:v>
      </x:c>
      <x:c r="H150" s="21" t="n">
        <x:f>IF(SUMIFS('İndirimler'!$C$2:$C$210,'İndirimler'!$A$2:$A$210,B150,'İndirimler'!$B$2:$B$210,C150)&gt;0,ROUND(G150*(1-SUMIFS('İndirimler'!$C$2:$C$210,'İndirimler'!$A$2:$A$210,B150,'İndirimler'!$B$2:$B$210,C150)),2),"")</x:f>
        <x:v>466.65</x:v>
      </x:c>
      <x:c r="I150" s="24" t="n">
        <x:f>IF(SUMIFS('İndirimler'!$D$2:$D$210,'İndirimler'!$A$2:$A$210,B150,'İndirimler'!$B$2:$B$210,C150)&gt;0,ROUND(G150*(1-SUMIFS('İndirimler'!$D$2:$D$210,'İndirimler'!$A$2:$A$210,B150,'İndirimler'!$B$2:$B$210,C150)),2),"")</x:f>
        <x:v>384.3</x:v>
      </x:c>
      <x:c r="J150" s="12" t="s">
        <x:v>268</x:v>
      </x:c>
      <x:c r="K150" s="31"/>
    </x:row>
    <x:row r="151" ht="21.950000762939453" customHeight="1">
      <x:c r="A151" s="15" t="s">
        <x:v>269</x:v>
      </x:c>
      <x:c r="B151" s="12" t="s">
        <x:v>166</x:v>
      </x:c>
      <x:c r="C151" s="12" t="s">
        <x:v>13</x:v>
      </x:c>
      <x:c r="D151" s="12" t="s">
        <x:v>120</x:v>
      </x:c>
      <x:c r="E151" s="12" t="s">
        <x:v>270</x:v>
      </x:c>
      <x:c r="F151" s="12" t="s">
        <x:v>16</x:v>
      </x:c>
      <x:c r="G151" s="18"/>
      <x:c r="H151" s="21" t="n">
        <x:f>IF(SUMIFS('İndirimler'!$C$2:$C$210,'İndirimler'!$A$2:$A$210,B151,'İndirimler'!$B$2:$B$210,C151)&gt;0,ROUND(G151*(1-SUMIFS('İndirimler'!$C$2:$C$210,'İndirimler'!$A$2:$A$210,B151,'İndirimler'!$B$2:$B$210,C151)),2),"")</x:f>
        <x:v>0</x:v>
      </x:c>
      <x:c r="I151" s="24" t="n">
        <x:f>IF(SUMIFS('İndirimler'!$D$2:$D$210,'İndirimler'!$A$2:$A$210,B151,'İndirimler'!$B$2:$B$210,C151)&gt;0,ROUND(G151*(1-SUMIFS('İndirimler'!$D$2:$D$210,'İndirimler'!$A$2:$A$210,B151,'İndirimler'!$B$2:$B$210,C151)),2),"")</x:f>
        <x:v>0</x:v>
      </x:c>
      <x:c r="J151" s="12"/>
      <x:c r="K151" s="31"/>
    </x:row>
    <x:row r="152" ht="21.950000762939453" customHeight="1">
      <x:c r="A152" s="15" t="s">
        <x:v>271</x:v>
      </x:c>
      <x:c r="B152" s="12" t="s">
        <x:v>166</x:v>
      </x:c>
      <x:c r="C152" s="12" t="s">
        <x:v>13</x:v>
      </x:c>
      <x:c r="D152" s="12" t="s">
        <x:v>120</x:v>
      </x:c>
      <x:c r="E152" s="12" t="s">
        <x:v>272</x:v>
      </x:c>
      <x:c r="F152" s="12" t="s">
        <x:v>16</x:v>
      </x:c>
      <x:c r="G152" s="18"/>
      <x:c r="H152" s="21" t="n">
        <x:f>IF(SUMIFS('İndirimler'!$C$2:$C$210,'İndirimler'!$A$2:$A$210,B152,'İndirimler'!$B$2:$B$210,C152)&gt;0,ROUND(G152*(1-SUMIFS('İndirimler'!$C$2:$C$210,'İndirimler'!$A$2:$A$210,B152,'İndirimler'!$B$2:$B$210,C152)),2),"")</x:f>
        <x:v>0</x:v>
      </x:c>
      <x:c r="I152" s="24" t="n">
        <x:f>IF(SUMIFS('İndirimler'!$D$2:$D$210,'İndirimler'!$A$2:$A$210,B152,'İndirimler'!$B$2:$B$210,C152)&gt;0,ROUND(G152*(1-SUMIFS('İndirimler'!$D$2:$D$210,'İndirimler'!$A$2:$A$210,B152,'İndirimler'!$B$2:$B$210,C152)),2),"")</x:f>
        <x:v>0</x:v>
      </x:c>
      <x:c r="J152" s="12"/>
      <x:c r="K152" s="31"/>
    </x:row>
    <x:row r="153" ht="21.950000762939453" customHeight="1">
      <x:c r="A153" s="15" t="s">
        <x:v>273</x:v>
      </x:c>
      <x:c r="B153" s="12" t="s">
        <x:v>23</x:v>
      </x:c>
      <x:c r="C153" s="12" t="s">
        <x:v>13</x:v>
      </x:c>
      <x:c r="D153" s="12" t="s">
        <x:v>120</x:v>
      </x:c>
      <x:c r="E153" s="12" t="s">
        <x:v>69</x:v>
      </x:c>
      <x:c r="F153" s="12" t="s">
        <x:v>16</x:v>
      </x:c>
      <x:c r="G153" s="18">
        <x:v>495</x:v>
      </x:c>
      <x:c r="H153" s="21" t="n">
        <x:f>IF(SUMIFS('İndirimler'!$C$2:$C$210,'İndirimler'!$A$2:$A$210,B153,'İndirimler'!$B$2:$B$210,C153)&gt;0,ROUND(G153*(1-SUMIFS('İndirimler'!$C$2:$C$210,'İndirimler'!$A$2:$A$210,B153,'İndirimler'!$B$2:$B$210,C153)),2),"")</x:f>
        <x:v>420.75</x:v>
      </x:c>
      <x:c r="I153" s="24" t="n">
        <x:f>IF(SUMIFS('İndirimler'!$D$2:$D$210,'İndirimler'!$A$2:$A$210,B153,'İndirimler'!$B$2:$B$210,C153)&gt;0,ROUND(G153*(1-SUMIFS('İndirimler'!$D$2:$D$210,'İndirimler'!$A$2:$A$210,B153,'İndirimler'!$B$2:$B$210,C153)),2),"")</x:f>
        <x:v>346.5</x:v>
      </x:c>
      <x:c r="J153" s="12"/>
      <x:c r="K153" s="31"/>
    </x:row>
    <x:row r="154" ht="21.950000762939453" customHeight="1">
      <x:c r="A154" s="15" t="s">
        <x:v>274</x:v>
      </x:c>
      <x:c r="B154" s="12" t="s">
        <x:v>25</x:v>
      </x:c>
      <x:c r="C154" s="12" t="s">
        <x:v>13</x:v>
      </x:c>
      <x:c r="D154" s="12" t="s">
        <x:v>120</x:v>
      </x:c>
      <x:c r="E154" s="12"/>
      <x:c r="F154" s="12" t="s">
        <x:v>16</x:v>
      </x:c>
      <x:c r="G154" s="18"/>
      <x:c r="H154" s="21" t="n">
        <x:f>IF(SUMIFS('İndirimler'!$C$2:$C$210,'İndirimler'!$A$2:$A$210,B154,'İndirimler'!$B$2:$B$210,C154)&gt;0,ROUND(G154*(1-SUMIFS('İndirimler'!$C$2:$C$210,'İndirimler'!$A$2:$A$210,B154,'İndirimler'!$B$2:$B$210,C154)),2),"")</x:f>
        <x:v>0</x:v>
      </x:c>
      <x:c r="I154" s="24" t="n">
        <x:f>IF(SUMIFS('İndirimler'!$D$2:$D$210,'İndirimler'!$A$2:$A$210,B154,'İndirimler'!$B$2:$B$210,C154)&gt;0,ROUND(G154*(1-SUMIFS('İndirimler'!$D$2:$D$210,'İndirimler'!$A$2:$A$210,B154,'İndirimler'!$B$2:$B$210,C154)),2),"")</x:f>
        <x:v>0</x:v>
      </x:c>
      <x:c r="J154" s="12"/>
      <x:c r="K154" s="31"/>
    </x:row>
    <x:row r="155" ht="21.950000762939453" customHeight="1">
      <x:c r="A155" s="15" t="s">
        <x:v>275</x:v>
      </x:c>
      <x:c r="B155" s="12" t="s">
        <x:v>25</x:v>
      </x:c>
      <x:c r="C155" s="12" t="s">
        <x:v>13</x:v>
      </x:c>
      <x:c r="D155" s="12" t="s">
        <x:v>120</x:v>
      </x:c>
      <x:c r="E155" s="12"/>
      <x:c r="F155" s="12" t="s">
        <x:v>16</x:v>
      </x:c>
      <x:c r="G155" s="18">
        <x:v>599</x:v>
      </x:c>
      <x:c r="H155" s="21" t="n">
        <x:f>IF(SUMIFS('İndirimler'!$C$2:$C$210,'İndirimler'!$A$2:$A$210,B155,'İndirimler'!$B$2:$B$210,C155)&gt;0,ROUND(G155*(1-SUMIFS('İndirimler'!$C$2:$C$210,'İndirimler'!$A$2:$A$210,B155,'İndirimler'!$B$2:$B$210,C155)),2),"")</x:f>
        <x:v>509.15</x:v>
      </x:c>
      <x:c r="I155" s="24" t="n">
        <x:f>IF(SUMIFS('İndirimler'!$D$2:$D$210,'İndirimler'!$A$2:$A$210,B155,'İndirimler'!$B$2:$B$210,C155)&gt;0,ROUND(G155*(1-SUMIFS('İndirimler'!$D$2:$D$210,'İndirimler'!$A$2:$A$210,B155,'İndirimler'!$B$2:$B$210,C155)),2),"")</x:f>
        <x:v>419.3</x:v>
      </x:c>
      <x:c r="J155" s="12"/>
      <x:c r="K155" s="31"/>
    </x:row>
    <x:row r="156" ht="21.950000762939453" customHeight="1">
      <x:c r="A156" s="15" t="s">
        <x:v>276</x:v>
      </x:c>
      <x:c r="B156" s="12" t="s">
        <x:v>25</x:v>
      </x:c>
      <x:c r="C156" s="12" t="s">
        <x:v>13</x:v>
      </x:c>
      <x:c r="D156" s="12" t="s">
        <x:v>120</x:v>
      </x:c>
      <x:c r="E156" s="12" t="s">
        <x:v>277</x:v>
      </x:c>
      <x:c r="F156" s="12" t="s">
        <x:v>16</x:v>
      </x:c>
      <x:c r="G156" s="18"/>
      <x:c r="H156" s="21" t="n">
        <x:f>IF(SUMIFS('İndirimler'!$C$2:$C$210,'İndirimler'!$A$2:$A$210,B156,'İndirimler'!$B$2:$B$210,C156)&gt;0,ROUND(G156*(1-SUMIFS('İndirimler'!$C$2:$C$210,'İndirimler'!$A$2:$A$210,B156,'İndirimler'!$B$2:$B$210,C156)),2),"")</x:f>
        <x:v>0</x:v>
      </x:c>
      <x:c r="I156" s="24" t="n">
        <x:f>IF(SUMIFS('İndirimler'!$D$2:$D$210,'İndirimler'!$A$2:$A$210,B156,'İndirimler'!$B$2:$B$210,C156)&gt;0,ROUND(G156*(1-SUMIFS('İndirimler'!$D$2:$D$210,'İndirimler'!$A$2:$A$210,B156,'İndirimler'!$B$2:$B$210,C156)),2),"")</x:f>
        <x:v>0</x:v>
      </x:c>
      <x:c r="J156" s="12"/>
      <x:c r="K156" s="31"/>
    </x:row>
    <x:row r="157" ht="21.950000762939453" customHeight="1">
      <x:c r="A157" s="15" t="s">
        <x:v>278</x:v>
      </x:c>
      <x:c r="B157" s="12" t="s">
        <x:v>50</x:v>
      </x:c>
      <x:c r="C157" s="12" t="s">
        <x:v>13</x:v>
      </x:c>
      <x:c r="D157" s="12" t="s">
        <x:v>120</x:v>
      </x:c>
      <x:c r="E157" s="12" t="s">
        <x:v>69</x:v>
      </x:c>
      <x:c r="F157" s="12" t="s">
        <x:v>16</x:v>
      </x:c>
      <x:c r="G157" s="18">
        <x:v>622</x:v>
      </x:c>
      <x:c r="H157" s="21" t="n">
        <x:f>IF(SUMIFS('İndirimler'!$C$2:$C$210,'İndirimler'!$A$2:$A$210,B157,'İndirimler'!$B$2:$B$210,C157)&gt;0,ROUND(G157*(1-SUMIFS('İndirimler'!$C$2:$C$210,'İndirimler'!$A$2:$A$210,B157,'İndirimler'!$B$2:$B$210,C157)),2),"")</x:f>
        <x:v>528.7</x:v>
      </x:c>
      <x:c r="I157" s="24" t="n">
        <x:f>IF(SUMIFS('İndirimler'!$D$2:$D$210,'İndirimler'!$A$2:$A$210,B157,'İndirimler'!$B$2:$B$210,C157)&gt;0,ROUND(G157*(1-SUMIFS('İndirimler'!$D$2:$D$210,'İndirimler'!$A$2:$A$210,B157,'İndirimler'!$B$2:$B$210,C157)),2),"")</x:f>
        <x:v>435.4</x:v>
      </x:c>
      <x:c r="J157" s="12"/>
      <x:c r="K157" s="31"/>
    </x:row>
    <x:row r="158" ht="21.950000762939453" customHeight="1">
      <x:c r="A158" s="15" t="s">
        <x:v>279</x:v>
      </x:c>
      <x:c r="B158" s="12" t="s">
        <x:v>128</x:v>
      </x:c>
      <x:c r="C158" s="12" t="s">
        <x:v>13</x:v>
      </x:c>
      <x:c r="D158" s="12" t="s">
        <x:v>120</x:v>
      </x:c>
      <x:c r="E158" s="12"/>
      <x:c r="F158" s="12" t="s">
        <x:v>16</x:v>
      </x:c>
      <x:c r="G158" s="18">
        <x:v>599</x:v>
      </x:c>
      <x:c r="H158" s="21" t="n">
        <x:f>IF(SUMIFS('İndirimler'!$C$2:$C$210,'İndirimler'!$A$2:$A$210,B158,'İndirimler'!$B$2:$B$210,C158)&gt;0,ROUND(G158*(1-SUMIFS('İndirimler'!$C$2:$C$210,'İndirimler'!$A$2:$A$210,B158,'İndirimler'!$B$2:$B$210,C158)),2),"")</x:f>
        <x:v>509.15</x:v>
      </x:c>
      <x:c r="I158" s="24" t="n">
        <x:f>IF(SUMIFS('İndirimler'!$D$2:$D$210,'İndirimler'!$A$2:$A$210,B158,'İndirimler'!$B$2:$B$210,C158)&gt;0,ROUND(G158*(1-SUMIFS('İndirimler'!$D$2:$D$210,'İndirimler'!$A$2:$A$210,B158,'İndirimler'!$B$2:$B$210,C158)),2),"")</x:f>
        <x:v>419.3</x:v>
      </x:c>
      <x:c r="J158" s="12"/>
      <x:c r="K158" s="31"/>
    </x:row>
    <x:row r="159" ht="21.950000762939453" customHeight="1">
      <x:c r="A159" s="15" t="s">
        <x:v>280</x:v>
      </x:c>
      <x:c r="B159" s="12" t="s">
        <x:v>128</x:v>
      </x:c>
      <x:c r="C159" s="12" t="s">
        <x:v>13</x:v>
      </x:c>
      <x:c r="D159" s="12" t="s">
        <x:v>120</x:v>
      </x:c>
      <x:c r="E159" s="12"/>
      <x:c r="F159" s="12" t="s">
        <x:v>16</x:v>
      </x:c>
      <x:c r="G159" s="18"/>
      <x:c r="H159" s="21" t="n">
        <x:f>IF(SUMIFS('İndirimler'!$C$2:$C$210,'İndirimler'!$A$2:$A$210,B159,'İndirimler'!$B$2:$B$210,C159)&gt;0,ROUND(G159*(1-SUMIFS('İndirimler'!$C$2:$C$210,'İndirimler'!$A$2:$A$210,B159,'İndirimler'!$B$2:$B$210,C159)),2),"")</x:f>
        <x:v>0</x:v>
      </x:c>
      <x:c r="I159" s="24" t="n">
        <x:f>IF(SUMIFS('İndirimler'!$D$2:$D$210,'İndirimler'!$A$2:$A$210,B159,'İndirimler'!$B$2:$B$210,C159)&gt;0,ROUND(G159*(1-SUMIFS('İndirimler'!$D$2:$D$210,'İndirimler'!$A$2:$A$210,B159,'İndirimler'!$B$2:$B$210,C159)),2),"")</x:f>
        <x:v>0</x:v>
      </x:c>
      <x:c r="J159" s="12"/>
      <x:c r="K159" s="31"/>
    </x:row>
    <x:row r="160" ht="21.950000762939453" customHeight="1">
      <x:c r="A160" s="15" t="s">
        <x:v>281</x:v>
      </x:c>
      <x:c r="B160" s="12" t="s">
        <x:v>282</x:v>
      </x:c>
      <x:c r="C160" s="12" t="s">
        <x:v>13</x:v>
      </x:c>
      <x:c r="D160" s="12" t="s">
        <x:v>120</x:v>
      </x:c>
      <x:c r="E160" s="12"/>
      <x:c r="F160" s="12" t="s">
        <x:v>16</x:v>
      </x:c>
      <x:c r="G160" s="18">
        <x:v>499</x:v>
      </x:c>
      <x:c r="H160" s="21" t="n">
        <x:f>IF(SUMIFS('İndirimler'!$C$2:$C$210,'İndirimler'!$A$2:$A$210,B160,'İndirimler'!$B$2:$B$210,C160)&gt;0,ROUND(G160*(1-SUMIFS('İndirimler'!$C$2:$C$210,'İndirimler'!$A$2:$A$210,B160,'İndirimler'!$B$2:$B$210,C160)),2),"")</x:f>
        <x:v>424.15</x:v>
      </x:c>
      <x:c r="I160" s="24" t="n">
        <x:f>IF(SUMIFS('İndirimler'!$D$2:$D$210,'İndirimler'!$A$2:$A$210,B160,'İndirimler'!$B$2:$B$210,C160)&gt;0,ROUND(G160*(1-SUMIFS('İndirimler'!$D$2:$D$210,'İndirimler'!$A$2:$A$210,B160,'İndirimler'!$B$2:$B$210,C160)),2),"")</x:f>
        <x:v>349.3</x:v>
      </x:c>
      <x:c r="J160" s="12"/>
      <x:c r="K160" s="31"/>
    </x:row>
    <x:row r="161" ht="21.950000762939453" customHeight="1">
      <x:c r="A161" s="15" t="s">
        <x:v>283</x:v>
      </x:c>
      <x:c r="B161" s="12" t="s">
        <x:v>134</x:v>
      </x:c>
      <x:c r="C161" s="12" t="s">
        <x:v>13</x:v>
      </x:c>
      <x:c r="D161" s="12" t="s">
        <x:v>120</x:v>
      </x:c>
      <x:c r="E161" s="12" t="s">
        <x:v>272</x:v>
      </x:c>
      <x:c r="F161" s="12" t="s">
        <x:v>16</x:v>
      </x:c>
      <x:c r="G161" s="18">
        <x:v>269</x:v>
      </x:c>
      <x:c r="H161" s="21" t="n">
        <x:f>IF(SUMIFS('İndirimler'!$C$2:$C$210,'İndirimler'!$A$2:$A$210,B161,'İndirimler'!$B$2:$B$210,C161)&gt;0,ROUND(G161*(1-SUMIFS('İndirimler'!$C$2:$C$210,'İndirimler'!$A$2:$A$210,B161,'İndirimler'!$B$2:$B$210,C161)),2),"")</x:f>
        <x:v>228.65</x:v>
      </x:c>
      <x:c r="I161" s="24" t="n">
        <x:f>IF(SUMIFS('İndirimler'!$D$2:$D$210,'İndirimler'!$A$2:$A$210,B161,'İndirimler'!$B$2:$B$210,C161)&gt;0,ROUND(G161*(1-SUMIFS('İndirimler'!$D$2:$D$210,'İndirimler'!$A$2:$A$210,B161,'İndirimler'!$B$2:$B$210,C161)),2),"")</x:f>
        <x:v>188.3</x:v>
      </x:c>
      <x:c r="J161" s="12"/>
      <x:c r="K161" s="31"/>
    </x:row>
    <x:row r="162" ht="21.950000762939453" customHeight="1">
      <x:c r="A162" s="15" t="s">
        <x:v>284</x:v>
      </x:c>
      <x:c r="B162" s="12" t="s">
        <x:v>38</x:v>
      </x:c>
      <x:c r="C162" s="12" t="s">
        <x:v>13</x:v>
      </x:c>
      <x:c r="D162" s="12" t="s">
        <x:v>120</x:v>
      </x:c>
      <x:c r="E162" s="12" t="s">
        <x:v>69</x:v>
      </x:c>
      <x:c r="F162" s="12" t="s">
        <x:v>16</x:v>
      </x:c>
      <x:c r="G162" s="18">
        <x:v>419</x:v>
      </x:c>
      <x:c r="H162" s="21" t="n">
        <x:f>IF(SUMIFS('İndirimler'!$C$2:$C$210,'İndirimler'!$A$2:$A$210,B162,'İndirimler'!$B$2:$B$210,C162)&gt;0,ROUND(G162*(1-SUMIFS('İndirimler'!$C$2:$C$210,'İndirimler'!$A$2:$A$210,B162,'İndirimler'!$B$2:$B$210,C162)),2),"")</x:f>
        <x:v>356.15</x:v>
      </x:c>
      <x:c r="I162" s="24" t="n">
        <x:f>IF(SUMIFS('İndirimler'!$D$2:$D$210,'İndirimler'!$A$2:$A$210,B162,'İndirimler'!$B$2:$B$210,C162)&gt;0,ROUND(G162*(1-SUMIFS('İndirimler'!$D$2:$D$210,'İndirimler'!$A$2:$A$210,B162,'İndirimler'!$B$2:$B$210,C162)),2),"")</x:f>
        <x:v>293.3</x:v>
      </x:c>
      <x:c r="J162" s="12"/>
      <x:c r="K162" s="31"/>
    </x:row>
    <x:row r="163" ht="21.950000762939453" customHeight="1">
      <x:c r="A163" s="15" t="s">
        <x:v>285</x:v>
      </x:c>
      <x:c r="B163" s="12" t="s">
        <x:v>286</x:v>
      </x:c>
      <x:c r="C163" s="12" t="s">
        <x:v>13</x:v>
      </x:c>
      <x:c r="D163" s="12" t="s">
        <x:v>120</x:v>
      </x:c>
      <x:c r="E163" s="12"/>
      <x:c r="F163" s="12" t="s">
        <x:v>287</x:v>
      </x:c>
      <x:c r="G163" s="18">
        <x:v>499</x:v>
      </x:c>
      <x:c r="H163" s="21" t="str">
        <x:f>IF(SUMIFS('İndirimler'!$C$2:$C$210,'İndirimler'!$A$2:$A$210,B163,'İndirimler'!$B$2:$B$210,C163)&gt;0,ROUND(G163*(1-SUMIFS('İndirimler'!$C$2:$C$210,'İndirimler'!$A$2:$A$210,B163,'İndirimler'!$B$2:$B$210,C163)),2),"")</x:f>
      </x:c>
      <x:c r="I163" s="24" t="str">
        <x:f>IF(SUMIFS('İndirimler'!$D$2:$D$210,'İndirimler'!$A$2:$A$210,B163,'İndirimler'!$B$2:$B$210,C163)&gt;0,ROUND(G163*(1-SUMIFS('İndirimler'!$D$2:$D$210,'İndirimler'!$A$2:$A$210,B163,'İndirimler'!$B$2:$B$210,C163)),2),"")</x:f>
      </x:c>
      <x:c r="J163" s="12"/>
      <x:c r="K163" s="31"/>
    </x:row>
    <x:row r="164" ht="21.950000762939453" customHeight="1">
      <x:c r="A164" s="15" t="s">
        <x:v>288</x:v>
      </x:c>
      <x:c r="B164" s="12" t="s">
        <x:v>25</x:v>
      </x:c>
      <x:c r="C164" s="12" t="s">
        <x:v>13</x:v>
      </x:c>
      <x:c r="D164" s="12" t="s">
        <x:v>289</x:v>
      </x:c>
      <x:c r="E164" s="12" t="s">
        <x:v>126</x:v>
      </x:c>
      <x:c r="F164" s="12" t="s">
        <x:v>35</x:v>
      </x:c>
      <x:c r="G164" s="18">
        <x:v>599</x:v>
      </x:c>
      <x:c r="H164" s="21" t="n">
        <x:f>IF(SUMIFS('İndirimler'!$C$2:$C$210,'İndirimler'!$A$2:$A$210,B164,'İndirimler'!$B$2:$B$210,C164)&gt;0,ROUND(G164*(1-SUMIFS('İndirimler'!$C$2:$C$210,'İndirimler'!$A$2:$A$210,B164,'İndirimler'!$B$2:$B$210,C164)),2),"")</x:f>
        <x:v>509.15</x:v>
      </x:c>
      <x:c r="I164" s="24" t="n">
        <x:f>IF(SUMIFS('İndirimler'!$D$2:$D$210,'İndirimler'!$A$2:$A$210,B164,'İndirimler'!$B$2:$B$210,C164)&gt;0,ROUND(G164*(1-SUMIFS('İndirimler'!$D$2:$D$210,'İndirimler'!$A$2:$A$210,B164,'İndirimler'!$B$2:$B$210,C164)),2),"")</x:f>
        <x:v>419.3</x:v>
      </x:c>
      <x:c r="J164" s="12"/>
      <x:c r="K164" s="31"/>
    </x:row>
    <x:row r="165" ht="21.950000762939453" customHeight="1">
      <x:c r="A165" s="15" t="s">
        <x:v>290</x:v>
      </x:c>
      <x:c r="B165" s="12" t="s">
        <x:v>119</x:v>
      </x:c>
      <x:c r="C165" s="12" t="s">
        <x:v>13</x:v>
      </x:c>
      <x:c r="D165" s="12" t="s">
        <x:v>289</x:v>
      </x:c>
      <x:c r="E165" s="12"/>
      <x:c r="F165" s="12" t="s">
        <x:v>16</x:v>
      </x:c>
      <x:c r="G165" s="18">
        <x:v>385</x:v>
      </x:c>
      <x:c r="H165" s="21" t="n">
        <x:f>IF(SUMIFS('İndirimler'!$C$2:$C$210,'İndirimler'!$A$2:$A$210,B165,'İndirimler'!$B$2:$B$210,C165)&gt;0,ROUND(G165*(1-SUMIFS('İndirimler'!$C$2:$C$210,'İndirimler'!$A$2:$A$210,B165,'İndirimler'!$B$2:$B$210,C165)),2),"")</x:f>
        <x:v>327.25</x:v>
      </x:c>
      <x:c r="I165" s="24" t="n">
        <x:f>IF(SUMIFS('İndirimler'!$D$2:$D$210,'İndirimler'!$A$2:$A$210,B165,'İndirimler'!$B$2:$B$210,C165)&gt;0,ROUND(G165*(1-SUMIFS('İndirimler'!$D$2:$D$210,'İndirimler'!$A$2:$A$210,B165,'İndirimler'!$B$2:$B$210,C165)),2),"")</x:f>
        <x:v>269.5</x:v>
      </x:c>
      <x:c r="J165" s="12"/>
      <x:c r="K165" s="31"/>
    </x:row>
    <x:row r="166" ht="21.950000762939453" customHeight="1">
      <x:c r="A166" s="15" t="s">
        <x:v>291</x:v>
      </x:c>
      <x:c r="B166" s="12" t="s">
        <x:v>119</x:v>
      </x:c>
      <x:c r="C166" s="12" t="s">
        <x:v>13</x:v>
      </x:c>
      <x:c r="D166" s="12" t="s">
        <x:v>289</x:v>
      </x:c>
      <x:c r="E166" s="12" t="s">
        <x:v>232</x:v>
      </x:c>
      <x:c r="F166" s="12" t="s">
        <x:v>16</x:v>
      </x:c>
      <x:c r="G166" s="18"/>
      <x:c r="H166" s="21" t="n">
        <x:f>IF(SUMIFS('İndirimler'!$C$2:$C$210,'İndirimler'!$A$2:$A$210,B166,'İndirimler'!$B$2:$B$210,C166)&gt;0,ROUND(G166*(1-SUMIFS('İndirimler'!$C$2:$C$210,'İndirimler'!$A$2:$A$210,B166,'İndirimler'!$B$2:$B$210,C166)),2),"")</x:f>
        <x:v>0</x:v>
      </x:c>
      <x:c r="I166" s="24" t="n">
        <x:f>IF(SUMIFS('İndirimler'!$D$2:$D$210,'İndirimler'!$A$2:$A$210,B166,'İndirimler'!$B$2:$B$210,C166)&gt;0,ROUND(G166*(1-SUMIFS('İndirimler'!$D$2:$D$210,'İndirimler'!$A$2:$A$210,B166,'İndirimler'!$B$2:$B$210,C166)),2),"")</x:f>
        <x:v>0</x:v>
      </x:c>
      <x:c r="J166" s="12"/>
      <x:c r="K166" s="31"/>
    </x:row>
    <x:row r="167" ht="21.950000762939453" customHeight="1">
      <x:c r="A167" s="15" t="s">
        <x:v>292</x:v>
      </x:c>
      <x:c r="B167" s="12" t="s">
        <x:v>119</x:v>
      </x:c>
      <x:c r="C167" s="12" t="s">
        <x:v>13</x:v>
      </x:c>
      <x:c r="D167" s="12" t="s">
        <x:v>289</x:v>
      </x:c>
      <x:c r="E167" s="12"/>
      <x:c r="F167" s="12" t="s">
        <x:v>16</x:v>
      </x:c>
      <x:c r="G167" s="18"/>
      <x:c r="H167" s="21" t="n">
        <x:f>IF(SUMIFS('İndirimler'!$C$2:$C$210,'İndirimler'!$A$2:$A$210,B167,'İndirimler'!$B$2:$B$210,C167)&gt;0,ROUND(G167*(1-SUMIFS('İndirimler'!$C$2:$C$210,'İndirimler'!$A$2:$A$210,B167,'İndirimler'!$B$2:$B$210,C167)),2),"")</x:f>
        <x:v>0</x:v>
      </x:c>
      <x:c r="I167" s="24" t="n">
        <x:f>IF(SUMIFS('İndirimler'!$D$2:$D$210,'İndirimler'!$A$2:$A$210,B167,'İndirimler'!$B$2:$B$210,C167)&gt;0,ROUND(G167*(1-SUMIFS('İndirimler'!$D$2:$D$210,'İndirimler'!$A$2:$A$210,B167,'İndirimler'!$B$2:$B$210,C167)),2),"")</x:f>
        <x:v>0</x:v>
      </x:c>
      <x:c r="J167" s="12"/>
      <x:c r="K167" s="31"/>
    </x:row>
    <x:row r="168" ht="21.950000762939453" customHeight="1">
      <x:c r="A168" s="15" t="s">
        <x:v>293</x:v>
      </x:c>
      <x:c r="B168" s="12" t="s">
        <x:v>18</x:v>
      </x:c>
      <x:c r="C168" s="12" t="s">
        <x:v>13</x:v>
      </x:c>
      <x:c r="D168" s="12" t="s">
        <x:v>289</x:v>
      </x:c>
      <x:c r="E168" s="12"/>
      <x:c r="F168" s="12" t="s">
        <x:v>16</x:v>
      </x:c>
      <x:c r="G168" s="18">
        <x:v>429</x:v>
      </x:c>
      <x:c r="H168" s="21" t="n">
        <x:f>IF(SUMIFS('İndirimler'!$C$2:$C$210,'İndirimler'!$A$2:$A$210,B168,'İndirimler'!$B$2:$B$210,C168)&gt;0,ROUND(G168*(1-SUMIFS('İndirimler'!$C$2:$C$210,'İndirimler'!$A$2:$A$210,B168,'İndirimler'!$B$2:$B$210,C168)),2),"")</x:f>
        <x:v>364.65</x:v>
      </x:c>
      <x:c r="I168" s="24" t="n">
        <x:f>IF(SUMIFS('İndirimler'!$D$2:$D$210,'İndirimler'!$A$2:$A$210,B168,'İndirimler'!$B$2:$B$210,C168)&gt;0,ROUND(G168*(1-SUMIFS('İndirimler'!$D$2:$D$210,'İndirimler'!$A$2:$A$210,B168,'İndirimler'!$B$2:$B$210,C168)),2),"")</x:f>
        <x:v>300.3</x:v>
      </x:c>
      <x:c r="J168" s="12" t="s">
        <x:v>294</x:v>
      </x:c>
      <x:c r="K168" s="31"/>
    </x:row>
    <x:row r="169" ht="21.950000762939453" customHeight="1">
      <x:c r="A169" s="15" t="s">
        <x:v>295</x:v>
      </x:c>
      <x:c r="B169" s="12" t="s">
        <x:v>166</x:v>
      </x:c>
      <x:c r="C169" s="12" t="s">
        <x:v>13</x:v>
      </x:c>
      <x:c r="D169" s="12" t="s">
        <x:v>289</x:v>
      </x:c>
      <x:c r="E169" s="12" t="s">
        <x:v>296</x:v>
      </x:c>
      <x:c r="F169" s="12" t="s">
        <x:v>16</x:v>
      </x:c>
      <x:c r="G169" s="18"/>
      <x:c r="H169" s="21" t="n">
        <x:f>IF(SUMIFS('İndirimler'!$C$2:$C$210,'İndirimler'!$A$2:$A$210,B169,'İndirimler'!$B$2:$B$210,C169)&gt;0,ROUND(G169*(1-SUMIFS('İndirimler'!$C$2:$C$210,'İndirimler'!$A$2:$A$210,B169,'İndirimler'!$B$2:$B$210,C169)),2),"")</x:f>
        <x:v>0</x:v>
      </x:c>
      <x:c r="I169" s="24" t="n">
        <x:f>IF(SUMIFS('İndirimler'!$D$2:$D$210,'İndirimler'!$A$2:$A$210,B169,'İndirimler'!$B$2:$B$210,C169)&gt;0,ROUND(G169*(1-SUMIFS('İndirimler'!$D$2:$D$210,'İndirimler'!$A$2:$A$210,B169,'İndirimler'!$B$2:$B$210,C169)),2),"")</x:f>
        <x:v>0</x:v>
      </x:c>
      <x:c r="J169" s="12"/>
      <x:c r="K169" s="31"/>
    </x:row>
    <x:row r="170" ht="21.950000762939453" customHeight="1">
      <x:c r="A170" s="15" t="s">
        <x:v>297</x:v>
      </x:c>
      <x:c r="B170" s="12" t="s">
        <x:v>23</x:v>
      </x:c>
      <x:c r="C170" s="12" t="s">
        <x:v>13</x:v>
      </x:c>
      <x:c r="D170" s="12" t="s">
        <x:v>289</x:v>
      </x:c>
      <x:c r="E170" s="12"/>
      <x:c r="F170" s="12" t="s">
        <x:v>16</x:v>
      </x:c>
      <x:c r="G170" s="18">
        <x:v>475</x:v>
      </x:c>
      <x:c r="H170" s="21" t="n">
        <x:f>IF(SUMIFS('İndirimler'!$C$2:$C$210,'İndirimler'!$A$2:$A$210,B170,'İndirimler'!$B$2:$B$210,C170)&gt;0,ROUND(G170*(1-SUMIFS('İndirimler'!$C$2:$C$210,'İndirimler'!$A$2:$A$210,B170,'İndirimler'!$B$2:$B$210,C170)),2),"")</x:f>
        <x:v>403.75</x:v>
      </x:c>
      <x:c r="I170" s="24" t="n">
        <x:f>IF(SUMIFS('İndirimler'!$D$2:$D$210,'İndirimler'!$A$2:$A$210,B170,'İndirimler'!$B$2:$B$210,C170)&gt;0,ROUND(G170*(1-SUMIFS('İndirimler'!$D$2:$D$210,'İndirimler'!$A$2:$A$210,B170,'İndirimler'!$B$2:$B$210,C170)),2),"")</x:f>
        <x:v>332.5</x:v>
      </x:c>
      <x:c r="J170" s="12"/>
      <x:c r="K170" s="31"/>
    </x:row>
    <x:row r="171" ht="21.950000762939453" customHeight="1">
      <x:c r="A171" s="15" t="s">
        <x:v>298</x:v>
      </x:c>
      <x:c r="B171" s="12" t="s">
        <x:v>25</x:v>
      </x:c>
      <x:c r="C171" s="12" t="s">
        <x:v>13</x:v>
      </x:c>
      <x:c r="D171" s="12" t="s">
        <x:v>289</x:v>
      </x:c>
      <x:c r="E171" s="12"/>
      <x:c r="F171" s="12" t="s">
        <x:v>16</x:v>
      </x:c>
      <x:c r="G171" s="18"/>
      <x:c r="H171" s="21" t="n">
        <x:f>IF(SUMIFS('İndirimler'!$C$2:$C$210,'İndirimler'!$A$2:$A$210,B171,'İndirimler'!$B$2:$B$210,C171)&gt;0,ROUND(G171*(1-SUMIFS('İndirimler'!$C$2:$C$210,'İndirimler'!$A$2:$A$210,B171,'İndirimler'!$B$2:$B$210,C171)),2),"")</x:f>
        <x:v>0</x:v>
      </x:c>
      <x:c r="I171" s="24" t="n">
        <x:f>IF(SUMIFS('İndirimler'!$D$2:$D$210,'İndirimler'!$A$2:$A$210,B171,'İndirimler'!$B$2:$B$210,C171)&gt;0,ROUND(G171*(1-SUMIFS('İndirimler'!$D$2:$D$210,'İndirimler'!$A$2:$A$210,B171,'İndirimler'!$B$2:$B$210,C171)),2),"")</x:f>
        <x:v>0</x:v>
      </x:c>
      <x:c r="J171" s="12"/>
      <x:c r="K171" s="31"/>
    </x:row>
    <x:row r="172" ht="21.950000762939453" customHeight="1">
      <x:c r="A172" s="15" t="s">
        <x:v>299</x:v>
      </x:c>
      <x:c r="B172" s="12" t="s">
        <x:v>25</x:v>
      </x:c>
      <x:c r="C172" s="12" t="s">
        <x:v>13</x:v>
      </x:c>
      <x:c r="D172" s="12" t="s">
        <x:v>289</x:v>
      </x:c>
      <x:c r="E172" s="12" t="s">
        <x:v>28</x:v>
      </x:c>
      <x:c r="F172" s="12" t="s">
        <x:v>16</x:v>
      </x:c>
      <x:c r="G172" s="18">
        <x:v>559</x:v>
      </x:c>
      <x:c r="H172" s="21" t="n">
        <x:f>IF(SUMIFS('İndirimler'!$C$2:$C$210,'İndirimler'!$A$2:$A$210,B172,'İndirimler'!$B$2:$B$210,C172)&gt;0,ROUND(G172*(1-SUMIFS('İndirimler'!$C$2:$C$210,'İndirimler'!$A$2:$A$210,B172,'İndirimler'!$B$2:$B$210,C172)),2),"")</x:f>
        <x:v>475.15</x:v>
      </x:c>
      <x:c r="I172" s="24" t="n">
        <x:f>IF(SUMIFS('İndirimler'!$D$2:$D$210,'İndirimler'!$A$2:$A$210,B172,'İndirimler'!$B$2:$B$210,C172)&gt;0,ROUND(G172*(1-SUMIFS('İndirimler'!$D$2:$D$210,'İndirimler'!$A$2:$A$210,B172,'İndirimler'!$B$2:$B$210,C172)),2),"")</x:f>
        <x:v>391.3</x:v>
      </x:c>
      <x:c r="J172" s="12"/>
      <x:c r="K172" s="31"/>
    </x:row>
    <x:row r="173" ht="21.950000762939453" customHeight="1">
      <x:c r="A173" s="15" t="s">
        <x:v>300</x:v>
      </x:c>
      <x:c r="B173" s="12" t="s">
        <x:v>25</x:v>
      </x:c>
      <x:c r="C173" s="12" t="s">
        <x:v>13</x:v>
      </x:c>
      <x:c r="D173" s="12" t="s">
        <x:v>289</x:v>
      </x:c>
      <x:c r="E173" s="12" t="s">
        <x:v>277</x:v>
      </x:c>
      <x:c r="F173" s="12" t="s">
        <x:v>16</x:v>
      </x:c>
      <x:c r="G173" s="18"/>
      <x:c r="H173" s="21" t="n">
        <x:f>IF(SUMIFS('İndirimler'!$C$2:$C$210,'İndirimler'!$A$2:$A$210,B173,'İndirimler'!$B$2:$B$210,C173)&gt;0,ROUND(G173*(1-SUMIFS('İndirimler'!$C$2:$C$210,'İndirimler'!$A$2:$A$210,B173,'İndirimler'!$B$2:$B$210,C173)),2),"")</x:f>
        <x:v>0</x:v>
      </x:c>
      <x:c r="I173" s="24" t="n">
        <x:f>IF(SUMIFS('İndirimler'!$D$2:$D$210,'İndirimler'!$A$2:$A$210,B173,'İndirimler'!$B$2:$B$210,C173)&gt;0,ROUND(G173*(1-SUMIFS('İndirimler'!$D$2:$D$210,'İndirimler'!$A$2:$A$210,B173,'İndirimler'!$B$2:$B$210,C173)),2),"")</x:f>
        <x:v>0</x:v>
      </x:c>
      <x:c r="J173" s="12"/>
      <x:c r="K173" s="31"/>
    </x:row>
    <x:row r="174" ht="21.950000762939453" customHeight="1">
      <x:c r="A174" s="15" t="s">
        <x:v>301</x:v>
      </x:c>
      <x:c r="B174" s="12" t="s">
        <x:v>50</x:v>
      </x:c>
      <x:c r="C174" s="12" t="s">
        <x:v>13</x:v>
      </x:c>
      <x:c r="D174" s="12" t="s">
        <x:v>289</x:v>
      </x:c>
      <x:c r="E174" s="12"/>
      <x:c r="F174" s="12" t="s">
        <x:v>16</x:v>
      </x:c>
      <x:c r="G174" s="18">
        <x:v>706</x:v>
      </x:c>
      <x:c r="H174" s="21" t="n">
        <x:f>IF(SUMIFS('İndirimler'!$C$2:$C$210,'İndirimler'!$A$2:$A$210,B174,'İndirimler'!$B$2:$B$210,C174)&gt;0,ROUND(G174*(1-SUMIFS('İndirimler'!$C$2:$C$210,'İndirimler'!$A$2:$A$210,B174,'İndirimler'!$B$2:$B$210,C174)),2),"")</x:f>
        <x:v>600.1</x:v>
      </x:c>
      <x:c r="I174" s="24" t="n">
        <x:f>IF(SUMIFS('İndirimler'!$D$2:$D$210,'İndirimler'!$A$2:$A$210,B174,'İndirimler'!$B$2:$B$210,C174)&gt;0,ROUND(G174*(1-SUMIFS('İndirimler'!$D$2:$D$210,'İndirimler'!$A$2:$A$210,B174,'İndirimler'!$B$2:$B$210,C174)),2),"")</x:f>
        <x:v>494.2</x:v>
      </x:c>
      <x:c r="J174" s="12"/>
      <x:c r="K174" s="31"/>
    </x:row>
    <x:row r="175" ht="21.950000762939453" customHeight="1">
      <x:c r="A175" s="15" t="s">
        <x:v>302</x:v>
      </x:c>
      <x:c r="B175" s="12" t="s">
        <x:v>128</x:v>
      </x:c>
      <x:c r="C175" s="12" t="s">
        <x:v>13</x:v>
      </x:c>
      <x:c r="D175" s="12" t="s">
        <x:v>289</x:v>
      </x:c>
      <x:c r="E175" s="12"/>
      <x:c r="F175" s="12" t="s">
        <x:v>16</x:v>
      </x:c>
      <x:c r="G175" s="18"/>
      <x:c r="H175" s="21" t="n">
        <x:f>IF(SUMIFS('İndirimler'!$C$2:$C$210,'İndirimler'!$A$2:$A$210,B175,'İndirimler'!$B$2:$B$210,C175)&gt;0,ROUND(G175*(1-SUMIFS('İndirimler'!$C$2:$C$210,'İndirimler'!$A$2:$A$210,B175,'İndirimler'!$B$2:$B$210,C175)),2),"")</x:f>
        <x:v>0</x:v>
      </x:c>
      <x:c r="I175" s="24" t="n">
        <x:f>IF(SUMIFS('İndirimler'!$D$2:$D$210,'İndirimler'!$A$2:$A$210,B175,'İndirimler'!$B$2:$B$210,C175)&gt;0,ROUND(G175*(1-SUMIFS('İndirimler'!$D$2:$D$210,'İndirimler'!$A$2:$A$210,B175,'İndirimler'!$B$2:$B$210,C175)),2),"")</x:f>
        <x:v>0</x:v>
      </x:c>
      <x:c r="J175" s="12"/>
      <x:c r="K175" s="31"/>
    </x:row>
    <x:row r="176" ht="21.950000762939453" customHeight="1">
      <x:c r="A176" s="15" t="s">
        <x:v>303</x:v>
      </x:c>
      <x:c r="B176" s="12" t="s">
        <x:v>304</x:v>
      </x:c>
      <x:c r="C176" s="12" t="s">
        <x:v>33</x:v>
      </x:c>
      <x:c r="D176" s="12" t="s">
        <x:v>305</x:v>
      </x:c>
      <x:c r="E176" s="12" t="s">
        <x:v>306</x:v>
      </x:c>
      <x:c r="F176" s="12" t="s">
        <x:v>35</x:v>
      </x:c>
      <x:c r="G176" s="18">
        <x:v>565</x:v>
      </x:c>
      <x:c r="H176" s="21" t="n">
        <x:f>IF(SUMIFS('İndirimler'!$C$2:$C$210,'İndirimler'!$A$2:$A$210,B176,'İndirimler'!$B$2:$B$210,C176)&gt;0,ROUND(G176*(1-SUMIFS('İndirimler'!$C$2:$C$210,'İndirimler'!$A$2:$A$210,B176,'İndirimler'!$B$2:$B$210,C176)),2),"")</x:f>
        <x:v>480.25</x:v>
      </x:c>
      <x:c r="I176" s="24" t="n">
        <x:f>IF(SUMIFS('İndirimler'!$D$2:$D$210,'İndirimler'!$A$2:$A$210,B176,'İndirimler'!$B$2:$B$210,C176)&gt;0,ROUND(G176*(1-SUMIFS('İndirimler'!$D$2:$D$210,'İndirimler'!$A$2:$A$210,B176,'İndirimler'!$B$2:$B$210,C176)),2),"")</x:f>
        <x:v>395.5</x:v>
      </x:c>
      <x:c r="J176" s="12"/>
      <x:c r="K176" s="31"/>
    </x:row>
    <x:row r="177" ht="21.950000762939453" customHeight="1">
      <x:c r="A177" s="15" t="s">
        <x:v>307</x:v>
      </x:c>
      <x:c r="B177" s="12" t="s">
        <x:v>25</x:v>
      </x:c>
      <x:c r="C177" s="12" t="s">
        <x:v>33</x:v>
      </x:c>
      <x:c r="D177" s="12" t="s">
        <x:v>305</x:v>
      </x:c>
      <x:c r="E177" s="12" t="s">
        <x:v>126</x:v>
      </x:c>
      <x:c r="F177" s="12" t="s">
        <x:v>16</x:v>
      </x:c>
      <x:c r="G177" s="18">
        <x:v>199</x:v>
      </x:c>
      <x:c r="H177" s="21" t="n">
        <x:f>IF(SUMIFS('İndirimler'!$C$2:$C$210,'İndirimler'!$A$2:$A$210,B177,'İndirimler'!$B$2:$B$210,C177)&gt;0,ROUND(G177*(1-SUMIFS('İndirimler'!$C$2:$C$210,'İndirimler'!$A$2:$A$210,B177,'İndirimler'!$B$2:$B$210,C177)),2),"")</x:f>
        <x:v>169.15</x:v>
      </x:c>
      <x:c r="I177" s="24" t="n">
        <x:f>IF(SUMIFS('İndirimler'!$D$2:$D$210,'İndirimler'!$A$2:$A$210,B177,'İndirimler'!$B$2:$B$210,C177)&gt;0,ROUND(G177*(1-SUMIFS('İndirimler'!$D$2:$D$210,'İndirimler'!$A$2:$A$210,B177,'İndirimler'!$B$2:$B$210,C177)),2),"")</x:f>
        <x:v>139.3</x:v>
      </x:c>
      <x:c r="J177" s="12"/>
      <x:c r="K177" s="31"/>
    </x:row>
    <x:row r="178" ht="21.950000762939453" customHeight="1">
      <x:c r="A178" s="15" t="s">
        <x:v>308</x:v>
      </x:c>
      <x:c r="B178" s="12" t="s">
        <x:v>25</x:v>
      </x:c>
      <x:c r="C178" s="12" t="s">
        <x:v>33</x:v>
      </x:c>
      <x:c r="D178" s="12" t="s">
        <x:v>305</x:v>
      </x:c>
      <x:c r="E178" s="12" t="s">
        <x:v>126</x:v>
      </x:c>
      <x:c r="F178" s="12" t="s">
        <x:v>35</x:v>
      </x:c>
      <x:c r="G178" s="18">
        <x:v>379</x:v>
      </x:c>
      <x:c r="H178" s="21" t="n">
        <x:f>IF(SUMIFS('İndirimler'!$C$2:$C$210,'İndirimler'!$A$2:$A$210,B178,'İndirimler'!$B$2:$B$210,C178)&gt;0,ROUND(G178*(1-SUMIFS('İndirimler'!$C$2:$C$210,'İndirimler'!$A$2:$A$210,B178,'İndirimler'!$B$2:$B$210,C178)),2),"")</x:f>
        <x:v>322.15</x:v>
      </x:c>
      <x:c r="I178" s="24" t="n">
        <x:f>IF(SUMIFS('İndirimler'!$D$2:$D$210,'İndirimler'!$A$2:$A$210,B178,'İndirimler'!$B$2:$B$210,C178)&gt;0,ROUND(G178*(1-SUMIFS('İndirimler'!$D$2:$D$210,'İndirimler'!$A$2:$A$210,B178,'İndirimler'!$B$2:$B$210,C178)),2),"")</x:f>
        <x:v>265.3</x:v>
      </x:c>
      <x:c r="J178" s="12"/>
      <x:c r="K178" s="31"/>
    </x:row>
    <x:row r="179" ht="21.950000762939453" customHeight="1">
      <x:c r="A179" s="15" t="s">
        <x:v>309</x:v>
      </x:c>
      <x:c r="B179" s="12" t="s">
        <x:v>32</x:v>
      </x:c>
      <x:c r="C179" s="12" t="s">
        <x:v>33</x:v>
      </x:c>
      <x:c r="D179" s="12" t="s">
        <x:v>305</x:v>
      </x:c>
      <x:c r="E179" s="12"/>
      <x:c r="F179" s="12" t="s">
        <x:v>35</x:v>
      </x:c>
      <x:c r="G179" s="18">
        <x:v>539</x:v>
      </x:c>
      <x:c r="H179" s="21" t="n">
        <x:f>IF(SUMIFS('İndirimler'!$C$2:$C$210,'İndirimler'!$A$2:$A$210,B179,'İndirimler'!$B$2:$B$210,C179)&gt;0,ROUND(G179*(1-SUMIFS('İndirimler'!$C$2:$C$210,'İndirimler'!$A$2:$A$210,B179,'İndirimler'!$B$2:$B$210,C179)),2),"")</x:f>
        <x:v>458.15</x:v>
      </x:c>
      <x:c r="I179" s="24" t="n">
        <x:f>IF(SUMIFS('İndirimler'!$D$2:$D$210,'İndirimler'!$A$2:$A$210,B179,'İndirimler'!$B$2:$B$210,C179)&gt;0,ROUND(G179*(1-SUMIFS('İndirimler'!$D$2:$D$210,'İndirimler'!$A$2:$A$210,B179,'İndirimler'!$B$2:$B$210,C179)),2),"")</x:f>
        <x:v>377.3</x:v>
      </x:c>
      <x:c r="J179" s="30" t="s">
        <x:v>310</x:v>
      </x:c>
      <x:c r="K179" s="31"/>
    </x:row>
    <x:row r="180" ht="21.950000762939453" customHeight="1">
      <x:c r="A180" s="15" t="s">
        <x:v>311</x:v>
      </x:c>
      <x:c r="B180" s="12" t="s">
        <x:v>38</x:v>
      </x:c>
      <x:c r="C180" s="12" t="s">
        <x:v>33</x:v>
      </x:c>
      <x:c r="D180" s="12" t="s">
        <x:v>305</x:v>
      </x:c>
      <x:c r="E180" s="12"/>
      <x:c r="F180" s="12" t="s">
        <x:v>35</x:v>
      </x:c>
      <x:c r="G180" s="18">
        <x:v>685</x:v>
      </x:c>
      <x:c r="H180" s="21" t="n">
        <x:f>IF(SUMIFS('İndirimler'!$C$2:$C$210,'İndirimler'!$A$2:$A$210,B180,'İndirimler'!$B$2:$B$210,C180)&gt;0,ROUND(G180*(1-SUMIFS('İndirimler'!$C$2:$C$210,'İndirimler'!$A$2:$A$210,B180,'İndirimler'!$B$2:$B$210,C180)),2),"")</x:f>
        <x:v>582.25</x:v>
      </x:c>
      <x:c r="I180" s="24" t="n">
        <x:f>IF(SUMIFS('İndirimler'!$D$2:$D$210,'İndirimler'!$A$2:$A$210,B180,'İndirimler'!$B$2:$B$210,C180)&gt;0,ROUND(G180*(1-SUMIFS('İndirimler'!$D$2:$D$210,'İndirimler'!$A$2:$A$210,B180,'İndirimler'!$B$2:$B$210,C180)),2),"")</x:f>
        <x:v>479.5</x:v>
      </x:c>
      <x:c r="J180" s="30" t="s">
        <x:v>312</x:v>
      </x:c>
      <x:c r="K180" s="31"/>
    </x:row>
    <x:row r="181" ht="21.950000762939453" customHeight="1">
      <x:c r="A181" s="15" t="s">
        <x:v>313</x:v>
      </x:c>
      <x:c r="B181" s="12" t="s">
        <x:v>138</x:v>
      </x:c>
      <x:c r="C181" s="12" t="s">
        <x:v>33</x:v>
      </x:c>
      <x:c r="D181" s="12" t="s">
        <x:v>305</x:v>
      </x:c>
      <x:c r="E181" s="12" t="s">
        <x:v>314</x:v>
      </x:c>
      <x:c r="F181" s="12" t="s">
        <x:v>42</x:v>
      </x:c>
      <x:c r="G181" s="18">
        <x:v>478</x:v>
      </x:c>
      <x:c r="H181" s="21" t="n">
        <x:f>IF(SUMIFS('İndirimler'!$C$2:$C$210,'İndirimler'!$A$2:$A$210,B181,'İndirimler'!$B$2:$B$210,C181)&gt;0,ROUND(G181*(1-SUMIFS('İndirimler'!$C$2:$C$210,'İndirimler'!$A$2:$A$210,B181,'İndirimler'!$B$2:$B$210,C181)),2),"")</x:f>
        <x:v>406.3</x:v>
      </x:c>
      <x:c r="I181" s="24" t="n">
        <x:f>IF(SUMIFS('İndirimler'!$D$2:$D$210,'İndirimler'!$A$2:$A$210,B181,'İndirimler'!$B$2:$B$210,C181)&gt;0,ROUND(G181*(1-SUMIFS('İndirimler'!$D$2:$D$210,'İndirimler'!$A$2:$A$210,B181,'İndirimler'!$B$2:$B$210,C181)),2),"")</x:f>
        <x:v>334.6</x:v>
      </x:c>
      <x:c r="J181" s="30" t="s">
        <x:v>315</x:v>
      </x:c>
      <x:c r="K181" s="31"/>
    </x:row>
    <x:row r="182" ht="21.950000762939453" customHeight="1">
      <x:c r="A182" s="15" t="s">
        <x:v>316</x:v>
      </x:c>
      <x:c r="B182" s="12" t="s">
        <x:v>18</x:v>
      </x:c>
      <x:c r="C182" s="12" t="s">
        <x:v>33</x:v>
      </x:c>
      <x:c r="D182" s="12" t="s">
        <x:v>305</x:v>
      </x:c>
      <x:c r="E182" s="12" t="s">
        <x:v>41</x:v>
      </x:c>
      <x:c r="F182" s="12" t="s">
        <x:v>42</x:v>
      </x:c>
      <x:c r="G182" s="18"/>
      <x:c r="H182" s="21" t="n">
        <x:f>IF(SUMIFS('İndirimler'!$C$2:$C$210,'İndirimler'!$A$2:$A$210,B182,'İndirimler'!$B$2:$B$210,C182)&gt;0,ROUND(G182*(1-SUMIFS('İndirimler'!$C$2:$C$210,'İndirimler'!$A$2:$A$210,B182,'İndirimler'!$B$2:$B$210,C182)),2),"")</x:f>
        <x:v>0</x:v>
      </x:c>
      <x:c r="I182" s="24" t="n">
        <x:f>IF(SUMIFS('İndirimler'!$D$2:$D$210,'İndirimler'!$A$2:$A$210,B182,'İndirimler'!$B$2:$B$210,C182)&gt;0,ROUND(G182*(1-SUMIFS('İndirimler'!$D$2:$D$210,'İndirimler'!$A$2:$A$210,B182,'İndirimler'!$B$2:$B$210,C182)),2),"")</x:f>
        <x:v>0</x:v>
      </x:c>
      <x:c r="J182" s="12"/>
      <x:c r="K182" s="31"/>
    </x:row>
    <x:row r="183" ht="21.950000762939453" customHeight="1">
      <x:c r="A183" s="15" t="s">
        <x:v>317</x:v>
      </x:c>
      <x:c r="B183" s="12" t="s">
        <x:v>44</x:v>
      </x:c>
      <x:c r="C183" s="12" t="s">
        <x:v>33</x:v>
      </x:c>
      <x:c r="D183" s="12" t="s">
        <x:v>305</x:v>
      </x:c>
      <x:c r="E183" s="12" t="s">
        <x:v>45</x:v>
      </x:c>
      <x:c r="F183" s="12" t="s">
        <x:v>42</x:v>
      </x:c>
      <x:c r="G183" s="18">
        <x:v>274</x:v>
      </x:c>
      <x:c r="H183" s="21" t="n">
        <x:f>IF(SUMIFS('İndirimler'!$C$2:$C$210,'İndirimler'!$A$2:$A$210,B183,'İndirimler'!$B$2:$B$210,C183)&gt;0,ROUND(G183*(1-SUMIFS('İndirimler'!$C$2:$C$210,'İndirimler'!$A$2:$A$210,B183,'İndirimler'!$B$2:$B$210,C183)),2),"")</x:f>
        <x:v>232.9</x:v>
      </x:c>
      <x:c r="I183" s="24" t="n">
        <x:f>IF(SUMIFS('İndirimler'!$D$2:$D$210,'İndirimler'!$A$2:$A$210,B183,'İndirimler'!$B$2:$B$210,C183)&gt;0,ROUND(G183*(1-SUMIFS('İndirimler'!$D$2:$D$210,'İndirimler'!$A$2:$A$210,B183,'İndirimler'!$B$2:$B$210,C183)),2),"")</x:f>
        <x:v>191.8</x:v>
      </x:c>
      <x:c r="J183" s="12" t="s">
        <x:v>318</x:v>
      </x:c>
      <x:c r="K183" s="31"/>
    </x:row>
    <x:row r="184" ht="21.950000762939453" customHeight="1">
      <x:c r="A184" s="15" t="s">
        <x:v>319</x:v>
      </x:c>
      <x:c r="B184" s="12" t="s">
        <x:v>23</x:v>
      </x:c>
      <x:c r="C184" s="12" t="s">
        <x:v>33</x:v>
      </x:c>
      <x:c r="D184" s="12" t="s">
        <x:v>305</x:v>
      </x:c>
      <x:c r="E184" s="12"/>
      <x:c r="F184" s="12" t="s">
        <x:v>42</x:v>
      </x:c>
      <x:c r="G184" s="18">
        <x:v>576</x:v>
      </x:c>
      <x:c r="H184" s="21" t="n">
        <x:f>IF(SUMIFS('İndirimler'!$C$2:$C$210,'İndirimler'!$A$2:$A$210,B184,'İndirimler'!$B$2:$B$210,C184)&gt;0,ROUND(G184*(1-SUMIFS('İndirimler'!$C$2:$C$210,'İndirimler'!$A$2:$A$210,B184,'İndirimler'!$B$2:$B$210,C184)),2),"")</x:f>
        <x:v>489.6</x:v>
      </x:c>
      <x:c r="I184" s="24" t="n">
        <x:f>IF(SUMIFS('İndirimler'!$D$2:$D$210,'İndirimler'!$A$2:$A$210,B184,'İndirimler'!$B$2:$B$210,C184)&gt;0,ROUND(G184*(1-SUMIFS('İndirimler'!$D$2:$D$210,'İndirimler'!$A$2:$A$210,B184,'İndirimler'!$B$2:$B$210,C184)),2),"")</x:f>
        <x:v>403.2</x:v>
      </x:c>
      <x:c r="J184" s="12" t="s">
        <x:v>320</x:v>
      </x:c>
      <x:c r="K184" s="31"/>
    </x:row>
    <x:row r="185" ht="21.950000762939453" customHeight="1">
      <x:c r="A185" s="15" t="s">
        <x:v>321</x:v>
      </x:c>
      <x:c r="B185" s="12" t="s">
        <x:v>50</x:v>
      </x:c>
      <x:c r="C185" s="12" t="s">
        <x:v>33</x:v>
      </x:c>
      <x:c r="D185" s="12" t="s">
        <x:v>305</x:v>
      </x:c>
      <x:c r="E185" s="12" t="s">
        <x:v>51</x:v>
      </x:c>
      <x:c r="F185" s="12" t="s">
        <x:v>42</x:v>
      </x:c>
      <x:c r="G185" s="18">
        <x:v>660</x:v>
      </x:c>
      <x:c r="H185" s="21" t="n">
        <x:f>IF(SUMIFS('İndirimler'!$C$2:$C$210,'İndirimler'!$A$2:$A$210,B185,'İndirimler'!$B$2:$B$210,C185)&gt;0,ROUND(G185*(1-SUMIFS('İndirimler'!$C$2:$C$210,'İndirimler'!$A$2:$A$210,B185,'İndirimler'!$B$2:$B$210,C185)),2),"")</x:f>
        <x:v>561</x:v>
      </x:c>
      <x:c r="I185" s="24" t="n">
        <x:f>IF(SUMIFS('İndirimler'!$D$2:$D$210,'İndirimler'!$A$2:$A$210,B185,'İndirimler'!$B$2:$B$210,C185)&gt;0,ROUND(G185*(1-SUMIFS('İndirimler'!$D$2:$D$210,'İndirimler'!$A$2:$A$210,B185,'İndirimler'!$B$2:$B$210,C185)),2),"")</x:f>
        <x:v>462</x:v>
      </x:c>
      <x:c r="J185" s="12"/>
      <x:c r="K185" s="31"/>
    </x:row>
    <x:row r="186" ht="21.950000762939453" customHeight="1">
      <x:c r="A186" s="15" t="s">
        <x:v>322</x:v>
      </x:c>
      <x:c r="B186" s="12" t="s">
        <x:v>323</x:v>
      </x:c>
      <x:c r="C186" s="12" t="s">
        <x:v>33</x:v>
      </x:c>
      <x:c r="D186" s="12" t="s">
        <x:v>305</x:v>
      </x:c>
      <x:c r="E186" s="12"/>
      <x:c r="F186" s="12" t="s">
        <x:v>42</x:v>
      </x:c>
      <x:c r="G186" s="18">
        <x:v>525</x:v>
      </x:c>
      <x:c r="H186" s="21" t="n">
        <x:f>IF(SUMIFS('İndirimler'!$C$2:$C$210,'İndirimler'!$A$2:$A$210,B186,'İndirimler'!$B$2:$B$210,C186)&gt;0,ROUND(G186*(1-SUMIFS('İndirimler'!$C$2:$C$210,'İndirimler'!$A$2:$A$210,B186,'İndirimler'!$B$2:$B$210,C186)),2),"")</x:f>
        <x:v>446.25</x:v>
      </x:c>
      <x:c r="I186" s="24" t="n">
        <x:f>IF(SUMIFS('İndirimler'!$D$2:$D$210,'İndirimler'!$A$2:$A$210,B186,'İndirimler'!$B$2:$B$210,C186)&gt;0,ROUND(G186*(1-SUMIFS('İndirimler'!$D$2:$D$210,'İndirimler'!$A$2:$A$210,B186,'İndirimler'!$B$2:$B$210,C186)),2),"")</x:f>
        <x:v>367.5</x:v>
      </x:c>
      <x:c r="J186" s="12"/>
      <x:c r="K186" s="31"/>
    </x:row>
    <x:row r="187" ht="21.950000762939453" customHeight="1">
      <x:c r="A187" s="15" t="s">
        <x:v>324</x:v>
      </x:c>
      <x:c r="B187" s="12" t="s">
        <x:v>55</x:v>
      </x:c>
      <x:c r="C187" s="12" t="s">
        <x:v>33</x:v>
      </x:c>
      <x:c r="D187" s="12" t="s">
        <x:v>305</x:v>
      </x:c>
      <x:c r="E187" s="12"/>
      <x:c r="F187" s="12" t="s">
        <x:v>16</x:v>
      </x:c>
      <x:c r="G187" s="18">
        <x:v>346</x:v>
      </x:c>
      <x:c r="H187" s="21" t="n">
        <x:f>IF(SUMIFS('İndirimler'!$C$2:$C$210,'İndirimler'!$A$2:$A$210,B187,'İndirimler'!$B$2:$B$210,C187)&gt;0,ROUND(G187*(1-SUMIFS('İndirimler'!$C$2:$C$210,'İndirimler'!$A$2:$A$210,B187,'İndirimler'!$B$2:$B$210,C187)),2),"")</x:f>
        <x:v>294.1</x:v>
      </x:c>
      <x:c r="I187" s="24" t="n">
        <x:f>IF(SUMIFS('İndirimler'!$D$2:$D$210,'İndirimler'!$A$2:$A$210,B187,'İndirimler'!$B$2:$B$210,C187)&gt;0,ROUND(G187*(1-SUMIFS('İndirimler'!$D$2:$D$210,'İndirimler'!$A$2:$A$210,B187,'İndirimler'!$B$2:$B$210,C187)),2),"")</x:f>
        <x:v>242.2</x:v>
      </x:c>
      <x:c r="J187" s="12" t="s">
        <x:v>325</x:v>
      </x:c>
      <x:c r="K187" s="31"/>
    </x:row>
    <x:row r="188" ht="21.950000762939453" customHeight="1">
      <x:c r="A188" s="15" t="s">
        <x:v>326</x:v>
      </x:c>
      <x:c r="B188" s="12" t="s">
        <x:v>138</x:v>
      </x:c>
      <x:c r="C188" s="12" t="s">
        <x:v>33</x:v>
      </x:c>
      <x:c r="D188" s="12" t="s">
        <x:v>305</x:v>
      </x:c>
      <x:c r="E188" s="12"/>
      <x:c r="F188" s="12" t="s">
        <x:v>16</x:v>
      </x:c>
      <x:c r="G188" s="18">
        <x:v>416</x:v>
      </x:c>
      <x:c r="H188" s="21" t="n">
        <x:f>IF(SUMIFS('İndirimler'!$C$2:$C$210,'İndirimler'!$A$2:$A$210,B188,'İndirimler'!$B$2:$B$210,C188)&gt;0,ROUND(G188*(1-SUMIFS('İndirimler'!$C$2:$C$210,'İndirimler'!$A$2:$A$210,B188,'İndirimler'!$B$2:$B$210,C188)),2),"")</x:f>
        <x:v>353.6</x:v>
      </x:c>
      <x:c r="I188" s="24" t="n">
        <x:f>IF(SUMIFS('İndirimler'!$D$2:$D$210,'İndirimler'!$A$2:$A$210,B188,'İndirimler'!$B$2:$B$210,C188)&gt;0,ROUND(G188*(1-SUMIFS('İndirimler'!$D$2:$D$210,'İndirimler'!$A$2:$A$210,B188,'İndirimler'!$B$2:$B$210,C188)),2),"")</x:f>
        <x:v>291.2</x:v>
      </x:c>
      <x:c r="J188" s="30" t="s">
        <x:v>327</x:v>
      </x:c>
      <x:c r="K188" s="31"/>
    </x:row>
    <x:row r="189" ht="21.950000762939453" customHeight="1">
      <x:c r="A189" s="15" t="s">
        <x:v>328</x:v>
      </x:c>
      <x:c r="B189" s="12" t="s">
        <x:v>18</x:v>
      </x:c>
      <x:c r="C189" s="12" t="s">
        <x:v>33</x:v>
      </x:c>
      <x:c r="D189" s="12" t="s">
        <x:v>305</x:v>
      </x:c>
      <x:c r="E189" s="12"/>
      <x:c r="F189" s="12" t="s">
        <x:v>16</x:v>
      </x:c>
      <x:c r="G189" s="18">
        <x:v>479</x:v>
      </x:c>
      <x:c r="H189" s="21" t="n">
        <x:f>IF(SUMIFS('İndirimler'!$C$2:$C$210,'İndirimler'!$A$2:$A$210,B189,'İndirimler'!$B$2:$B$210,C189)&gt;0,ROUND(G189*(1-SUMIFS('İndirimler'!$C$2:$C$210,'İndirimler'!$A$2:$A$210,B189,'İndirimler'!$B$2:$B$210,C189)),2),"")</x:f>
        <x:v>407.15</x:v>
      </x:c>
      <x:c r="I189" s="24" t="n">
        <x:f>IF(SUMIFS('İndirimler'!$D$2:$D$210,'İndirimler'!$A$2:$A$210,B189,'İndirimler'!$B$2:$B$210,C189)&gt;0,ROUND(G189*(1-SUMIFS('İndirimler'!$D$2:$D$210,'İndirimler'!$A$2:$A$210,B189,'İndirimler'!$B$2:$B$210,C189)),2),"")</x:f>
        <x:v>335.3</x:v>
      </x:c>
      <x:c r="J189" s="30" t="s">
        <x:v>329</x:v>
      </x:c>
      <x:c r="K189" s="31"/>
    </x:row>
    <x:row r="190" ht="21.950000762939453" customHeight="1">
      <x:c r="A190" s="15" t="s">
        <x:v>330</x:v>
      </x:c>
      <x:c r="B190" s="12" t="s">
        <x:v>331</x:v>
      </x:c>
      <x:c r="C190" s="12" t="s">
        <x:v>33</x:v>
      </x:c>
      <x:c r="D190" s="12" t="s">
        <x:v>305</x:v>
      </x:c>
      <x:c r="E190" s="12"/>
      <x:c r="F190" s="12" t="s">
        <x:v>16</x:v>
      </x:c>
      <x:c r="G190" s="18">
        <x:v>429</x:v>
      </x:c>
      <x:c r="H190" s="21" t="n">
        <x:f>IF(SUMIFS('İndirimler'!$C$2:$C$210,'İndirimler'!$A$2:$A$210,B190,'İndirimler'!$B$2:$B$210,C190)&gt;0,ROUND(G190*(1-SUMIFS('İndirimler'!$C$2:$C$210,'İndirimler'!$A$2:$A$210,B190,'İndirimler'!$B$2:$B$210,C190)),2),"")</x:f>
        <x:v>364.65</x:v>
      </x:c>
      <x:c r="I190" s="24" t="n">
        <x:f>IF(SUMIFS('İndirimler'!$D$2:$D$210,'İndirimler'!$A$2:$A$210,B190,'İndirimler'!$B$2:$B$210,C190)&gt;0,ROUND(G190*(1-SUMIFS('İndirimler'!$D$2:$D$210,'İndirimler'!$A$2:$A$210,B190,'İndirimler'!$B$2:$B$210,C190)),2),"")</x:f>
        <x:v>300.3</x:v>
      </x:c>
      <x:c r="J190" s="12"/>
      <x:c r="K190" s="31"/>
    </x:row>
    <x:row r="191" ht="21.950000762939453" customHeight="1">
      <x:c r="A191" s="15" t="s">
        <x:v>332</x:v>
      </x:c>
      <x:c r="B191" s="12" t="s">
        <x:v>44</x:v>
      </x:c>
      <x:c r="C191" s="12" t="s">
        <x:v>33</x:v>
      </x:c>
      <x:c r="D191" s="12" t="s">
        <x:v>305</x:v>
      </x:c>
      <x:c r="E191" s="12" t="s">
        <x:v>60</x:v>
      </x:c>
      <x:c r="F191" s="12" t="s">
        <x:v>16</x:v>
      </x:c>
      <x:c r="G191" s="18">
        <x:v>274</x:v>
      </x:c>
      <x:c r="H191" s="21" t="n">
        <x:f>IF(SUMIFS('İndirimler'!$C$2:$C$210,'İndirimler'!$A$2:$A$210,B191,'İndirimler'!$B$2:$B$210,C191)&gt;0,ROUND(G191*(1-SUMIFS('İndirimler'!$C$2:$C$210,'İndirimler'!$A$2:$A$210,B191,'İndirimler'!$B$2:$B$210,C191)),2),"")</x:f>
        <x:v>232.9</x:v>
      </x:c>
      <x:c r="I191" s="24" t="n">
        <x:f>IF(SUMIFS('İndirimler'!$D$2:$D$210,'İndirimler'!$A$2:$A$210,B191,'İndirimler'!$B$2:$B$210,C191)&gt;0,ROUND(G191*(1-SUMIFS('İndirimler'!$D$2:$D$210,'İndirimler'!$A$2:$A$210,B191,'İndirimler'!$B$2:$B$210,C191)),2),"")</x:f>
        <x:v>191.8</x:v>
      </x:c>
      <x:c r="J191" s="12" t="s">
        <x:v>333</x:v>
      </x:c>
      <x:c r="K191" s="31"/>
    </x:row>
    <x:row r="192" ht="21.950000762939453" customHeight="1">
      <x:c r="A192" s="15" t="s">
        <x:v>334</x:v>
      </x:c>
      <x:c r="B192" s="12" t="s">
        <x:v>304</x:v>
      </x:c>
      <x:c r="C192" s="12" t="s">
        <x:v>33</x:v>
      </x:c>
      <x:c r="D192" s="12" t="s">
        <x:v>305</x:v>
      </x:c>
      <x:c r="E192" s="12"/>
      <x:c r="F192" s="12" t="s">
        <x:v>16</x:v>
      </x:c>
      <x:c r="G192" s="18"/>
      <x:c r="H192" s="21" t="n">
        <x:f>IF(SUMIFS('İndirimler'!$C$2:$C$210,'İndirimler'!$A$2:$A$210,B192,'İndirimler'!$B$2:$B$210,C192)&gt;0,ROUND(G192*(1-SUMIFS('İndirimler'!$C$2:$C$210,'İndirimler'!$A$2:$A$210,B192,'İndirimler'!$B$2:$B$210,C192)),2),"")</x:f>
        <x:v>0</x:v>
      </x:c>
      <x:c r="I192" s="24" t="n">
        <x:f>IF(SUMIFS('İndirimler'!$D$2:$D$210,'İndirimler'!$A$2:$A$210,B192,'İndirimler'!$B$2:$B$210,C192)&gt;0,ROUND(G192*(1-SUMIFS('İndirimler'!$D$2:$D$210,'İndirimler'!$A$2:$A$210,B192,'İndirimler'!$B$2:$B$210,C192)),2),"")</x:f>
        <x:v>0</x:v>
      </x:c>
      <x:c r="J192" s="12"/>
      <x:c r="K192" s="31" t="s">
        <x:v>335</x:v>
      </x:c>
    </x:row>
    <x:row r="193" ht="21.950000762939453" customHeight="1">
      <x:c r="A193" s="15" t="s">
        <x:v>336</x:v>
      </x:c>
      <x:c r="B193" s="12" t="s">
        <x:v>63</x:v>
      </x:c>
      <x:c r="C193" s="12" t="s">
        <x:v>33</x:v>
      </x:c>
      <x:c r="D193" s="12" t="s">
        <x:v>305</x:v>
      </x:c>
      <x:c r="E193" s="12" t="s">
        <x:v>64</x:v>
      </x:c>
      <x:c r="F193" s="12" t="s">
        <x:v>16</x:v>
      </x:c>
      <x:c r="G193" s="18">
        <x:v>499</x:v>
      </x:c>
      <x:c r="H193" s="21" t="n">
        <x:f>IF(SUMIFS('İndirimler'!$C$2:$C$210,'İndirimler'!$A$2:$A$210,B193,'İndirimler'!$B$2:$B$210,C193)&gt;0,ROUND(G193*(1-SUMIFS('İndirimler'!$C$2:$C$210,'İndirimler'!$A$2:$A$210,B193,'İndirimler'!$B$2:$B$210,C193)),2),"")</x:f>
        <x:v>424.15</x:v>
      </x:c>
      <x:c r="I193" s="24" t="n">
        <x:f>IF(SUMIFS('İndirimler'!$D$2:$D$210,'İndirimler'!$A$2:$A$210,B193,'İndirimler'!$B$2:$B$210,C193)&gt;0,ROUND(G193*(1-SUMIFS('İndirimler'!$D$2:$D$210,'İndirimler'!$A$2:$A$210,B193,'İndirimler'!$B$2:$B$210,C193)),2),"")</x:f>
        <x:v>349.3</x:v>
      </x:c>
      <x:c r="J193" s="12" t="s">
        <x:v>337</x:v>
      </x:c>
      <x:c r="K193" s="31"/>
    </x:row>
    <x:row r="194" ht="21.950000762939453" customHeight="1">
      <x:c r="A194" s="15" t="s">
        <x:v>338</x:v>
      </x:c>
      <x:c r="B194" s="12" t="s">
        <x:v>23</x:v>
      </x:c>
      <x:c r="C194" s="12" t="s">
        <x:v>33</x:v>
      </x:c>
      <x:c r="D194" s="12" t="s">
        <x:v>305</x:v>
      </x:c>
      <x:c r="E194" s="12"/>
      <x:c r="F194" s="12" t="s">
        <x:v>16</x:v>
      </x:c>
      <x:c r="G194" s="18">
        <x:v>560</x:v>
      </x:c>
      <x:c r="H194" s="21" t="n">
        <x:f>IF(SUMIFS('İndirimler'!$C$2:$C$210,'İndirimler'!$A$2:$A$210,B194,'İndirimler'!$B$2:$B$210,C194)&gt;0,ROUND(G194*(1-SUMIFS('İndirimler'!$C$2:$C$210,'İndirimler'!$A$2:$A$210,B194,'İndirimler'!$B$2:$B$210,C194)),2),"")</x:f>
        <x:v>476</x:v>
      </x:c>
      <x:c r="I194" s="24" t="n">
        <x:f>IF(SUMIFS('İndirimler'!$D$2:$D$210,'İndirimler'!$A$2:$A$210,B194,'İndirimler'!$B$2:$B$210,C194)&gt;0,ROUND(G194*(1-SUMIFS('İndirimler'!$D$2:$D$210,'İndirimler'!$A$2:$A$210,B194,'İndirimler'!$B$2:$B$210,C194)),2),"")</x:f>
        <x:v>392</x:v>
      </x:c>
      <x:c r="J194" s="30" t="s">
        <x:v>339</x:v>
      </x:c>
      <x:c r="K194" s="31"/>
    </x:row>
    <x:row r="195" ht="21.950000762939453" customHeight="1">
      <x:c r="A195" s="15" t="s">
        <x:v>340</x:v>
      </x:c>
      <x:c r="B195" s="12" t="s">
        <x:v>50</x:v>
      </x:c>
      <x:c r="C195" s="12" t="s">
        <x:v>33</x:v>
      </x:c>
      <x:c r="D195" s="12" t="s">
        <x:v>305</x:v>
      </x:c>
      <x:c r="E195" s="12" t="s">
        <x:v>69</x:v>
      </x:c>
      <x:c r="F195" s="12" t="s">
        <x:v>16</x:v>
      </x:c>
      <x:c r="G195" s="18">
        <x:v>546</x:v>
      </x:c>
      <x:c r="H195" s="21" t="n">
        <x:f>IF(SUMIFS('İndirimler'!$C$2:$C$210,'İndirimler'!$A$2:$A$210,B195,'İndirimler'!$B$2:$B$210,C195)&gt;0,ROUND(G195*(1-SUMIFS('İndirimler'!$C$2:$C$210,'İndirimler'!$A$2:$A$210,B195,'İndirimler'!$B$2:$B$210,C195)),2),"")</x:f>
        <x:v>464.1</x:v>
      </x:c>
      <x:c r="I195" s="24" t="n">
        <x:f>IF(SUMIFS('İndirimler'!$D$2:$D$210,'İndirimler'!$A$2:$A$210,B195,'İndirimler'!$B$2:$B$210,C195)&gt;0,ROUND(G195*(1-SUMIFS('İndirimler'!$D$2:$D$210,'İndirimler'!$A$2:$A$210,B195,'İndirimler'!$B$2:$B$210,C195)),2),"")</x:f>
        <x:v>382.2</x:v>
      </x:c>
      <x:c r="J195" s="12"/>
      <x:c r="K195" s="31"/>
    </x:row>
    <x:row r="196" ht="21.950000762939453" customHeight="1">
      <x:c r="A196" s="15" t="s">
        <x:v>341</x:v>
      </x:c>
      <x:c r="B196" s="12" t="s">
        <x:v>38</x:v>
      </x:c>
      <x:c r="C196" s="12" t="s">
        <x:v>33</x:v>
      </x:c>
      <x:c r="D196" s="12" t="s">
        <x:v>305</x:v>
      </x:c>
      <x:c r="E196" s="12" t="s">
        <x:v>69</x:v>
      </x:c>
      <x:c r="F196" s="12" t="s">
        <x:v>16</x:v>
      </x:c>
      <x:c r="G196" s="18">
        <x:v>409</x:v>
      </x:c>
      <x:c r="H196" s="21" t="n">
        <x:f>IF(SUMIFS('İndirimler'!$C$2:$C$210,'İndirimler'!$A$2:$A$210,B196,'İndirimler'!$B$2:$B$210,C196)&gt;0,ROUND(G196*(1-SUMIFS('İndirimler'!$C$2:$C$210,'İndirimler'!$A$2:$A$210,B196,'İndirimler'!$B$2:$B$210,C196)),2),"")</x:f>
        <x:v>347.65</x:v>
      </x:c>
      <x:c r="I196" s="24" t="n">
        <x:f>IF(SUMIFS('İndirimler'!$D$2:$D$210,'İndirimler'!$A$2:$A$210,B196,'İndirimler'!$B$2:$B$210,C196)&gt;0,ROUND(G196*(1-SUMIFS('İndirimler'!$D$2:$D$210,'İndirimler'!$A$2:$A$210,B196,'İndirimler'!$B$2:$B$210,C196)),2),"")</x:f>
        <x:v>286.3</x:v>
      </x:c>
      <x:c r="J196" s="12" t="s">
        <x:v>342</x:v>
      </x:c>
      <x:c r="K196" s="31"/>
    </x:row>
    <x:row r="197" ht="21.950000762939453" customHeight="1">
      <x:c r="A197" s="15" t="s">
        <x:v>343</x:v>
      </x:c>
      <x:c r="B197" s="12" t="s">
        <x:v>72</x:v>
      </x:c>
      <x:c r="C197" s="12" t="s">
        <x:v>33</x:v>
      </x:c>
      <x:c r="D197" s="12" t="s">
        <x:v>305</x:v>
      </x:c>
      <x:c r="E197" s="12"/>
      <x:c r="F197" s="12" t="s">
        <x:v>73</x:v>
      </x:c>
      <x:c r="G197" s="18">
        <x:v>455</x:v>
      </x:c>
      <x:c r="H197" s="21" t="n">
        <x:f>IF(SUMIFS('İndirimler'!$C$2:$C$210,'İndirimler'!$A$2:$A$210,B197,'İndirimler'!$B$2:$B$210,C197)&gt;0,ROUND(G197*(1-SUMIFS('İndirimler'!$C$2:$C$210,'İndirimler'!$A$2:$A$210,B197,'İndirimler'!$B$2:$B$210,C197)),2),"")</x:f>
        <x:v>386.75</x:v>
      </x:c>
      <x:c r="I197" s="24" t="n">
        <x:f>IF(SUMIFS('İndirimler'!$D$2:$D$210,'İndirimler'!$A$2:$A$210,B197,'İndirimler'!$B$2:$B$210,C197)&gt;0,ROUND(G197*(1-SUMIFS('İndirimler'!$D$2:$D$210,'İndirimler'!$A$2:$A$210,B197,'İndirimler'!$B$2:$B$210,C197)),2),"")</x:f>
        <x:v>318.5</x:v>
      </x:c>
      <x:c r="J197" s="12"/>
      <x:c r="K197" s="31"/>
    </x:row>
    <x:row r="198" ht="21.950000762939453" customHeight="1">
      <x:c r="A198" s="15" t="s">
        <x:v>344</x:v>
      </x:c>
      <x:c r="B198" s="12" t="s">
        <x:v>304</x:v>
      </x:c>
      <x:c r="C198" s="12" t="s">
        <x:v>76</x:v>
      </x:c>
      <x:c r="D198" s="12" t="s">
        <x:v>305</x:v>
      </x:c>
      <x:c r="E198" s="12" t="s">
        <x:v>306</x:v>
      </x:c>
      <x:c r="F198" s="12" t="s">
        <x:v>35</x:v>
      </x:c>
      <x:c r="G198" s="18">
        <x:v>615</x:v>
      </x:c>
      <x:c r="H198" s="21" t="n">
        <x:f>IF(SUMIFS('İndirimler'!$C$2:$C$210,'İndirimler'!$A$2:$A$210,B198,'İndirimler'!$B$2:$B$210,C198)&gt;0,ROUND(G198*(1-SUMIFS('İndirimler'!$C$2:$C$210,'İndirimler'!$A$2:$A$210,B198,'İndirimler'!$B$2:$B$210,C198)),2),"")</x:f>
        <x:v>522.75</x:v>
      </x:c>
      <x:c r="I198" s="24" t="n">
        <x:f>IF(SUMIFS('İndirimler'!$D$2:$D$210,'İndirimler'!$A$2:$A$210,B198,'İndirimler'!$B$2:$B$210,C198)&gt;0,ROUND(G198*(1-SUMIFS('İndirimler'!$D$2:$D$210,'İndirimler'!$A$2:$A$210,B198,'İndirimler'!$B$2:$B$210,C198)),2),"")</x:f>
        <x:v>430.5</x:v>
      </x:c>
      <x:c r="J198" s="12"/>
      <x:c r="K198" s="31" t="s">
        <x:v>345</x:v>
      </x:c>
    </x:row>
    <x:row r="199" ht="21.950000762939453" customHeight="1">
      <x:c r="A199" s="15" t="s">
        <x:v>346</x:v>
      </x:c>
      <x:c r="B199" s="12" t="s">
        <x:v>25</x:v>
      </x:c>
      <x:c r="C199" s="12" t="s">
        <x:v>76</x:v>
      </x:c>
      <x:c r="D199" s="12" t="s">
        <x:v>305</x:v>
      </x:c>
      <x:c r="E199" s="12" t="s">
        <x:v>126</x:v>
      </x:c>
      <x:c r="F199" s="12" t="s">
        <x:v>35</x:v>
      </x:c>
      <x:c r="G199" s="18">
        <x:v>615</x:v>
      </x:c>
      <x:c r="H199" s="21" t="n">
        <x:f>IF(SUMIFS('İndirimler'!$C$2:$C$210,'İndirimler'!$A$2:$A$210,B199,'İndirimler'!$B$2:$B$210,C199)&gt;0,ROUND(G199*(1-SUMIFS('İndirimler'!$C$2:$C$210,'İndirimler'!$A$2:$A$210,B199,'İndirimler'!$B$2:$B$210,C199)),2),"")</x:f>
        <x:v>522.75</x:v>
      </x:c>
      <x:c r="I199" s="24" t="n">
        <x:f>IF(SUMIFS('İndirimler'!$D$2:$D$210,'İndirimler'!$A$2:$A$210,B199,'İndirimler'!$B$2:$B$210,C199)&gt;0,ROUND(G199*(1-SUMIFS('İndirimler'!$D$2:$D$210,'İndirimler'!$A$2:$A$210,B199,'İndirimler'!$B$2:$B$210,C199)),2),"")</x:f>
        <x:v>430.5</x:v>
      </x:c>
      <x:c r="J199" s="12"/>
      <x:c r="K199" s="31"/>
    </x:row>
    <x:row r="200" ht="21.950000762939453" customHeight="1">
      <x:c r="A200" s="15" t="s">
        <x:v>347</x:v>
      </x:c>
      <x:c r="B200" s="12" t="s">
        <x:v>32</x:v>
      </x:c>
      <x:c r="C200" s="12" t="s">
        <x:v>76</x:v>
      </x:c>
      <x:c r="D200" s="12" t="s">
        <x:v>305</x:v>
      </x:c>
      <x:c r="E200" s="12"/>
      <x:c r="F200" s="12" t="s">
        <x:v>35</x:v>
      </x:c>
      <x:c r="G200" s="18">
        <x:v>499</x:v>
      </x:c>
      <x:c r="H200" s="21" t="n">
        <x:f>IF(SUMIFS('İndirimler'!$C$2:$C$210,'İndirimler'!$A$2:$A$210,B200,'İndirimler'!$B$2:$B$210,C200)&gt;0,ROUND(G200*(1-SUMIFS('İndirimler'!$C$2:$C$210,'İndirimler'!$A$2:$A$210,B200,'İndirimler'!$B$2:$B$210,C200)),2),"")</x:f>
        <x:v>424.15</x:v>
      </x:c>
      <x:c r="I200" s="24" t="n">
        <x:f>IF(SUMIFS('İndirimler'!$D$2:$D$210,'İndirimler'!$A$2:$A$210,B200,'İndirimler'!$B$2:$B$210,C200)&gt;0,ROUND(G200*(1-SUMIFS('İndirimler'!$D$2:$D$210,'İndirimler'!$A$2:$A$210,B200,'İndirimler'!$B$2:$B$210,C200)),2),"")</x:f>
        <x:v>349.3</x:v>
      </x:c>
      <x:c r="J200" s="30" t="s">
        <x:v>348</x:v>
      </x:c>
      <x:c r="K200" s="31"/>
    </x:row>
    <x:row r="201" ht="21.950000762939453" customHeight="1">
      <x:c r="A201" s="15" t="s">
        <x:v>349</x:v>
      </x:c>
      <x:c r="B201" s="12" t="s">
        <x:v>38</x:v>
      </x:c>
      <x:c r="C201" s="12" t="s">
        <x:v>76</x:v>
      </x:c>
      <x:c r="D201" s="12" t="s">
        <x:v>305</x:v>
      </x:c>
      <x:c r="E201" s="12"/>
      <x:c r="F201" s="12" t="s">
        <x:v>35</x:v>
      </x:c>
      <x:c r="G201" s="18">
        <x:v>825</x:v>
      </x:c>
      <x:c r="H201" s="21" t="n">
        <x:f>IF(SUMIFS('İndirimler'!$C$2:$C$210,'İndirimler'!$A$2:$A$210,B201,'İndirimler'!$B$2:$B$210,C201)&gt;0,ROUND(G201*(1-SUMIFS('İndirimler'!$C$2:$C$210,'İndirimler'!$A$2:$A$210,B201,'İndirimler'!$B$2:$B$210,C201)),2),"")</x:f>
        <x:v>701.25</x:v>
      </x:c>
      <x:c r="I201" s="24" t="n">
        <x:f>IF(SUMIFS('İndirimler'!$D$2:$D$210,'İndirimler'!$A$2:$A$210,B201,'İndirimler'!$B$2:$B$210,C201)&gt;0,ROUND(G201*(1-SUMIFS('İndirimler'!$D$2:$D$210,'İndirimler'!$A$2:$A$210,B201,'İndirimler'!$B$2:$B$210,C201)),2),"")</x:f>
        <x:v>577.5</x:v>
      </x:c>
      <x:c r="J201" s="12" t="s">
        <x:v>350</x:v>
      </x:c>
      <x:c r="K201" s="31"/>
    </x:row>
    <x:row r="202" ht="21.950000762939453" customHeight="1">
      <x:c r="A202" s="15" t="s">
        <x:v>351</x:v>
      </x:c>
      <x:c r="B202" s="12" t="s">
        <x:v>138</x:v>
      </x:c>
      <x:c r="C202" s="12" t="s">
        <x:v>76</x:v>
      </x:c>
      <x:c r="D202" s="12" t="s">
        <x:v>305</x:v>
      </x:c>
      <x:c r="E202" s="12" t="s">
        <x:v>314</x:v>
      </x:c>
      <x:c r="F202" s="12" t="s">
        <x:v>42</x:v>
      </x:c>
      <x:c r="G202" s="18">
        <x:v>570</x:v>
      </x:c>
      <x:c r="H202" s="21" t="n">
        <x:f>IF(SUMIFS('İndirimler'!$C$2:$C$210,'İndirimler'!$A$2:$A$210,B202,'İndirimler'!$B$2:$B$210,C202)&gt;0,ROUND(G202*(1-SUMIFS('İndirimler'!$C$2:$C$210,'İndirimler'!$A$2:$A$210,B202,'İndirimler'!$B$2:$B$210,C202)),2),"")</x:f>
        <x:v>484.5</x:v>
      </x:c>
      <x:c r="I202" s="24" t="n">
        <x:f>IF(SUMIFS('İndirimler'!$D$2:$D$210,'İndirimler'!$A$2:$A$210,B202,'İndirimler'!$B$2:$B$210,C202)&gt;0,ROUND(G202*(1-SUMIFS('İndirimler'!$D$2:$D$210,'İndirimler'!$A$2:$A$210,B202,'İndirimler'!$B$2:$B$210,C202)),2),"")</x:f>
        <x:v>399</x:v>
      </x:c>
      <x:c r="J202" s="12" t="s">
        <x:v>352</x:v>
      </x:c>
      <x:c r="K202" s="31"/>
    </x:row>
    <x:row r="203" ht="21.950000762939453" customHeight="1">
      <x:c r="A203" s="15" t="s">
        <x:v>353</x:v>
      </x:c>
      <x:c r="B203" s="12" t="s">
        <x:v>18</x:v>
      </x:c>
      <x:c r="C203" s="12" t="s">
        <x:v>76</x:v>
      </x:c>
      <x:c r="D203" s="12" t="s">
        <x:v>305</x:v>
      </x:c>
      <x:c r="E203" s="12" t="s">
        <x:v>41</x:v>
      </x:c>
      <x:c r="F203" s="12" t="s">
        <x:v>42</x:v>
      </x:c>
      <x:c r="G203" s="18"/>
      <x:c r="H203" s="21" t="n">
        <x:f>IF(SUMIFS('İndirimler'!$C$2:$C$210,'İndirimler'!$A$2:$A$210,B203,'İndirimler'!$B$2:$B$210,C203)&gt;0,ROUND(G203*(1-SUMIFS('İndirimler'!$C$2:$C$210,'İndirimler'!$A$2:$A$210,B203,'İndirimler'!$B$2:$B$210,C203)),2),"")</x:f>
        <x:v>0</x:v>
      </x:c>
      <x:c r="I203" s="24" t="n">
        <x:f>IF(SUMIFS('İndirimler'!$D$2:$D$210,'İndirimler'!$A$2:$A$210,B203,'İndirimler'!$B$2:$B$210,C203)&gt;0,ROUND(G203*(1-SUMIFS('İndirimler'!$D$2:$D$210,'İndirimler'!$A$2:$A$210,B203,'İndirimler'!$B$2:$B$210,C203)),2),"")</x:f>
        <x:v>0</x:v>
      </x:c>
      <x:c r="J203" s="12"/>
      <x:c r="K203" s="31"/>
    </x:row>
    <x:row r="204" ht="21.950000762939453" customHeight="1">
      <x:c r="A204" s="15" t="s">
        <x:v>354</x:v>
      </x:c>
      <x:c r="B204" s="12" t="s">
        <x:v>44</x:v>
      </x:c>
      <x:c r="C204" s="12" t="s">
        <x:v>76</x:v>
      </x:c>
      <x:c r="D204" s="12" t="s">
        <x:v>305</x:v>
      </x:c>
      <x:c r="E204" s="12" t="s">
        <x:v>45</x:v>
      </x:c>
      <x:c r="F204" s="12" t="s">
        <x:v>42</x:v>
      </x:c>
      <x:c r="G204" s="18">
        <x:v>322</x:v>
      </x:c>
      <x:c r="H204" s="21" t="n">
        <x:f>IF(SUMIFS('İndirimler'!$C$2:$C$210,'İndirimler'!$A$2:$A$210,B204,'İndirimler'!$B$2:$B$210,C204)&gt;0,ROUND(G204*(1-SUMIFS('İndirimler'!$C$2:$C$210,'İndirimler'!$A$2:$A$210,B204,'İndirimler'!$B$2:$B$210,C204)),2),"")</x:f>
        <x:v>273.7</x:v>
      </x:c>
      <x:c r="I204" s="24" t="n">
        <x:f>IF(SUMIFS('İndirimler'!$D$2:$D$210,'İndirimler'!$A$2:$A$210,B204,'İndirimler'!$B$2:$B$210,C204)&gt;0,ROUND(G204*(1-SUMIFS('İndirimler'!$D$2:$D$210,'İndirimler'!$A$2:$A$210,B204,'İndirimler'!$B$2:$B$210,C204)),2),"")</x:f>
        <x:v>225.4</x:v>
      </x:c>
      <x:c r="J204" s="12" t="s">
        <x:v>355</x:v>
      </x:c>
      <x:c r="K204" s="31"/>
    </x:row>
    <x:row r="205" ht="21.950000762939453" customHeight="1">
      <x:c r="A205" s="15" t="s">
        <x:v>356</x:v>
      </x:c>
      <x:c r="B205" s="12" t="s">
        <x:v>23</x:v>
      </x:c>
      <x:c r="C205" s="12" t="s">
        <x:v>76</x:v>
      </x:c>
      <x:c r="D205" s="12" t="s">
        <x:v>305</x:v>
      </x:c>
      <x:c r="E205" s="12"/>
      <x:c r="F205" s="12" t="s">
        <x:v>42</x:v>
      </x:c>
      <x:c r="G205" s="18">
        <x:v>608</x:v>
      </x:c>
      <x:c r="H205" s="21" t="n">
        <x:f>IF(SUMIFS('İndirimler'!$C$2:$C$210,'İndirimler'!$A$2:$A$210,B205,'İndirimler'!$B$2:$B$210,C205)&gt;0,ROUND(G205*(1-SUMIFS('İndirimler'!$C$2:$C$210,'İndirimler'!$A$2:$A$210,B205,'İndirimler'!$B$2:$B$210,C205)),2),"")</x:f>
        <x:v>516.8</x:v>
      </x:c>
      <x:c r="I205" s="24" t="n">
        <x:f>IF(SUMIFS('İndirimler'!$D$2:$D$210,'İndirimler'!$A$2:$A$210,B205,'İndirimler'!$B$2:$B$210,C205)&gt;0,ROUND(G205*(1-SUMIFS('İndirimler'!$D$2:$D$210,'İndirimler'!$A$2:$A$210,B205,'İndirimler'!$B$2:$B$210,C205)),2),"")</x:f>
        <x:v>425.6</x:v>
      </x:c>
      <x:c r="J205" s="12" t="s">
        <x:v>357</x:v>
      </x:c>
      <x:c r="K205" s="31"/>
    </x:row>
    <x:row r="206" ht="21.950000762939453" customHeight="1">
      <x:c r="A206" s="15" t="s">
        <x:v>358</x:v>
      </x:c>
      <x:c r="B206" s="12" t="s">
        <x:v>50</x:v>
      </x:c>
      <x:c r="C206" s="12" t="s">
        <x:v>76</x:v>
      </x:c>
      <x:c r="D206" s="12" t="s">
        <x:v>305</x:v>
      </x:c>
      <x:c r="E206" s="12" t="s">
        <x:v>51</x:v>
      </x:c>
      <x:c r="F206" s="12" t="s">
        <x:v>42</x:v>
      </x:c>
      <x:c r="G206" s="18">
        <x:v>540</x:v>
      </x:c>
      <x:c r="H206" s="21" t="n">
        <x:f>IF(SUMIFS('İndirimler'!$C$2:$C$210,'İndirimler'!$A$2:$A$210,B206,'İndirimler'!$B$2:$B$210,C206)&gt;0,ROUND(G206*(1-SUMIFS('İndirimler'!$C$2:$C$210,'İndirimler'!$A$2:$A$210,B206,'İndirimler'!$B$2:$B$210,C206)),2),"")</x:f>
        <x:v>459</x:v>
      </x:c>
      <x:c r="I206" s="24" t="n">
        <x:f>IF(SUMIFS('İndirimler'!$D$2:$D$210,'İndirimler'!$A$2:$A$210,B206,'İndirimler'!$B$2:$B$210,C206)&gt;0,ROUND(G206*(1-SUMIFS('İndirimler'!$D$2:$D$210,'İndirimler'!$A$2:$A$210,B206,'İndirimler'!$B$2:$B$210,C206)),2),"")</x:f>
        <x:v>378</x:v>
      </x:c>
      <x:c r="J206" s="12"/>
      <x:c r="K206" s="31"/>
    </x:row>
    <x:row r="207" ht="21.950000762939453" customHeight="1">
      <x:c r="A207" s="15" t="s">
        <x:v>359</x:v>
      </x:c>
      <x:c r="B207" s="12" t="s">
        <x:v>323</x:v>
      </x:c>
      <x:c r="C207" s="12" t="s">
        <x:v>76</x:v>
      </x:c>
      <x:c r="D207" s="12" t="s">
        <x:v>305</x:v>
      </x:c>
      <x:c r="E207" s="12"/>
      <x:c r="F207" s="12" t="s">
        <x:v>42</x:v>
      </x:c>
      <x:c r="G207" s="18">
        <x:v>555</x:v>
      </x:c>
      <x:c r="H207" s="21" t="n">
        <x:f>IF(SUMIFS('İndirimler'!$C$2:$C$210,'İndirimler'!$A$2:$A$210,B207,'İndirimler'!$B$2:$B$210,C207)&gt;0,ROUND(G207*(1-SUMIFS('İndirimler'!$C$2:$C$210,'İndirimler'!$A$2:$A$210,B207,'İndirimler'!$B$2:$B$210,C207)),2),"")</x:f>
        <x:v>471.75</x:v>
      </x:c>
      <x:c r="I207" s="24" t="n">
        <x:f>IF(SUMIFS('İndirimler'!$D$2:$D$210,'İndirimler'!$A$2:$A$210,B207,'İndirimler'!$B$2:$B$210,C207)&gt;0,ROUND(G207*(1-SUMIFS('İndirimler'!$D$2:$D$210,'İndirimler'!$A$2:$A$210,B207,'İndirimler'!$B$2:$B$210,C207)),2),"")</x:f>
        <x:v>388.5</x:v>
      </x:c>
      <x:c r="J207" s="12"/>
      <x:c r="K207" s="31"/>
    </x:row>
    <x:row r="208" ht="21.950000762939453" customHeight="1">
      <x:c r="A208" s="15" t="s">
        <x:v>360</x:v>
      </x:c>
      <x:c r="B208" s="12" t="s">
        <x:v>55</x:v>
      </x:c>
      <x:c r="C208" s="12" t="s">
        <x:v>76</x:v>
      </x:c>
      <x:c r="D208" s="12" t="s">
        <x:v>305</x:v>
      </x:c>
      <x:c r="E208" s="12"/>
      <x:c r="F208" s="12" t="s">
        <x:v>16</x:v>
      </x:c>
      <x:c r="G208" s="18">
        <x:v>434</x:v>
      </x:c>
      <x:c r="H208" s="21" t="n">
        <x:f>IF(SUMIFS('İndirimler'!$C$2:$C$210,'İndirimler'!$A$2:$A$210,B208,'İndirimler'!$B$2:$B$210,C208)&gt;0,ROUND(G208*(1-SUMIFS('İndirimler'!$C$2:$C$210,'İndirimler'!$A$2:$A$210,B208,'İndirimler'!$B$2:$B$210,C208)),2),"")</x:f>
        <x:v>368.9</x:v>
      </x:c>
      <x:c r="I208" s="24" t="n">
        <x:f>IF(SUMIFS('İndirimler'!$D$2:$D$210,'İndirimler'!$A$2:$A$210,B208,'İndirimler'!$B$2:$B$210,C208)&gt;0,ROUND(G208*(1-SUMIFS('İndirimler'!$D$2:$D$210,'İndirimler'!$A$2:$A$210,B208,'İndirimler'!$B$2:$B$210,C208)),2),"")</x:f>
        <x:v>303.8</x:v>
      </x:c>
      <x:c r="J208" s="12" t="s">
        <x:v>361</x:v>
      </x:c>
      <x:c r="K208" s="31"/>
    </x:row>
    <x:row r="209" ht="21.950000762939453" customHeight="1">
      <x:c r="A209" s="15" t="s">
        <x:v>362</x:v>
      </x:c>
      <x:c r="B209" s="12" t="s">
        <x:v>138</x:v>
      </x:c>
      <x:c r="C209" s="12" t="s">
        <x:v>76</x:v>
      </x:c>
      <x:c r="D209" s="12" t="s">
        <x:v>305</x:v>
      </x:c>
      <x:c r="E209" s="12"/>
      <x:c r="F209" s="12" t="s">
        <x:v>16</x:v>
      </x:c>
      <x:c r="G209" s="18">
        <x:v>528</x:v>
      </x:c>
      <x:c r="H209" s="21" t="n">
        <x:f>IF(SUMIFS('İndirimler'!$C$2:$C$210,'İndirimler'!$A$2:$A$210,B209,'İndirimler'!$B$2:$B$210,C209)&gt;0,ROUND(G209*(1-SUMIFS('İndirimler'!$C$2:$C$210,'İndirimler'!$A$2:$A$210,B209,'İndirimler'!$B$2:$B$210,C209)),2),"")</x:f>
        <x:v>448.8</x:v>
      </x:c>
      <x:c r="I209" s="24" t="n">
        <x:f>IF(SUMIFS('İndirimler'!$D$2:$D$210,'İndirimler'!$A$2:$A$210,B209,'İndirimler'!$B$2:$B$210,C209)&gt;0,ROUND(G209*(1-SUMIFS('İndirimler'!$D$2:$D$210,'İndirimler'!$A$2:$A$210,B209,'İndirimler'!$B$2:$B$210,C209)),2),"")</x:f>
        <x:v>369.6</x:v>
      </x:c>
      <x:c r="J209" s="12" t="s">
        <x:v>363</x:v>
      </x:c>
      <x:c r="K209" s="31"/>
    </x:row>
    <x:row r="210" ht="21.950000762939453" customHeight="1">
      <x:c r="A210" s="15" t="s">
        <x:v>364</x:v>
      </x:c>
      <x:c r="B210" s="12" t="s">
        <x:v>18</x:v>
      </x:c>
      <x:c r="C210" s="12" t="s">
        <x:v>76</x:v>
      </x:c>
      <x:c r="D210" s="12" t="s">
        <x:v>305</x:v>
      </x:c>
      <x:c r="E210" s="12"/>
      <x:c r="F210" s="12" t="s">
        <x:v>16</x:v>
      </x:c>
      <x:c r="G210" s="18">
        <x:v>519</x:v>
      </x:c>
      <x:c r="H210" s="21" t="n">
        <x:f>IF(SUMIFS('İndirimler'!$C$2:$C$210,'İndirimler'!$A$2:$A$210,B210,'İndirimler'!$B$2:$B$210,C210)&gt;0,ROUND(G210*(1-SUMIFS('İndirimler'!$C$2:$C$210,'İndirimler'!$A$2:$A$210,B210,'İndirimler'!$B$2:$B$210,C210)),2),"")</x:f>
        <x:v>441.15</x:v>
      </x:c>
      <x:c r="I210" s="24" t="n">
        <x:f>IF(SUMIFS('İndirimler'!$D$2:$D$210,'İndirimler'!$A$2:$A$210,B210,'İndirimler'!$B$2:$B$210,C210)&gt;0,ROUND(G210*(1-SUMIFS('İndirimler'!$D$2:$D$210,'İndirimler'!$A$2:$A$210,B210,'İndirimler'!$B$2:$B$210,C210)),2),"")</x:f>
        <x:v>363.3</x:v>
      </x:c>
      <x:c r="J210" s="30" t="s">
        <x:v>365</x:v>
      </x:c>
      <x:c r="K210" s="31"/>
    </x:row>
    <x:row r="211" ht="21.950000762939453" customHeight="1">
      <x:c r="A211" s="15" t="s">
        <x:v>366</x:v>
      </x:c>
      <x:c r="B211" s="12" t="s">
        <x:v>331</x:v>
      </x:c>
      <x:c r="C211" s="12" t="s">
        <x:v>76</x:v>
      </x:c>
      <x:c r="D211" s="12" t="s">
        <x:v>305</x:v>
      </x:c>
      <x:c r="E211" s="12"/>
      <x:c r="F211" s="12" t="s">
        <x:v>16</x:v>
      </x:c>
      <x:c r="G211" s="18">
        <x:v>479</x:v>
      </x:c>
      <x:c r="H211" s="21" t="n">
        <x:f>IF(SUMIFS('İndirimler'!$C$2:$C$210,'İndirimler'!$A$2:$A$210,B211,'İndirimler'!$B$2:$B$210,C211)&gt;0,ROUND(G211*(1-SUMIFS('İndirimler'!$C$2:$C$210,'İndirimler'!$A$2:$A$210,B211,'İndirimler'!$B$2:$B$210,C211)),2),"")</x:f>
        <x:v>407.15</x:v>
      </x:c>
      <x:c r="I211" s="24" t="n">
        <x:f>IF(SUMIFS('İndirimler'!$D$2:$D$210,'İndirimler'!$A$2:$A$210,B211,'İndirimler'!$B$2:$B$210,C211)&gt;0,ROUND(G211*(1-SUMIFS('İndirimler'!$D$2:$D$210,'İndirimler'!$A$2:$A$210,B211,'İndirimler'!$B$2:$B$210,C211)),2),"")</x:f>
        <x:v>335.3</x:v>
      </x:c>
      <x:c r="J211" s="12"/>
      <x:c r="K211" s="31"/>
    </x:row>
    <x:row r="212" ht="21.950000762939453" customHeight="1">
      <x:c r="A212" s="15" t="s">
        <x:v>367</x:v>
      </x:c>
      <x:c r="B212" s="12" t="s">
        <x:v>331</x:v>
      </x:c>
      <x:c r="C212" s="12" t="s">
        <x:v>76</x:v>
      </x:c>
      <x:c r="D212" s="12" t="s">
        <x:v>305</x:v>
      </x:c>
      <x:c r="E212" s="12"/>
      <x:c r="F212" s="12" t="s">
        <x:v>16</x:v>
      </x:c>
      <x:c r="G212" s="18">
        <x:v>479</x:v>
      </x:c>
      <x:c r="H212" s="21" t="n">
        <x:f>IF(SUMIFS('İndirimler'!$C$2:$C$210,'İndirimler'!$A$2:$A$210,B212,'İndirimler'!$B$2:$B$210,C212)&gt;0,ROUND(G212*(1-SUMIFS('İndirimler'!$C$2:$C$210,'İndirimler'!$A$2:$A$210,B212,'İndirimler'!$B$2:$B$210,C212)),2),"")</x:f>
        <x:v>407.15</x:v>
      </x:c>
      <x:c r="I212" s="24" t="n">
        <x:f>IF(SUMIFS('İndirimler'!$D$2:$D$210,'İndirimler'!$A$2:$A$210,B212,'İndirimler'!$B$2:$B$210,C212)&gt;0,ROUND(G212*(1-SUMIFS('İndirimler'!$D$2:$D$210,'İndirimler'!$A$2:$A$210,B212,'İndirimler'!$B$2:$B$210,C212)),2),"")</x:f>
        <x:v>335.3</x:v>
      </x:c>
      <x:c r="J212" s="12"/>
      <x:c r="K212" s="31"/>
    </x:row>
    <x:row r="213" ht="21.950000762939453" customHeight="1">
      <x:c r="A213" s="15" t="s">
        <x:v>368</x:v>
      </x:c>
      <x:c r="B213" s="12" t="s">
        <x:v>44</x:v>
      </x:c>
      <x:c r="C213" s="12" t="s">
        <x:v>76</x:v>
      </x:c>
      <x:c r="D213" s="12" t="s">
        <x:v>305</x:v>
      </x:c>
      <x:c r="E213" s="12" t="s">
        <x:v>60</x:v>
      </x:c>
      <x:c r="F213" s="12" t="s">
        <x:v>16</x:v>
      </x:c>
      <x:c r="G213" s="18">
        <x:v>274</x:v>
      </x:c>
      <x:c r="H213" s="21" t="n">
        <x:f>IF(SUMIFS('İndirimler'!$C$2:$C$210,'İndirimler'!$A$2:$A$210,B213,'İndirimler'!$B$2:$B$210,C213)&gt;0,ROUND(G213*(1-SUMIFS('İndirimler'!$C$2:$C$210,'İndirimler'!$A$2:$A$210,B213,'İndirimler'!$B$2:$B$210,C213)),2),"")</x:f>
        <x:v>232.9</x:v>
      </x:c>
      <x:c r="I213" s="24" t="n">
        <x:f>IF(SUMIFS('İndirimler'!$D$2:$D$210,'İndirimler'!$A$2:$A$210,B213,'İndirimler'!$B$2:$B$210,C213)&gt;0,ROUND(G213*(1-SUMIFS('İndirimler'!$D$2:$D$210,'İndirimler'!$A$2:$A$210,B213,'İndirimler'!$B$2:$B$210,C213)),2),"")</x:f>
        <x:v>191.8</x:v>
      </x:c>
      <x:c r="J213" s="12" t="s">
        <x:v>369</x:v>
      </x:c>
      <x:c r="K213" s="31"/>
    </x:row>
    <x:row r="214" ht="21.950000762939453" customHeight="1">
      <x:c r="A214" s="15" t="s">
        <x:v>370</x:v>
      </x:c>
      <x:c r="B214" s="12" t="s">
        <x:v>304</x:v>
      </x:c>
      <x:c r="C214" s="12" t="s">
        <x:v>76</x:v>
      </x:c>
      <x:c r="D214" s="12" t="s">
        <x:v>305</x:v>
      </x:c>
      <x:c r="E214" s="12"/>
      <x:c r="F214" s="12" t="s">
        <x:v>16</x:v>
      </x:c>
      <x:c r="G214" s="18"/>
      <x:c r="H214" s="21" t="n">
        <x:f>IF(SUMIFS('İndirimler'!$C$2:$C$210,'İndirimler'!$A$2:$A$210,B214,'İndirimler'!$B$2:$B$210,C214)&gt;0,ROUND(G214*(1-SUMIFS('İndirimler'!$C$2:$C$210,'İndirimler'!$A$2:$A$210,B214,'İndirimler'!$B$2:$B$210,C214)),2),"")</x:f>
        <x:v>0</x:v>
      </x:c>
      <x:c r="I214" s="24" t="n">
        <x:f>IF(SUMIFS('İndirimler'!$D$2:$D$210,'İndirimler'!$A$2:$A$210,B214,'İndirimler'!$B$2:$B$210,C214)&gt;0,ROUND(G214*(1-SUMIFS('İndirimler'!$D$2:$D$210,'İndirimler'!$A$2:$A$210,B214,'İndirimler'!$B$2:$B$210,C214)),2),"")</x:f>
        <x:v>0</x:v>
      </x:c>
      <x:c r="J214" s="12"/>
      <x:c r="K214" s="31" t="s">
        <x:v>371</x:v>
      </x:c>
    </x:row>
    <x:row r="215" ht="21.950000762939453" customHeight="1">
      <x:c r="A215" s="15" t="s">
        <x:v>372</x:v>
      </x:c>
      <x:c r="B215" s="12" t="s">
        <x:v>63</x:v>
      </x:c>
      <x:c r="C215" s="12" t="s">
        <x:v>76</x:v>
      </x:c>
      <x:c r="D215" s="12" t="s">
        <x:v>305</x:v>
      </x:c>
      <x:c r="E215" s="12" t="s">
        <x:v>64</x:v>
      </x:c>
      <x:c r="F215" s="12" t="s">
        <x:v>16</x:v>
      </x:c>
      <x:c r="G215" s="18">
        <x:v>525</x:v>
      </x:c>
      <x:c r="H215" s="21" t="n">
        <x:f>IF(SUMIFS('İndirimler'!$C$2:$C$210,'İndirimler'!$A$2:$A$210,B215,'İndirimler'!$B$2:$B$210,C215)&gt;0,ROUND(G215*(1-SUMIFS('İndirimler'!$C$2:$C$210,'İndirimler'!$A$2:$A$210,B215,'İndirimler'!$B$2:$B$210,C215)),2),"")</x:f>
        <x:v>446.25</x:v>
      </x:c>
      <x:c r="I215" s="24" t="n">
        <x:f>IF(SUMIFS('İndirimler'!$D$2:$D$210,'İndirimler'!$A$2:$A$210,B215,'İndirimler'!$B$2:$B$210,C215)&gt;0,ROUND(G215*(1-SUMIFS('İndirimler'!$D$2:$D$210,'İndirimler'!$A$2:$A$210,B215,'İndirimler'!$B$2:$B$210,C215)),2),"")</x:f>
        <x:v>367.5</x:v>
      </x:c>
      <x:c r="J215" s="12" t="s">
        <x:v>373</x:v>
      </x:c>
      <x:c r="K215" s="31"/>
    </x:row>
    <x:row r="216" ht="21.950000762939453" customHeight="1">
      <x:c r="A216" s="15" t="s">
        <x:v>374</x:v>
      </x:c>
      <x:c r="B216" s="12" t="s">
        <x:v>23</x:v>
      </x:c>
      <x:c r="C216" s="12" t="s">
        <x:v>76</x:v>
      </x:c>
      <x:c r="D216" s="12" t="s">
        <x:v>305</x:v>
      </x:c>
      <x:c r="E216" s="12"/>
      <x:c r="F216" s="12" t="s">
        <x:v>16</x:v>
      </x:c>
      <x:c r="G216" s="18">
        <x:v>590</x:v>
      </x:c>
      <x:c r="H216" s="21" t="n">
        <x:f>IF(SUMIFS('İndirimler'!$C$2:$C$210,'İndirimler'!$A$2:$A$210,B216,'İndirimler'!$B$2:$B$210,C216)&gt;0,ROUND(G216*(1-SUMIFS('İndirimler'!$C$2:$C$210,'İndirimler'!$A$2:$A$210,B216,'İndirimler'!$B$2:$B$210,C216)),2),"")</x:f>
        <x:v>501.5</x:v>
      </x:c>
      <x:c r="I216" s="24" t="n">
        <x:f>IF(SUMIFS('İndirimler'!$D$2:$D$210,'İndirimler'!$A$2:$A$210,B216,'İndirimler'!$B$2:$B$210,C216)&gt;0,ROUND(G216*(1-SUMIFS('İndirimler'!$D$2:$D$210,'İndirimler'!$A$2:$A$210,B216,'İndirimler'!$B$2:$B$210,C216)),2),"")</x:f>
        <x:v>413</x:v>
      </x:c>
      <x:c r="J216" s="12" t="s">
        <x:v>375</x:v>
      </x:c>
      <x:c r="K216" s="31"/>
    </x:row>
    <x:row r="217" ht="21.950000762939453" customHeight="1">
      <x:c r="A217" s="15" t="s">
        <x:v>376</x:v>
      </x:c>
      <x:c r="B217" s="12" t="s">
        <x:v>50</x:v>
      </x:c>
      <x:c r="C217" s="12" t="s">
        <x:v>76</x:v>
      </x:c>
      <x:c r="D217" s="12" t="s">
        <x:v>305</x:v>
      </x:c>
      <x:c r="E217" s="12" t="s">
        <x:v>69</x:v>
      </x:c>
      <x:c r="F217" s="12" t="s">
        <x:v>16</x:v>
      </x:c>
      <x:c r="G217" s="18">
        <x:v>458</x:v>
      </x:c>
      <x:c r="H217" s="21" t="n">
        <x:f>IF(SUMIFS('İndirimler'!$C$2:$C$210,'İndirimler'!$A$2:$A$210,B217,'İndirimler'!$B$2:$B$210,C217)&gt;0,ROUND(G217*(1-SUMIFS('İndirimler'!$C$2:$C$210,'İndirimler'!$A$2:$A$210,B217,'İndirimler'!$B$2:$B$210,C217)),2),"")</x:f>
        <x:v>389.3</x:v>
      </x:c>
      <x:c r="I217" s="24" t="n">
        <x:f>IF(SUMIFS('İndirimler'!$D$2:$D$210,'İndirimler'!$A$2:$A$210,B217,'İndirimler'!$B$2:$B$210,C217)&gt;0,ROUND(G217*(1-SUMIFS('İndirimler'!$D$2:$D$210,'İndirimler'!$A$2:$A$210,B217,'İndirimler'!$B$2:$B$210,C217)),2),"")</x:f>
        <x:v>320.6</x:v>
      </x:c>
      <x:c r="J217" s="12"/>
      <x:c r="K217" s="31"/>
    </x:row>
    <x:row r="218" ht="21.950000762939453" customHeight="1">
      <x:c r="A218" s="15" t="s">
        <x:v>377</x:v>
      </x:c>
      <x:c r="B218" s="12" t="s">
        <x:v>38</x:v>
      </x:c>
      <x:c r="C218" s="12" t="s">
        <x:v>76</x:v>
      </x:c>
      <x:c r="D218" s="12" t="s">
        <x:v>305</x:v>
      </x:c>
      <x:c r="E218" s="12" t="s">
        <x:v>69</x:v>
      </x:c>
      <x:c r="F218" s="12" t="s">
        <x:v>16</x:v>
      </x:c>
      <x:c r="G218" s="18">
        <x:v>505</x:v>
      </x:c>
      <x:c r="H218" s="21" t="n">
        <x:f>IF(SUMIFS('İndirimler'!$C$2:$C$210,'İndirimler'!$A$2:$A$210,B218,'İndirimler'!$B$2:$B$210,C218)&gt;0,ROUND(G218*(1-SUMIFS('İndirimler'!$C$2:$C$210,'İndirimler'!$A$2:$A$210,B218,'İndirimler'!$B$2:$B$210,C218)),2),"")</x:f>
        <x:v>429.25</x:v>
      </x:c>
      <x:c r="I218" s="24" t="n">
        <x:f>IF(SUMIFS('İndirimler'!$D$2:$D$210,'İndirimler'!$A$2:$A$210,B218,'İndirimler'!$B$2:$B$210,C218)&gt;0,ROUND(G218*(1-SUMIFS('İndirimler'!$D$2:$D$210,'İndirimler'!$A$2:$A$210,B218,'İndirimler'!$B$2:$B$210,C218)),2),"")</x:f>
        <x:v>353.5</x:v>
      </x:c>
      <x:c r="J218" s="12" t="s">
        <x:v>378</x:v>
      </x:c>
      <x:c r="K218" s="31"/>
    </x:row>
    <x:row r="219" ht="21.950000762939453" customHeight="1">
      <x:c r="A219" s="15" t="s">
        <x:v>379</x:v>
      </x:c>
      <x:c r="B219" s="12" t="s">
        <x:v>72</x:v>
      </x:c>
      <x:c r="C219" s="12" t="s">
        <x:v>76</x:v>
      </x:c>
      <x:c r="D219" s="12" t="s">
        <x:v>305</x:v>
      </x:c>
      <x:c r="E219" s="12"/>
      <x:c r="F219" s="12" t="s">
        <x:v>73</x:v>
      </x:c>
      <x:c r="G219" s="18">
        <x:v>455</x:v>
      </x:c>
      <x:c r="H219" s="21" t="n">
        <x:f>IF(SUMIFS('İndirimler'!$C$2:$C$210,'İndirimler'!$A$2:$A$210,B219,'İndirimler'!$B$2:$B$210,C219)&gt;0,ROUND(G219*(1-SUMIFS('İndirimler'!$C$2:$C$210,'İndirimler'!$A$2:$A$210,B219,'İndirimler'!$B$2:$B$210,C219)),2),"")</x:f>
        <x:v>386.75</x:v>
      </x:c>
      <x:c r="I219" s="24" t="n">
        <x:f>IF(SUMIFS('İndirimler'!$D$2:$D$210,'İndirimler'!$A$2:$A$210,B219,'İndirimler'!$B$2:$B$210,C219)&gt;0,ROUND(G219*(1-SUMIFS('İndirimler'!$D$2:$D$210,'İndirimler'!$A$2:$A$210,B219,'İndirimler'!$B$2:$B$210,C219)),2),"")</x:f>
        <x:v>318.5</x:v>
      </x:c>
      <x:c r="J219" s="12"/>
      <x:c r="K219" s="31"/>
    </x:row>
    <x:row r="220" ht="21.950000762939453" customHeight="1">
      <x:c r="A220" s="15" t="s">
        <x:v>380</x:v>
      </x:c>
      <x:c r="B220" s="12" t="s">
        <x:v>25</x:v>
      </x:c>
      <x:c r="C220" s="12" t="s">
        <x:v>101</x:v>
      </x:c>
      <x:c r="D220" s="12" t="s">
        <x:v>305</x:v>
      </x:c>
      <x:c r="E220" s="12" t="s">
        <x:v>126</x:v>
      </x:c>
      <x:c r="F220" s="12" t="s">
        <x:v>35</x:v>
      </x:c>
      <x:c r="G220" s="18"/>
      <x:c r="H220" s="21" t="n">
        <x:f>IF(SUMIFS('İndirimler'!$C$2:$C$210,'İndirimler'!$A$2:$A$210,B220,'İndirimler'!$B$2:$B$210,C220)&gt;0,ROUND(G220*(1-SUMIFS('İndirimler'!$C$2:$C$210,'İndirimler'!$A$2:$A$210,B220,'İndirimler'!$B$2:$B$210,C220)),2),"")</x:f>
        <x:v>0</x:v>
      </x:c>
      <x:c r="I220" s="24" t="n">
        <x:f>IF(SUMIFS('İndirimler'!$D$2:$D$210,'İndirimler'!$A$2:$A$210,B220,'İndirimler'!$B$2:$B$210,C220)&gt;0,ROUND(G220*(1-SUMIFS('İndirimler'!$D$2:$D$210,'İndirimler'!$A$2:$A$210,B220,'İndirimler'!$B$2:$B$210,C220)),2),"")</x:f>
        <x:v>0</x:v>
      </x:c>
      <x:c r="J220" s="12"/>
      <x:c r="K220" s="31"/>
    </x:row>
    <x:row r="221" ht="21.950000762939453" customHeight="1">
      <x:c r="A221" s="15" t="s">
        <x:v>381</x:v>
      </x:c>
      <x:c r="B221" s="12" t="s">
        <x:v>38</x:v>
      </x:c>
      <x:c r="C221" s="12" t="s">
        <x:v>101</x:v>
      </x:c>
      <x:c r="D221" s="12" t="s">
        <x:v>305</x:v>
      </x:c>
      <x:c r="E221" s="12"/>
      <x:c r="F221" s="12" t="s">
        <x:v>35</x:v>
      </x:c>
      <x:c r="G221" s="18"/>
      <x:c r="H221" s="21" t="n">
        <x:f>IF(SUMIFS('İndirimler'!$C$2:$C$210,'İndirimler'!$A$2:$A$210,B221,'İndirimler'!$B$2:$B$210,C221)&gt;0,ROUND(G221*(1-SUMIFS('İndirimler'!$C$2:$C$210,'İndirimler'!$A$2:$A$210,B221,'İndirimler'!$B$2:$B$210,C221)),2),"")</x:f>
        <x:v>0</x:v>
      </x:c>
      <x:c r="I221" s="24" t="n">
        <x:f>IF(SUMIFS('İndirimler'!$D$2:$D$210,'İndirimler'!$A$2:$A$210,B221,'İndirimler'!$B$2:$B$210,C221)&gt;0,ROUND(G221*(1-SUMIFS('İndirimler'!$D$2:$D$210,'İndirimler'!$A$2:$A$210,B221,'İndirimler'!$B$2:$B$210,C221)),2),"")</x:f>
        <x:v>0</x:v>
      </x:c>
      <x:c r="J221" s="12"/>
      <x:c r="K221" s="31"/>
    </x:row>
    <x:row r="222" ht="21.950000762939453" customHeight="1">
      <x:c r="A222" s="15" t="s">
        <x:v>382</x:v>
      </x:c>
      <x:c r="B222" s="12" t="s">
        <x:v>138</x:v>
      </x:c>
      <x:c r="C222" s="12" t="s">
        <x:v>101</x:v>
      </x:c>
      <x:c r="D222" s="12" t="s">
        <x:v>305</x:v>
      </x:c>
      <x:c r="E222" s="12" t="s">
        <x:v>314</x:v>
      </x:c>
      <x:c r="F222" s="12" t="s">
        <x:v>42</x:v>
      </x:c>
      <x:c r="G222" s="18">
        <x:v>773</x:v>
      </x:c>
      <x:c r="H222" s="21" t="n">
        <x:f>IF(SUMIFS('İndirimler'!$C$2:$C$210,'İndirimler'!$A$2:$A$210,B222,'İndirimler'!$B$2:$B$210,C222)&gt;0,ROUND(G222*(1-SUMIFS('İndirimler'!$C$2:$C$210,'İndirimler'!$A$2:$A$210,B222,'İndirimler'!$B$2:$B$210,C222)),2),"")</x:f>
        <x:v>657.05</x:v>
      </x:c>
      <x:c r="I222" s="24" t="n">
        <x:f>IF(SUMIFS('İndirimler'!$D$2:$D$210,'İndirimler'!$A$2:$A$210,B222,'İndirimler'!$B$2:$B$210,C222)&gt;0,ROUND(G222*(1-SUMIFS('İndirimler'!$D$2:$D$210,'İndirimler'!$A$2:$A$210,B222,'İndirimler'!$B$2:$B$210,C222)),2),"")</x:f>
        <x:v>541.1</x:v>
      </x:c>
      <x:c r="J222" s="12"/>
      <x:c r="K222" s="31"/>
    </x:row>
    <x:row r="223" ht="21.950000762939453" customHeight="1">
      <x:c r="A223" s="15" t="s">
        <x:v>383</x:v>
      </x:c>
      <x:c r="B223" s="12" t="s">
        <x:v>18</x:v>
      </x:c>
      <x:c r="C223" s="12" t="s">
        <x:v>101</x:v>
      </x:c>
      <x:c r="D223" s="12" t="s">
        <x:v>305</x:v>
      </x:c>
      <x:c r="E223" s="12" t="s">
        <x:v>41</x:v>
      </x:c>
      <x:c r="F223" s="12" t="s">
        <x:v>42</x:v>
      </x:c>
      <x:c r="G223" s="18"/>
      <x:c r="H223" s="21" t="n">
        <x:f>IF(SUMIFS('İndirimler'!$C$2:$C$210,'İndirimler'!$A$2:$A$210,B223,'İndirimler'!$B$2:$B$210,C223)&gt;0,ROUND(G223*(1-SUMIFS('İndirimler'!$C$2:$C$210,'İndirimler'!$A$2:$A$210,B223,'İndirimler'!$B$2:$B$210,C223)),2),"")</x:f>
        <x:v>0</x:v>
      </x:c>
      <x:c r="I223" s="24" t="n">
        <x:f>IF(SUMIFS('İndirimler'!$D$2:$D$210,'İndirimler'!$A$2:$A$210,B223,'İndirimler'!$B$2:$B$210,C223)&gt;0,ROUND(G223*(1-SUMIFS('İndirimler'!$D$2:$D$210,'İndirimler'!$A$2:$A$210,B223,'İndirimler'!$B$2:$B$210,C223)),2),"")</x:f>
        <x:v>0</x:v>
      </x:c>
      <x:c r="J223" s="12"/>
      <x:c r="K223" s="31"/>
    </x:row>
    <x:row r="224" ht="21.950000762939453" customHeight="1">
      <x:c r="A224" s="15" t="s">
        <x:v>384</x:v>
      </x:c>
      <x:c r="B224" s="12" t="s">
        <x:v>72</x:v>
      </x:c>
      <x:c r="C224" s="12" t="s">
        <x:v>101</x:v>
      </x:c>
      <x:c r="D224" s="12" t="s">
        <x:v>305</x:v>
      </x:c>
      <x:c r="E224" s="12" t="s">
        <x:v>104</x:v>
      </x:c>
      <x:c r="F224" s="12" t="s">
        <x:v>42</x:v>
      </x:c>
      <x:c r="G224" s="18"/>
      <x:c r="H224" s="21" t="n">
        <x:f>IF(SUMIFS('İndirimler'!$C$2:$C$210,'İndirimler'!$A$2:$A$210,B224,'İndirimler'!$B$2:$B$210,C224)&gt;0,ROUND(G224*(1-SUMIFS('İndirimler'!$C$2:$C$210,'İndirimler'!$A$2:$A$210,B224,'İndirimler'!$B$2:$B$210,C224)),2),"")</x:f>
        <x:v>0</x:v>
      </x:c>
      <x:c r="I224" s="24" t="n">
        <x:f>IF(SUMIFS('İndirimler'!$D$2:$D$210,'İndirimler'!$A$2:$A$210,B224,'İndirimler'!$B$2:$B$210,C224)&gt;0,ROUND(G224*(1-SUMIFS('İndirimler'!$D$2:$D$210,'İndirimler'!$A$2:$A$210,B224,'İndirimler'!$B$2:$B$210,C224)),2),"")</x:f>
        <x:v>0</x:v>
      </x:c>
      <x:c r="J224" s="12"/>
      <x:c r="K224" s="31"/>
    </x:row>
    <x:row r="225" ht="21.950000762939453" customHeight="1">
      <x:c r="A225" s="15" t="s">
        <x:v>385</x:v>
      </x:c>
      <x:c r="B225" s="12" t="s">
        <x:v>23</x:v>
      </x:c>
      <x:c r="C225" s="12" t="s">
        <x:v>101</x:v>
      </x:c>
      <x:c r="D225" s="12" t="s">
        <x:v>305</x:v>
      </x:c>
      <x:c r="E225" s="12"/>
      <x:c r="F225" s="12" t="s">
        <x:v>42</x:v>
      </x:c>
      <x:c r="G225" s="18">
        <x:v>614</x:v>
      </x:c>
      <x:c r="H225" s="21" t="n">
        <x:f>IF(SUMIFS('İndirimler'!$C$2:$C$210,'İndirimler'!$A$2:$A$210,B225,'İndirimler'!$B$2:$B$210,C225)&gt;0,ROUND(G225*(1-SUMIFS('İndirimler'!$C$2:$C$210,'İndirimler'!$A$2:$A$210,B225,'İndirimler'!$B$2:$B$210,C225)),2),"")</x:f>
        <x:v>521.9</x:v>
      </x:c>
      <x:c r="I225" s="24" t="n">
        <x:f>IF(SUMIFS('İndirimler'!$D$2:$D$210,'İndirimler'!$A$2:$A$210,B225,'İndirimler'!$B$2:$B$210,C225)&gt;0,ROUND(G225*(1-SUMIFS('İndirimler'!$D$2:$D$210,'İndirimler'!$A$2:$A$210,B225,'İndirimler'!$B$2:$B$210,C225)),2),"")</x:f>
        <x:v>429.8</x:v>
      </x:c>
      <x:c r="J225" s="12"/>
      <x:c r="K225" s="31"/>
    </x:row>
    <x:row r="226" ht="21.950000762939453" customHeight="1">
      <x:c r="A226" s="15" t="s">
        <x:v>386</x:v>
      </x:c>
      <x:c r="B226" s="12" t="s">
        <x:v>50</x:v>
      </x:c>
      <x:c r="C226" s="12" t="s">
        <x:v>101</x:v>
      </x:c>
      <x:c r="D226" s="12" t="s">
        <x:v>305</x:v>
      </x:c>
      <x:c r="E226" s="12" t="s">
        <x:v>51</x:v>
      </x:c>
      <x:c r="F226" s="12" t="s">
        <x:v>42</x:v>
      </x:c>
      <x:c r="G226" s="18">
        <x:v>480</x:v>
      </x:c>
      <x:c r="H226" s="21" t="n">
        <x:f>IF(SUMIFS('İndirimler'!$C$2:$C$210,'İndirimler'!$A$2:$A$210,B226,'İndirimler'!$B$2:$B$210,C226)&gt;0,ROUND(G226*(1-SUMIFS('İndirimler'!$C$2:$C$210,'İndirimler'!$A$2:$A$210,B226,'İndirimler'!$B$2:$B$210,C226)),2),"")</x:f>
        <x:v>408</x:v>
      </x:c>
      <x:c r="I226" s="24" t="n">
        <x:f>IF(SUMIFS('İndirimler'!$D$2:$D$210,'İndirimler'!$A$2:$A$210,B226,'İndirimler'!$B$2:$B$210,C226)&gt;0,ROUND(G226*(1-SUMIFS('İndirimler'!$D$2:$D$210,'İndirimler'!$A$2:$A$210,B226,'İndirimler'!$B$2:$B$210,C226)),2),"")</x:f>
        <x:v>336</x:v>
      </x:c>
      <x:c r="J226" s="12"/>
      <x:c r="K226" s="31"/>
    </x:row>
    <x:row r="227" ht="21.950000762939453" customHeight="1">
      <x:c r="A227" s="15" t="s">
        <x:v>387</x:v>
      </x:c>
      <x:c r="B227" s="12" t="s">
        <x:v>55</x:v>
      </x:c>
      <x:c r="C227" s="12" t="s">
        <x:v>101</x:v>
      </x:c>
      <x:c r="D227" s="12" t="s">
        <x:v>305</x:v>
      </x:c>
      <x:c r="E227" s="12"/>
      <x:c r="F227" s="12" t="s">
        <x:v>16</x:v>
      </x:c>
      <x:c r="G227" s="18">
        <x:v>498</x:v>
      </x:c>
      <x:c r="H227" s="21" t="n">
        <x:f>IF(SUMIFS('İndirimler'!$C$2:$C$210,'İndirimler'!$A$2:$A$210,B227,'İndirimler'!$B$2:$B$210,C227)&gt;0,ROUND(G227*(1-SUMIFS('İndirimler'!$C$2:$C$210,'İndirimler'!$A$2:$A$210,B227,'İndirimler'!$B$2:$B$210,C227)),2),"")</x:f>
        <x:v>423.3</x:v>
      </x:c>
      <x:c r="I227" s="24" t="n">
        <x:f>IF(SUMIFS('İndirimler'!$D$2:$D$210,'İndirimler'!$A$2:$A$210,B227,'İndirimler'!$B$2:$B$210,C227)&gt;0,ROUND(G227*(1-SUMIFS('İndirimler'!$D$2:$D$210,'İndirimler'!$A$2:$A$210,B227,'İndirimler'!$B$2:$B$210,C227)),2),"")</x:f>
        <x:v>348.6</x:v>
      </x:c>
      <x:c r="J227" s="12"/>
      <x:c r="K227" s="31"/>
    </x:row>
    <x:row r="228" ht="21.950000762939453" customHeight="1">
      <x:c r="A228" s="15" t="s">
        <x:v>388</x:v>
      </x:c>
      <x:c r="B228" s="12" t="s">
        <x:v>138</x:v>
      </x:c>
      <x:c r="C228" s="12" t="s">
        <x:v>101</x:v>
      </x:c>
      <x:c r="D228" s="12" t="s">
        <x:v>305</x:v>
      </x:c>
      <x:c r="E228" s="12"/>
      <x:c r="F228" s="12" t="s">
        <x:v>16</x:v>
      </x:c>
      <x:c r="G228" s="18">
        <x:v>672</x:v>
      </x:c>
      <x:c r="H228" s="21" t="n">
        <x:f>IF(SUMIFS('İndirimler'!$C$2:$C$210,'İndirimler'!$A$2:$A$210,B228,'İndirimler'!$B$2:$B$210,C228)&gt;0,ROUND(G228*(1-SUMIFS('İndirimler'!$C$2:$C$210,'İndirimler'!$A$2:$A$210,B228,'İndirimler'!$B$2:$B$210,C228)),2),"")</x:f>
        <x:v>571.2</x:v>
      </x:c>
      <x:c r="I228" s="24" t="n">
        <x:f>IF(SUMIFS('İndirimler'!$D$2:$D$210,'İndirimler'!$A$2:$A$210,B228,'İndirimler'!$B$2:$B$210,C228)&gt;0,ROUND(G228*(1-SUMIFS('İndirimler'!$D$2:$D$210,'İndirimler'!$A$2:$A$210,B228,'İndirimler'!$B$2:$B$210,C228)),2),"")</x:f>
        <x:v>470.4</x:v>
      </x:c>
      <x:c r="J228" s="12"/>
      <x:c r="K228" s="31"/>
    </x:row>
    <x:row r="229" ht="21.950000762939453" customHeight="1">
      <x:c r="A229" s="15" t="s">
        <x:v>389</x:v>
      </x:c>
      <x:c r="B229" s="12" t="s">
        <x:v>18</x:v>
      </x:c>
      <x:c r="C229" s="12" t="s">
        <x:v>101</x:v>
      </x:c>
      <x:c r="D229" s="12" t="s">
        <x:v>305</x:v>
      </x:c>
      <x:c r="E229" s="12" t="s">
        <x:v>109</x:v>
      </x:c>
      <x:c r="F229" s="12" t="s">
        <x:v>16</x:v>
      </x:c>
      <x:c r="G229" s="18"/>
      <x:c r="H229" s="21" t="n">
        <x:f>IF(SUMIFS('İndirimler'!$C$2:$C$210,'İndirimler'!$A$2:$A$210,B229,'İndirimler'!$B$2:$B$210,C229)&gt;0,ROUND(G229*(1-SUMIFS('İndirimler'!$C$2:$C$210,'İndirimler'!$A$2:$A$210,B229,'İndirimler'!$B$2:$B$210,C229)),2),"")</x:f>
        <x:v>0</x:v>
      </x:c>
      <x:c r="I229" s="24" t="n">
        <x:f>IF(SUMIFS('İndirimler'!$D$2:$D$210,'İndirimler'!$A$2:$A$210,B229,'İndirimler'!$B$2:$B$210,C229)&gt;0,ROUND(G229*(1-SUMIFS('İndirimler'!$D$2:$D$210,'İndirimler'!$A$2:$A$210,B229,'İndirimler'!$B$2:$B$210,C229)),2),"")</x:f>
        <x:v>0</x:v>
      </x:c>
      <x:c r="J229" s="12"/>
      <x:c r="K229" s="31"/>
    </x:row>
    <x:row r="230" ht="21.950000762939453" customHeight="1">
      <x:c r="A230" s="15" t="s">
        <x:v>390</x:v>
      </x:c>
      <x:c r="B230" s="12" t="s">
        <x:v>331</x:v>
      </x:c>
      <x:c r="C230" s="12" t="s">
        <x:v>101</x:v>
      </x:c>
      <x:c r="D230" s="12" t="s">
        <x:v>305</x:v>
      </x:c>
      <x:c r="E230" s="12"/>
      <x:c r="F230" s="12" t="s">
        <x:v>16</x:v>
      </x:c>
      <x:c r="G230" s="18"/>
      <x:c r="H230" s="21" t="n">
        <x:f>IF(SUMIFS('İndirimler'!$C$2:$C$210,'İndirimler'!$A$2:$A$210,B230,'İndirimler'!$B$2:$B$210,C230)&gt;0,ROUND(G230*(1-SUMIFS('İndirimler'!$C$2:$C$210,'İndirimler'!$A$2:$A$210,B230,'İndirimler'!$B$2:$B$210,C230)),2),"")</x:f>
        <x:v>0</x:v>
      </x:c>
      <x:c r="I230" s="24" t="n">
        <x:f>IF(SUMIFS('İndirimler'!$D$2:$D$210,'İndirimler'!$A$2:$A$210,B230,'İndirimler'!$B$2:$B$210,C230)&gt;0,ROUND(G230*(1-SUMIFS('İndirimler'!$D$2:$D$210,'İndirimler'!$A$2:$A$210,B230,'İndirimler'!$B$2:$B$210,C230)),2),"")</x:f>
        <x:v>0</x:v>
      </x:c>
      <x:c r="J230" s="12"/>
      <x:c r="K230" s="31"/>
    </x:row>
    <x:row r="231" ht="21.950000762939453" customHeight="1">
      <x:c r="A231" s="15" t="s">
        <x:v>391</x:v>
      </x:c>
      <x:c r="B231" s="12" t="s">
        <x:v>304</x:v>
      </x:c>
      <x:c r="C231" s="12" t="s">
        <x:v>101</x:v>
      </x:c>
      <x:c r="D231" s="12" t="s">
        <x:v>305</x:v>
      </x:c>
      <x:c r="E231" s="12"/>
      <x:c r="F231" s="12" t="s">
        <x:v>16</x:v>
      </x:c>
      <x:c r="G231" s="18"/>
      <x:c r="H231" s="21" t="n">
        <x:f>IF(SUMIFS('İndirimler'!$C$2:$C$210,'İndirimler'!$A$2:$A$210,B231,'İndirimler'!$B$2:$B$210,C231)&gt;0,ROUND(G231*(1-SUMIFS('İndirimler'!$C$2:$C$210,'İndirimler'!$A$2:$A$210,B231,'İndirimler'!$B$2:$B$210,C231)),2),"")</x:f>
        <x:v>0</x:v>
      </x:c>
      <x:c r="I231" s="24" t="n">
        <x:f>IF(SUMIFS('İndirimler'!$D$2:$D$210,'İndirimler'!$A$2:$A$210,B231,'İndirimler'!$B$2:$B$210,C231)&gt;0,ROUND(G231*(1-SUMIFS('İndirimler'!$D$2:$D$210,'İndirimler'!$A$2:$A$210,B231,'İndirimler'!$B$2:$B$210,C231)),2),"")</x:f>
        <x:v>0</x:v>
      </x:c>
      <x:c r="J231" s="12"/>
      <x:c r="K231" s="31"/>
    </x:row>
    <x:row r="232" ht="21.950000762939453" customHeight="1">
      <x:c r="A232" s="15" t="s">
        <x:v>392</x:v>
      </x:c>
      <x:c r="B232" s="12" t="s">
        <x:v>304</x:v>
      </x:c>
      <x:c r="C232" s="12" t="s">
        <x:v>101</x:v>
      </x:c>
      <x:c r="D232" s="12" t="s">
        <x:v>305</x:v>
      </x:c>
      <x:c r="E232" s="12"/>
      <x:c r="F232" s="12" t="s">
        <x:v>16</x:v>
      </x:c>
      <x:c r="G232" s="18"/>
      <x:c r="H232" s="21" t="n">
        <x:f>IF(SUMIFS('İndirimler'!$C$2:$C$210,'İndirimler'!$A$2:$A$210,B232,'İndirimler'!$B$2:$B$210,C232)&gt;0,ROUND(G232*(1-SUMIFS('İndirimler'!$C$2:$C$210,'İndirimler'!$A$2:$A$210,B232,'İndirimler'!$B$2:$B$210,C232)),2),"")</x:f>
        <x:v>0</x:v>
      </x:c>
      <x:c r="I232" s="24" t="n">
        <x:f>IF(SUMIFS('İndirimler'!$D$2:$D$210,'İndirimler'!$A$2:$A$210,B232,'İndirimler'!$B$2:$B$210,C232)&gt;0,ROUND(G232*(1-SUMIFS('İndirimler'!$D$2:$D$210,'İndirimler'!$A$2:$A$210,B232,'İndirimler'!$B$2:$B$210,C232)),2),"")</x:f>
        <x:v>0</x:v>
      </x:c>
      <x:c r="J232" s="12"/>
      <x:c r="K232" s="31"/>
    </x:row>
    <x:row r="233" ht="21.950000762939453" customHeight="1">
      <x:c r="A233" s="15" t="s">
        <x:v>393</x:v>
      </x:c>
      <x:c r="B233" s="12" t="s">
        <x:v>63</x:v>
      </x:c>
      <x:c r="C233" s="12" t="s">
        <x:v>101</x:v>
      </x:c>
      <x:c r="D233" s="12" t="s">
        <x:v>305</x:v>
      </x:c>
      <x:c r="E233" s="12" t="s">
        <x:v>64</x:v>
      </x:c>
      <x:c r="F233" s="12" t="s">
        <x:v>16</x:v>
      </x:c>
      <x:c r="G233" s="18"/>
      <x:c r="H233" s="21" t="n">
        <x:f>IF(SUMIFS('İndirimler'!$C$2:$C$210,'İndirimler'!$A$2:$A$210,B233,'İndirimler'!$B$2:$B$210,C233)&gt;0,ROUND(G233*(1-SUMIFS('İndirimler'!$C$2:$C$210,'İndirimler'!$A$2:$A$210,B233,'İndirimler'!$B$2:$B$210,C233)),2),"")</x:f>
        <x:v>0</x:v>
      </x:c>
      <x:c r="I233" s="24" t="n">
        <x:f>IF(SUMIFS('İndirimler'!$D$2:$D$210,'İndirimler'!$A$2:$A$210,B233,'İndirimler'!$B$2:$B$210,C233)&gt;0,ROUND(G233*(1-SUMIFS('İndirimler'!$D$2:$D$210,'İndirimler'!$A$2:$A$210,B233,'İndirimler'!$B$2:$B$210,C233)),2),"")</x:f>
        <x:v>0</x:v>
      </x:c>
      <x:c r="J233" s="12" t="s">
        <x:v>394</x:v>
      </x:c>
      <x:c r="K233" s="31"/>
    </x:row>
    <x:row r="234" ht="21.950000762939453" customHeight="1">
      <x:c r="A234" s="15" t="s">
        <x:v>395</x:v>
      </x:c>
      <x:c r="B234" s="12" t="s">
        <x:v>23</x:v>
      </x:c>
      <x:c r="C234" s="12" t="s">
        <x:v>101</x:v>
      </x:c>
      <x:c r="D234" s="12" t="s">
        <x:v>305</x:v>
      </x:c>
      <x:c r="E234" s="12"/>
      <x:c r="F234" s="12" t="s">
        <x:v>16</x:v>
      </x:c>
      <x:c r="G234" s="18">
        <x:v>624</x:v>
      </x:c>
      <x:c r="H234" s="21" t="n">
        <x:f>IF(SUMIFS('İndirimler'!$C$2:$C$210,'İndirimler'!$A$2:$A$210,B234,'İndirimler'!$B$2:$B$210,C234)&gt;0,ROUND(G234*(1-SUMIFS('İndirimler'!$C$2:$C$210,'İndirimler'!$A$2:$A$210,B234,'İndirimler'!$B$2:$B$210,C234)),2),"")</x:f>
        <x:v>530.4</x:v>
      </x:c>
      <x:c r="I234" s="24" t="n">
        <x:f>IF(SUMIFS('İndirimler'!$D$2:$D$210,'İndirimler'!$A$2:$A$210,B234,'İndirimler'!$B$2:$B$210,C234)&gt;0,ROUND(G234*(1-SUMIFS('İndirimler'!$D$2:$D$210,'İndirimler'!$A$2:$A$210,B234,'İndirimler'!$B$2:$B$210,C234)),2),"")</x:f>
        <x:v>436.8</x:v>
      </x:c>
      <x:c r="J234" s="30"/>
      <x:c r="K234" s="31"/>
    </x:row>
    <x:row r="235" ht="21.950000762939453" customHeight="1">
      <x:c r="A235" s="15" t="s">
        <x:v>396</x:v>
      </x:c>
      <x:c r="B235" s="12" t="s">
        <x:v>50</x:v>
      </x:c>
      <x:c r="C235" s="12" t="s">
        <x:v>101</x:v>
      </x:c>
      <x:c r="D235" s="12" t="s">
        <x:v>305</x:v>
      </x:c>
      <x:c r="E235" s="12" t="s">
        <x:v>69</x:v>
      </x:c>
      <x:c r="F235" s="12" t="s">
        <x:v>16</x:v>
      </x:c>
      <x:c r="G235" s="18">
        <x:v>387</x:v>
      </x:c>
      <x:c r="H235" s="21" t="n">
        <x:f>IF(SUMIFS('İndirimler'!$C$2:$C$210,'İndirimler'!$A$2:$A$210,B235,'İndirimler'!$B$2:$B$210,C235)&gt;0,ROUND(G235*(1-SUMIFS('İndirimler'!$C$2:$C$210,'İndirimler'!$A$2:$A$210,B235,'İndirimler'!$B$2:$B$210,C235)),2),"")</x:f>
        <x:v>328.95</x:v>
      </x:c>
      <x:c r="I235" s="24" t="n">
        <x:f>IF(SUMIFS('İndirimler'!$D$2:$D$210,'İndirimler'!$A$2:$A$210,B235,'İndirimler'!$B$2:$B$210,C235)&gt;0,ROUND(G235*(1-SUMIFS('İndirimler'!$D$2:$D$210,'İndirimler'!$A$2:$A$210,B235,'İndirimler'!$B$2:$B$210,C235)),2),"")</x:f>
        <x:v>270.9</x:v>
      </x:c>
      <x:c r="J235" s="12"/>
      <x:c r="K235" s="31"/>
    </x:row>
    <x:row r="236" ht="21.950000762939453" customHeight="1">
      <x:c r="A236" s="15" t="s">
        <x:v>397</x:v>
      </x:c>
      <x:c r="B236" s="12" t="s">
        <x:v>38</x:v>
      </x:c>
      <x:c r="C236" s="12" t="s">
        <x:v>101</x:v>
      </x:c>
      <x:c r="D236" s="12" t="s">
        <x:v>305</x:v>
      </x:c>
      <x:c r="E236" s="12"/>
      <x:c r="F236" s="12" t="s">
        <x:v>16</x:v>
      </x:c>
      <x:c r="G236" s="18"/>
      <x:c r="H236" s="21" t="n">
        <x:f>IF(SUMIFS('İndirimler'!$C$2:$C$210,'İndirimler'!$A$2:$A$210,B236,'İndirimler'!$B$2:$B$210,C236)&gt;0,ROUND(G236*(1-SUMIFS('İndirimler'!$C$2:$C$210,'İndirimler'!$A$2:$A$210,B236,'İndirimler'!$B$2:$B$210,C236)),2),"")</x:f>
        <x:v>0</x:v>
      </x:c>
      <x:c r="I236" s="24" t="n">
        <x:f>IF(SUMIFS('İndirimler'!$D$2:$D$210,'İndirimler'!$A$2:$A$210,B236,'İndirimler'!$B$2:$B$210,C236)&gt;0,ROUND(G236*(1-SUMIFS('İndirimler'!$D$2:$D$210,'İndirimler'!$A$2:$A$210,B236,'İndirimler'!$B$2:$B$210,C236)),2),"")</x:f>
        <x:v>0</x:v>
      </x:c>
      <x:c r="J236" s="12"/>
      <x:c r="K236" s="31"/>
    </x:row>
    <x:row r="237" ht="21.950000762939453" customHeight="1">
      <x:c r="A237" s="15" t="s">
        <x:v>398</x:v>
      </x:c>
      <x:c r="B237" s="12" t="s">
        <x:v>72</x:v>
      </x:c>
      <x:c r="C237" s="12" t="s">
        <x:v>101</x:v>
      </x:c>
      <x:c r="D237" s="12" t="s">
        <x:v>305</x:v>
      </x:c>
      <x:c r="E237" s="12"/>
      <x:c r="F237" s="12" t="s">
        <x:v>73</x:v>
      </x:c>
      <x:c r="G237" s="18"/>
      <x:c r="H237" s="21" t="n">
        <x:f>IF(SUMIFS('İndirimler'!$C$2:$C$210,'İndirimler'!$A$2:$A$210,B237,'İndirimler'!$B$2:$B$210,C237)&gt;0,ROUND(G237*(1-SUMIFS('İndirimler'!$C$2:$C$210,'İndirimler'!$A$2:$A$210,B237,'İndirimler'!$B$2:$B$210,C237)),2),"")</x:f>
        <x:v>0</x:v>
      </x:c>
      <x:c r="I237" s="24" t="n">
        <x:f>IF(SUMIFS('İndirimler'!$D$2:$D$210,'İndirimler'!$A$2:$A$210,B237,'İndirimler'!$B$2:$B$210,C237)&gt;0,ROUND(G237*(1-SUMIFS('İndirimler'!$D$2:$D$210,'İndirimler'!$A$2:$A$210,B237,'İndirimler'!$B$2:$B$210,C237)),2),"")</x:f>
        <x:v>0</x:v>
      </x:c>
      <x:c r="J237" s="12"/>
      <x:c r="K237" s="31"/>
    </x:row>
    <x:row r="238" ht="21.950000762939453" customHeight="1">
      <x:c r="A238" s="15" t="s">
        <x:v>399</x:v>
      </x:c>
      <x:c r="B238" s="12" t="s">
        <x:v>25</x:v>
      </x:c>
      <x:c r="C238" s="12" t="s">
        <x:v>246</x:v>
      </x:c>
      <x:c r="D238" s="12" t="s">
        <x:v>305</x:v>
      </x:c>
      <x:c r="E238" s="12" t="s">
        <x:v>126</x:v>
      </x:c>
      <x:c r="F238" s="12" t="s">
        <x:v>35</x:v>
      </x:c>
      <x:c r="G238" s="18">
        <x:v>399</x:v>
      </x:c>
      <x:c r="H238" s="21" t="n">
        <x:f>IF(SUMIFS('İndirimler'!$C$2:$C$210,'İndirimler'!$A$2:$A$210,B238,'İndirimler'!$B$2:$B$210,C238)&gt;0,ROUND(G238*(1-SUMIFS('İndirimler'!$C$2:$C$210,'İndirimler'!$A$2:$A$210,B238,'İndirimler'!$B$2:$B$210,C238)),2),"")</x:f>
        <x:v>339.15</x:v>
      </x:c>
      <x:c r="I238" s="24" t="n">
        <x:f>IF(SUMIFS('İndirimler'!$D$2:$D$210,'İndirimler'!$A$2:$A$210,B238,'İndirimler'!$B$2:$B$210,C238)&gt;0,ROUND(G238*(1-SUMIFS('İndirimler'!$D$2:$D$210,'İndirimler'!$A$2:$A$210,B238,'İndirimler'!$B$2:$B$210,C238)),2),"")</x:f>
        <x:v>279.3</x:v>
      </x:c>
      <x:c r="J238" s="12"/>
      <x:c r="K238" s="31"/>
    </x:row>
    <x:row r="239" ht="21.950000762939453" customHeight="1">
      <x:c r="A239" s="15" t="s">
        <x:v>400</x:v>
      </x:c>
      <x:c r="B239" s="12" t="s">
        <x:v>25</x:v>
      </x:c>
      <x:c r="C239" s="12" t="s">
        <x:v>246</x:v>
      </x:c>
      <x:c r="D239" s="12" t="s">
        <x:v>305</x:v>
      </x:c>
      <x:c r="E239" s="12" t="s">
        <x:v>401</x:v>
      </x:c>
      <x:c r="F239" s="12" t="s">
        <x:v>16</x:v>
      </x:c>
      <x:c r="G239" s="18">
        <x:v>199</x:v>
      </x:c>
      <x:c r="H239" s="21" t="n">
        <x:f>IF(SUMIFS('İndirimler'!$C$2:$C$210,'İndirimler'!$A$2:$A$210,B239,'İndirimler'!$B$2:$B$210,C239)&gt;0,ROUND(G239*(1-SUMIFS('İndirimler'!$C$2:$C$210,'İndirimler'!$A$2:$A$210,B239,'İndirimler'!$B$2:$B$210,C239)),2),"")</x:f>
        <x:v>169.15</x:v>
      </x:c>
      <x:c r="I239" s="24" t="n">
        <x:f>IF(SUMIFS('İndirimler'!$D$2:$D$210,'İndirimler'!$A$2:$A$210,B239,'İndirimler'!$B$2:$B$210,C239)&gt;0,ROUND(G239*(1-SUMIFS('İndirimler'!$D$2:$D$210,'İndirimler'!$A$2:$A$210,B239,'İndirimler'!$B$2:$B$210,C239)),2),"")</x:f>
        <x:v>139.3</x:v>
      </x:c>
      <x:c r="J239" s="12"/>
      <x:c r="K239" s="31"/>
    </x:row>
    <x:row r="240" ht="21.950000762939453" customHeight="1">
      <x:c r="A240" s="15" t="s">
        <x:v>402</x:v>
      </x:c>
      <x:c r="B240" s="12" t="s">
        <x:v>38</x:v>
      </x:c>
      <x:c r="C240" s="12" t="s">
        <x:v>246</x:v>
      </x:c>
      <x:c r="D240" s="12" t="s">
        <x:v>305</x:v>
      </x:c>
      <x:c r="E240" s="12" t="s">
        <x:v>251</x:v>
      </x:c>
      <x:c r="F240" s="12" t="s">
        <x:v>35</x:v>
      </x:c>
      <x:c r="G240" s="18">
        <x:v>685</x:v>
      </x:c>
      <x:c r="H240" s="21" t="n">
        <x:f>IF(SUMIFS('İndirimler'!$C$2:$C$210,'İndirimler'!$A$2:$A$210,B240,'İndirimler'!$B$2:$B$210,C240)&gt;0,ROUND(G240*(1-SUMIFS('İndirimler'!$C$2:$C$210,'İndirimler'!$A$2:$A$210,B240,'İndirimler'!$B$2:$B$210,C240)),2),"")</x:f>
        <x:v>582.25</x:v>
      </x:c>
      <x:c r="I240" s="24" t="n">
        <x:f>IF(SUMIFS('İndirimler'!$D$2:$D$210,'İndirimler'!$A$2:$A$210,B240,'İndirimler'!$B$2:$B$210,C240)&gt;0,ROUND(G240*(1-SUMIFS('İndirimler'!$D$2:$D$210,'İndirimler'!$A$2:$A$210,B240,'İndirimler'!$B$2:$B$210,C240)),2),"")</x:f>
        <x:v>479.5</x:v>
      </x:c>
      <x:c r="J240" s="12" t="s">
        <x:v>403</x:v>
      </x:c>
      <x:c r="K240" s="31"/>
    </x:row>
    <x:row r="241" ht="21.950000762939453" customHeight="1">
      <x:c r="A241" s="15" t="s">
        <x:v>404</x:v>
      </x:c>
      <x:c r="B241" s="12" t="s">
        <x:v>38</x:v>
      </x:c>
      <x:c r="C241" s="12" t="s">
        <x:v>246</x:v>
      </x:c>
      <x:c r="D241" s="12" t="s">
        <x:v>305</x:v>
      </x:c>
      <x:c r="E241" s="12" t="s">
        <x:v>254</x:v>
      </x:c>
      <x:c r="F241" s="12" t="s">
        <x:v>35</x:v>
      </x:c>
      <x:c r="G241" s="18">
        <x:v>685</x:v>
      </x:c>
      <x:c r="H241" s="21" t="n">
        <x:f>IF(SUMIFS('İndirimler'!$C$2:$C$210,'İndirimler'!$A$2:$A$210,B241,'İndirimler'!$B$2:$B$210,C241)&gt;0,ROUND(G241*(1-SUMIFS('İndirimler'!$C$2:$C$210,'İndirimler'!$A$2:$A$210,B241,'İndirimler'!$B$2:$B$210,C241)),2),"")</x:f>
        <x:v>582.25</x:v>
      </x:c>
      <x:c r="I241" s="24" t="n">
        <x:f>IF(SUMIFS('İndirimler'!$D$2:$D$210,'İndirimler'!$A$2:$A$210,B241,'İndirimler'!$B$2:$B$210,C241)&gt;0,ROUND(G241*(1-SUMIFS('İndirimler'!$D$2:$D$210,'İndirimler'!$A$2:$A$210,B241,'İndirimler'!$B$2:$B$210,C241)),2),"")</x:f>
        <x:v>479.5</x:v>
      </x:c>
      <x:c r="J241" s="12" t="s">
        <x:v>405</x:v>
      </x:c>
      <x:c r="K241" s="31"/>
    </x:row>
    <x:row r="242" ht="21.950000762939453" customHeight="1">
      <x:c r="A242" s="15" t="s">
        <x:v>406</x:v>
      </x:c>
      <x:c r="B242" s="12" t="s">
        <x:v>138</x:v>
      </x:c>
      <x:c r="C242" s="12" t="s">
        <x:v>246</x:v>
      </x:c>
      <x:c r="D242" s="12" t="s">
        <x:v>305</x:v>
      </x:c>
      <x:c r="E242" s="12" t="s">
        <x:v>314</x:v>
      </x:c>
      <x:c r="F242" s="12" t="s">
        <x:v>42</x:v>
      </x:c>
      <x:c r="G242" s="18">
        <x:v>348</x:v>
      </x:c>
      <x:c r="H242" s="21" t="n">
        <x:f>IF(SUMIFS('İndirimler'!$C$2:$C$210,'İndirimler'!$A$2:$A$210,B242,'İndirimler'!$B$2:$B$210,C242)&gt;0,ROUND(G242*(1-SUMIFS('İndirimler'!$C$2:$C$210,'İndirimler'!$A$2:$A$210,B242,'İndirimler'!$B$2:$B$210,C242)),2),"")</x:f>
        <x:v>295.8</x:v>
      </x:c>
      <x:c r="I242" s="24" t="n">
        <x:f>IF(SUMIFS('İndirimler'!$D$2:$D$210,'İndirimler'!$A$2:$A$210,B242,'İndirimler'!$B$2:$B$210,C242)&gt;0,ROUND(G242*(1-SUMIFS('İndirimler'!$D$2:$D$210,'İndirimler'!$A$2:$A$210,B242,'İndirimler'!$B$2:$B$210,C242)),2),"")</x:f>
        <x:v>243.6</x:v>
      </x:c>
      <x:c r="J242" s="12" t="s">
        <x:v>407</x:v>
      </x:c>
      <x:c r="K242" s="31"/>
    </x:row>
    <x:row r="243" ht="21.950000762939453" customHeight="1">
      <x:c r="A243" s="15" t="s">
        <x:v>408</x:v>
      </x:c>
      <x:c r="B243" s="12" t="s">
        <x:v>50</x:v>
      </x:c>
      <x:c r="C243" s="12" t="s">
        <x:v>246</x:v>
      </x:c>
      <x:c r="D243" s="12" t="s">
        <x:v>305</x:v>
      </x:c>
      <x:c r="E243" s="12" t="s">
        <x:v>51</x:v>
      </x:c>
      <x:c r="F243" s="12" t="s">
        <x:v>42</x:v>
      </x:c>
      <x:c r="G243" s="18">
        <x:v>428</x:v>
      </x:c>
      <x:c r="H243" s="21" t="n">
        <x:f>IF(SUMIFS('İndirimler'!$C$2:$C$210,'İndirimler'!$A$2:$A$210,B243,'İndirimler'!$B$2:$B$210,C243)&gt;0,ROUND(G243*(1-SUMIFS('İndirimler'!$C$2:$C$210,'İndirimler'!$A$2:$A$210,B243,'İndirimler'!$B$2:$B$210,C243)),2),"")</x:f>
        <x:v>363.8</x:v>
      </x:c>
      <x:c r="I243" s="24" t="n">
        <x:f>IF(SUMIFS('İndirimler'!$D$2:$D$210,'İndirimler'!$A$2:$A$210,B243,'İndirimler'!$B$2:$B$210,C243)&gt;0,ROUND(G243*(1-SUMIFS('İndirimler'!$D$2:$D$210,'İndirimler'!$A$2:$A$210,B243,'İndirimler'!$B$2:$B$210,C243)),2),"")</x:f>
        <x:v>299.6</x:v>
      </x:c>
      <x:c r="J243" s="12"/>
      <x:c r="K243" s="31"/>
    </x:row>
    <x:row r="244" ht="21.950000762939453" customHeight="1">
      <x:c r="A244" s="15" t="s">
        <x:v>409</x:v>
      </x:c>
      <x:c r="B244" s="12" t="s">
        <x:v>323</x:v>
      </x:c>
      <x:c r="C244" s="12" t="s">
        <x:v>246</x:v>
      </x:c>
      <x:c r="D244" s="12" t="s">
        <x:v>305</x:v>
      </x:c>
      <x:c r="E244" s="12"/>
      <x:c r="F244" s="12" t="s">
        <x:v>42</x:v>
      </x:c>
      <x:c r="G244" s="18">
        <x:v>362</x:v>
      </x:c>
      <x:c r="H244" s="21" t="n">
        <x:f>IF(SUMIFS('İndirimler'!$C$2:$C$210,'İndirimler'!$A$2:$A$210,B244,'İndirimler'!$B$2:$B$210,C244)&gt;0,ROUND(G244*(1-SUMIFS('İndirimler'!$C$2:$C$210,'İndirimler'!$A$2:$A$210,B244,'İndirimler'!$B$2:$B$210,C244)),2),"")</x:f>
        <x:v>307.7</x:v>
      </x:c>
      <x:c r="I244" s="24" t="n">
        <x:f>IF(SUMIFS('İndirimler'!$D$2:$D$210,'İndirimler'!$A$2:$A$210,B244,'İndirimler'!$B$2:$B$210,C244)&gt;0,ROUND(G244*(1-SUMIFS('İndirimler'!$D$2:$D$210,'İndirimler'!$A$2:$A$210,B244,'İndirimler'!$B$2:$B$210,C244)),2),"")</x:f>
        <x:v>253.4</x:v>
      </x:c>
      <x:c r="J244" s="12"/>
      <x:c r="K244" s="31"/>
    </x:row>
    <x:row r="245" ht="21.950000762939453" customHeight="1">
      <x:c r="A245" s="15" t="s">
        <x:v>410</x:v>
      </x:c>
      <x:c r="B245" s="12" t="s">
        <x:v>323</x:v>
      </x:c>
      <x:c r="C245" s="12" t="s">
        <x:v>246</x:v>
      </x:c>
      <x:c r="D245" s="12" t="s">
        <x:v>305</x:v>
      </x:c>
      <x:c r="E245" s="12"/>
      <x:c r="F245" s="12" t="s">
        <x:v>42</x:v>
      </x:c>
      <x:c r="G245" s="18">
        <x:v>338</x:v>
      </x:c>
      <x:c r="H245" s="21" t="n">
        <x:f>IF(SUMIFS('İndirimler'!$C$2:$C$210,'İndirimler'!$A$2:$A$210,B245,'İndirimler'!$B$2:$B$210,C245)&gt;0,ROUND(G245*(1-SUMIFS('İndirimler'!$C$2:$C$210,'İndirimler'!$A$2:$A$210,B245,'İndirimler'!$B$2:$B$210,C245)),2),"")</x:f>
        <x:v>287.3</x:v>
      </x:c>
      <x:c r="I245" s="24" t="n">
        <x:f>IF(SUMIFS('İndirimler'!$D$2:$D$210,'İndirimler'!$A$2:$A$210,B245,'İndirimler'!$B$2:$B$210,C245)&gt;0,ROUND(G245*(1-SUMIFS('İndirimler'!$D$2:$D$210,'İndirimler'!$A$2:$A$210,B245,'İndirimler'!$B$2:$B$210,C245)),2),"")</x:f>
        <x:v>236.6</x:v>
      </x:c>
      <x:c r="J245" s="12"/>
      <x:c r="K245" s="31"/>
    </x:row>
    <x:row r="246" ht="21.950000762939453" customHeight="1">
      <x:c r="A246" s="15" t="s">
        <x:v>411</x:v>
      </x:c>
      <x:c r="B246" s="12" t="s">
        <x:v>138</x:v>
      </x:c>
      <x:c r="C246" s="12" t="s">
        <x:v>13</x:v>
      </x:c>
      <x:c r="D246" s="12" t="s">
        <x:v>305</x:v>
      </x:c>
      <x:c r="E246" s="12"/>
      <x:c r="F246" s="12" t="s">
        <x:v>16</x:v>
      </x:c>
      <x:c r="G246" s="18">
        <x:v>605</x:v>
      </x:c>
      <x:c r="H246" s="21" t="n">
        <x:f>IF(SUMIFS('İndirimler'!$C$2:$C$210,'İndirimler'!$A$2:$A$210,B246,'İndirimler'!$B$2:$B$210,C246)&gt;0,ROUND(G246*(1-SUMIFS('İndirimler'!$C$2:$C$210,'İndirimler'!$A$2:$A$210,B246,'İndirimler'!$B$2:$B$210,C246)),2),"")</x:f>
        <x:v>514.25</x:v>
      </x:c>
      <x:c r="I246" s="24" t="n">
        <x:f>IF(SUMIFS('İndirimler'!$D$2:$D$210,'İndirimler'!$A$2:$A$210,B246,'İndirimler'!$B$2:$B$210,C246)&gt;0,ROUND(G246*(1-SUMIFS('İndirimler'!$D$2:$D$210,'İndirimler'!$A$2:$A$210,B246,'İndirimler'!$B$2:$B$210,C246)),2),"")</x:f>
        <x:v>423.5</x:v>
      </x:c>
      <x:c r="J246" s="12"/>
      <x:c r="K246" s="31"/>
    </x:row>
    <x:row r="247" ht="21.950000762939453" customHeight="1">
      <x:c r="A247" s="15" t="s">
        <x:v>412</x:v>
      </x:c>
      <x:c r="B247" s="12" t="s">
        <x:v>18</x:v>
      </x:c>
      <x:c r="C247" s="12" t="s">
        <x:v>13</x:v>
      </x:c>
      <x:c r="D247" s="12" t="s">
        <x:v>305</x:v>
      </x:c>
      <x:c r="E247" s="12"/>
      <x:c r="F247" s="12" t="s">
        <x:v>16</x:v>
      </x:c>
      <x:c r="G247" s="18">
        <x:v>499</x:v>
      </x:c>
      <x:c r="H247" s="21" t="n">
        <x:f>IF(SUMIFS('İndirimler'!$C$2:$C$210,'İndirimler'!$A$2:$A$210,B247,'İndirimler'!$B$2:$B$210,C247)&gt;0,ROUND(G247*(1-SUMIFS('İndirimler'!$C$2:$C$210,'İndirimler'!$A$2:$A$210,B247,'İndirimler'!$B$2:$B$210,C247)),2),"")</x:f>
        <x:v>424.15</x:v>
      </x:c>
      <x:c r="I247" s="24" t="n">
        <x:f>IF(SUMIFS('İndirimler'!$D$2:$D$210,'İndirimler'!$A$2:$A$210,B247,'İndirimler'!$B$2:$B$210,C247)&gt;0,ROUND(G247*(1-SUMIFS('İndirimler'!$D$2:$D$210,'İndirimler'!$A$2:$A$210,B247,'İndirimler'!$B$2:$B$210,C247)),2),"")</x:f>
        <x:v>349.3</x:v>
      </x:c>
      <x:c r="J247" s="12" t="s">
        <x:v>294</x:v>
      </x:c>
      <x:c r="K247" s="31"/>
    </x:row>
    <x:row r="248" ht="21.950000762939453" customHeight="1">
      <x:c r="A248" s="15" t="s">
        <x:v>413</x:v>
      </x:c>
      <x:c r="B248" s="12" t="s">
        <x:v>331</x:v>
      </x:c>
      <x:c r="C248" s="12" t="s">
        <x:v>13</x:v>
      </x:c>
      <x:c r="D248" s="12" t="s">
        <x:v>305</x:v>
      </x:c>
      <x:c r="E248" s="12"/>
      <x:c r="F248" s="12" t="s">
        <x:v>16</x:v>
      </x:c>
      <x:c r="G248" s="18"/>
      <x:c r="H248" s="21" t="n">
        <x:f>IF(SUMIFS('İndirimler'!$C$2:$C$210,'İndirimler'!$A$2:$A$210,B248,'İndirimler'!$B$2:$B$210,C248)&gt;0,ROUND(G248*(1-SUMIFS('İndirimler'!$C$2:$C$210,'İndirimler'!$A$2:$A$210,B248,'İndirimler'!$B$2:$B$210,C248)),2),"")</x:f>
        <x:v>0</x:v>
      </x:c>
      <x:c r="I248" s="24" t="n">
        <x:f>IF(SUMIFS('İndirimler'!$D$2:$D$210,'İndirimler'!$A$2:$A$210,B248,'İndirimler'!$B$2:$B$210,C248)&gt;0,ROUND(G248*(1-SUMIFS('İndirimler'!$D$2:$D$210,'İndirimler'!$A$2:$A$210,B248,'İndirimler'!$B$2:$B$210,C248)),2),"")</x:f>
        <x:v>0</x:v>
      </x:c>
      <x:c r="J248" s="12"/>
      <x:c r="K248" s="31"/>
    </x:row>
    <x:row r="249" ht="21.950000762939453" customHeight="1">
      <x:c r="A249" s="15" t="s">
        <x:v>414</x:v>
      </x:c>
      <x:c r="B249" s="12" t="s">
        <x:v>304</x:v>
      </x:c>
      <x:c r="C249" s="12" t="s">
        <x:v>13</x:v>
      </x:c>
      <x:c r="D249" s="12" t="s">
        <x:v>305</x:v>
      </x:c>
      <x:c r="E249" s="12"/>
      <x:c r="F249" s="12" t="s">
        <x:v>16</x:v>
      </x:c>
      <x:c r="G249" s="18"/>
      <x:c r="H249" s="21" t="n">
        <x:f>IF(SUMIFS('İndirimler'!$C$2:$C$210,'İndirimler'!$A$2:$A$210,B249,'İndirimler'!$B$2:$B$210,C249)&gt;0,ROUND(G249*(1-SUMIFS('İndirimler'!$C$2:$C$210,'İndirimler'!$A$2:$A$210,B249,'İndirimler'!$B$2:$B$210,C249)),2),"")</x:f>
        <x:v>0</x:v>
      </x:c>
      <x:c r="I249" s="24" t="n">
        <x:f>IF(SUMIFS('İndirimler'!$D$2:$D$210,'İndirimler'!$A$2:$A$210,B249,'İndirimler'!$B$2:$B$210,C249)&gt;0,ROUND(G249*(1-SUMIFS('İndirimler'!$D$2:$D$210,'İndirimler'!$A$2:$A$210,B249,'İndirimler'!$B$2:$B$210,C249)),2),"")</x:f>
        <x:v>0</x:v>
      </x:c>
      <x:c r="J249" s="12"/>
      <x:c r="K249" s="31"/>
    </x:row>
    <x:row r="250" ht="21.950000762939453" customHeight="1">
      <x:c r="A250" s="15" t="s">
        <x:v>415</x:v>
      </x:c>
      <x:c r="B250" s="12" t="s">
        <x:v>23</x:v>
      </x:c>
      <x:c r="C250" s="12" t="s">
        <x:v>13</x:v>
      </x:c>
      <x:c r="D250" s="12" t="s">
        <x:v>305</x:v>
      </x:c>
      <x:c r="E250" s="12"/>
      <x:c r="F250" s="12" t="s">
        <x:v>16</x:v>
      </x:c>
      <x:c r="G250" s="18">
        <x:v>478</x:v>
      </x:c>
      <x:c r="H250" s="21" t="n">
        <x:f>IF(SUMIFS('İndirimler'!$C$2:$C$210,'İndirimler'!$A$2:$A$210,B250,'İndirimler'!$B$2:$B$210,C250)&gt;0,ROUND(G250*(1-SUMIFS('İndirimler'!$C$2:$C$210,'İndirimler'!$A$2:$A$210,B250,'İndirimler'!$B$2:$B$210,C250)),2),"")</x:f>
        <x:v>406.3</x:v>
      </x:c>
      <x:c r="I250" s="24" t="n">
        <x:f>IF(SUMIFS('İndirimler'!$D$2:$D$210,'İndirimler'!$A$2:$A$210,B250,'İndirimler'!$B$2:$B$210,C250)&gt;0,ROUND(G250*(1-SUMIFS('İndirimler'!$D$2:$D$210,'İndirimler'!$A$2:$A$210,B250,'İndirimler'!$B$2:$B$210,C250)),2),"")</x:f>
        <x:v>334.6</x:v>
      </x:c>
      <x:c r="J250" s="12"/>
      <x:c r="K250" s="31"/>
    </x:row>
    <x:row r="251" ht="21.950000762939453" customHeight="1">
      <x:c r="A251" s="15" t="s">
        <x:v>416</x:v>
      </x:c>
      <x:c r="B251" s="12" t="s">
        <x:v>25</x:v>
      </x:c>
      <x:c r="C251" s="12" t="s">
        <x:v>13</x:v>
      </x:c>
      <x:c r="D251" s="12" t="s">
        <x:v>305</x:v>
      </x:c>
      <x:c r="E251" s="12" t="s">
        <x:v>28</x:v>
      </x:c>
      <x:c r="F251" s="12" t="s">
        <x:v>16</x:v>
      </x:c>
      <x:c r="G251" s="18"/>
      <x:c r="H251" s="21" t="n">
        <x:f>IF(SUMIFS('İndirimler'!$C$2:$C$210,'İndirimler'!$A$2:$A$210,B251,'İndirimler'!$B$2:$B$210,C251)&gt;0,ROUND(G251*(1-SUMIFS('İndirimler'!$C$2:$C$210,'İndirimler'!$A$2:$A$210,B251,'İndirimler'!$B$2:$B$210,C251)),2),"")</x:f>
        <x:v>0</x:v>
      </x:c>
      <x:c r="I251" s="24" t="n">
        <x:f>IF(SUMIFS('İndirimler'!$D$2:$D$210,'İndirimler'!$A$2:$A$210,B251,'İndirimler'!$B$2:$B$210,C251)&gt;0,ROUND(G251*(1-SUMIFS('İndirimler'!$D$2:$D$210,'İndirimler'!$A$2:$A$210,B251,'İndirimler'!$B$2:$B$210,C251)),2),"")</x:f>
        <x:v>0</x:v>
      </x:c>
      <x:c r="J251" s="12"/>
      <x:c r="K251" s="31"/>
    </x:row>
    <x:row r="252" ht="21.950000762939453" customHeight="1">
      <x:c r="A252" s="15" t="s">
        <x:v>417</x:v>
      </x:c>
      <x:c r="B252" s="12" t="s">
        <x:v>50</x:v>
      </x:c>
      <x:c r="C252" s="12" t="s">
        <x:v>13</x:v>
      </x:c>
      <x:c r="D252" s="12" t="s">
        <x:v>305</x:v>
      </x:c>
      <x:c r="E252" s="12"/>
      <x:c r="F252" s="12" t="s">
        <x:v>16</x:v>
      </x:c>
      <x:c r="G252" s="18">
        <x:v>504</x:v>
      </x:c>
      <x:c r="H252" s="21" t="n">
        <x:f>IF(SUMIFS('İndirimler'!$C$2:$C$210,'İndirimler'!$A$2:$A$210,B252,'İndirimler'!$B$2:$B$210,C252)&gt;0,ROUND(G252*(1-SUMIFS('İndirimler'!$C$2:$C$210,'İndirimler'!$A$2:$A$210,B252,'İndirimler'!$B$2:$B$210,C252)),2),"")</x:f>
        <x:v>428.4</x:v>
      </x:c>
      <x:c r="I252" s="24" t="n">
        <x:f>IF(SUMIFS('İndirimler'!$D$2:$D$210,'İndirimler'!$A$2:$A$210,B252,'İndirimler'!$B$2:$B$210,C252)&gt;0,ROUND(G252*(1-SUMIFS('İndirimler'!$D$2:$D$210,'İndirimler'!$A$2:$A$210,B252,'İndirimler'!$B$2:$B$210,C252)),2),"")</x:f>
        <x:v>352.8</x:v>
      </x:c>
      <x:c r="J252" s="12"/>
      <x:c r="K252" s="31"/>
    </x:row>
    <x:row r="253" ht="21.950000762939453" customHeight="1">
      <x:c r="A253" s="15" t="s">
        <x:v>418</x:v>
      </x:c>
      <x:c r="B253" s="12" t="s">
        <x:v>128</x:v>
      </x:c>
      <x:c r="C253" s="12" t="s">
        <x:v>13</x:v>
      </x:c>
      <x:c r="D253" s="12" t="s">
        <x:v>305</x:v>
      </x:c>
      <x:c r="E253" s="12"/>
      <x:c r="F253" s="12" t="s">
        <x:v>16</x:v>
      </x:c>
      <x:c r="G253" s="18">
        <x:v>499</x:v>
      </x:c>
      <x:c r="H253" s="21" t="n">
        <x:f>IF(SUMIFS('İndirimler'!$C$2:$C$210,'İndirimler'!$A$2:$A$210,B253,'İndirimler'!$B$2:$B$210,C253)&gt;0,ROUND(G253*(1-SUMIFS('İndirimler'!$C$2:$C$210,'İndirimler'!$A$2:$A$210,B253,'İndirimler'!$B$2:$B$210,C253)),2),"")</x:f>
        <x:v>424.15</x:v>
      </x:c>
      <x:c r="I253" s="24" t="n">
        <x:f>IF(SUMIFS('İndirimler'!$D$2:$D$210,'İndirimler'!$A$2:$A$210,B253,'İndirimler'!$B$2:$B$210,C253)&gt;0,ROUND(G253*(1-SUMIFS('İndirimler'!$D$2:$D$210,'İndirimler'!$A$2:$A$210,B253,'İndirimler'!$B$2:$B$210,C253)),2),"")</x:f>
        <x:v>349.3</x:v>
      </x:c>
      <x:c r="J253" s="12"/>
      <x:c r="K253" s="31"/>
    </x:row>
    <x:row r="254" ht="21.950000762939453" customHeight="1">
      <x:c r="A254" s="15" t="s">
        <x:v>419</x:v>
      </x:c>
      <x:c r="B254" s="12" t="s">
        <x:v>128</x:v>
      </x:c>
      <x:c r="C254" s="12" t="s">
        <x:v>13</x:v>
      </x:c>
      <x:c r="D254" s="12" t="s">
        <x:v>305</x:v>
      </x:c>
      <x:c r="E254" s="12"/>
      <x:c r="F254" s="12" t="s">
        <x:v>16</x:v>
      </x:c>
      <x:c r="G254" s="18"/>
      <x:c r="H254" s="21" t="n">
        <x:f>IF(SUMIFS('İndirimler'!$C$2:$C$210,'İndirimler'!$A$2:$A$210,B254,'İndirimler'!$B$2:$B$210,C254)&gt;0,ROUND(G254*(1-SUMIFS('İndirimler'!$C$2:$C$210,'İndirimler'!$A$2:$A$210,B254,'İndirimler'!$B$2:$B$210,C254)),2),"")</x:f>
        <x:v>0</x:v>
      </x:c>
      <x:c r="I254" s="24" t="n">
        <x:f>IF(SUMIFS('İndirimler'!$D$2:$D$210,'İndirimler'!$A$2:$A$210,B254,'İndirimler'!$B$2:$B$210,C254)&gt;0,ROUND(G254*(1-SUMIFS('İndirimler'!$D$2:$D$210,'İndirimler'!$A$2:$A$210,B254,'İndirimler'!$B$2:$B$210,C254)),2),"")</x:f>
        <x:v>0</x:v>
      </x:c>
      <x:c r="J254" s="12"/>
      <x:c r="K254" s="31"/>
    </x:row>
    <x:row r="255" ht="21.950000762939453" customHeight="1">
      <x:c r="A255" s="15" t="s">
        <x:v>420</x:v>
      </x:c>
      <x:c r="B255" s="12" t="s">
        <x:v>38</x:v>
      </x:c>
      <x:c r="C255" s="12" t="s">
        <x:v>13</x:v>
      </x:c>
      <x:c r="D255" s="12" t="s">
        <x:v>305</x:v>
      </x:c>
      <x:c r="E255" s="12" t="s">
        <x:v>69</x:v>
      </x:c>
      <x:c r="F255" s="12" t="s">
        <x:v>16</x:v>
      </x:c>
      <x:c r="G255" s="18">
        <x:v>365</x:v>
      </x:c>
      <x:c r="H255" s="21" t="n">
        <x:f>IF(SUMIFS('İndirimler'!$C$2:$C$210,'İndirimler'!$A$2:$A$210,B255,'İndirimler'!$B$2:$B$210,C255)&gt;0,ROUND(G255*(1-SUMIFS('İndirimler'!$C$2:$C$210,'İndirimler'!$A$2:$A$210,B255,'İndirimler'!$B$2:$B$210,C255)),2),"")</x:f>
        <x:v>310.25</x:v>
      </x:c>
      <x:c r="I255" s="24" t="n">
        <x:f>IF(SUMIFS('İndirimler'!$D$2:$D$210,'İndirimler'!$A$2:$A$210,B255,'İndirimler'!$B$2:$B$210,C255)&gt;0,ROUND(G255*(1-SUMIFS('İndirimler'!$D$2:$D$210,'İndirimler'!$A$2:$A$210,B255,'İndirimler'!$B$2:$B$210,C255)),2),"")</x:f>
        <x:v>255.5</x:v>
      </x:c>
      <x:c r="J255" s="12"/>
      <x:c r="K255" s="31"/>
    </x:row>
    <x:row r="256" ht="21.950000762939453" customHeight="1">
      <x:c r="A256" s="15" t="s">
        <x:v>421</x:v>
      </x:c>
      <x:c r="B256" s="12" t="s">
        <x:v>422</x:v>
      </x:c>
      <x:c r="C256" s="12" t="s">
        <x:v>33</x:v>
      </x:c>
      <x:c r="D256" s="12" t="s">
        <x:v>423</x:v>
      </x:c>
      <x:c r="E256" s="12" t="s">
        <x:v>424</x:v>
      </x:c>
      <x:c r="F256" s="12" t="s">
        <x:v>35</x:v>
      </x:c>
      <x:c r="G256" s="18">
        <x:v>649</x:v>
      </x:c>
      <x:c r="H256" s="21" t="n">
        <x:f>IF(SUMIFS('İndirimler'!$C$2:$C$210,'İndirimler'!$A$2:$A$210,B256,'İndirimler'!$B$2:$B$210,C256)&gt;0,ROUND(G256*(1-SUMIFS('İndirimler'!$C$2:$C$210,'İndirimler'!$A$2:$A$210,B256,'İndirimler'!$B$2:$B$210,C256)),2),"")</x:f>
        <x:v>551.65</x:v>
      </x:c>
      <x:c r="I256" s="24" t="n">
        <x:f>IF(SUMIFS('İndirimler'!$D$2:$D$210,'İndirimler'!$A$2:$A$210,B256,'İndirimler'!$B$2:$B$210,C256)&gt;0,ROUND(G256*(1-SUMIFS('İndirimler'!$D$2:$D$210,'İndirimler'!$A$2:$A$210,B256,'İndirimler'!$B$2:$B$210,C256)),2),"")</x:f>
        <x:v>454.3</x:v>
      </x:c>
      <x:c r="J256" s="12" t="s">
        <x:v>425</x:v>
      </x:c>
      <x:c r="K256" s="31"/>
    </x:row>
    <x:row r="257" ht="21.950000762939453" customHeight="1">
      <x:c r="A257" s="15" t="s">
        <x:v>426</x:v>
      </x:c>
      <x:c r="B257" s="12" t="s">
        <x:v>32</x:v>
      </x:c>
      <x:c r="C257" s="12" t="s">
        <x:v>33</x:v>
      </x:c>
      <x:c r="D257" s="12" t="s">
        <x:v>423</x:v>
      </x:c>
      <x:c r="E257" s="12"/>
      <x:c r="F257" s="12" t="s">
        <x:v>35</x:v>
      </x:c>
      <x:c r="G257" s="18">
        <x:v>499</x:v>
      </x:c>
      <x:c r="H257" s="21" t="n">
        <x:f>IF(SUMIFS('İndirimler'!$C$2:$C$210,'İndirimler'!$A$2:$A$210,B257,'İndirimler'!$B$2:$B$210,C257)&gt;0,ROUND(G257*(1-SUMIFS('İndirimler'!$C$2:$C$210,'İndirimler'!$A$2:$A$210,B257,'İndirimler'!$B$2:$B$210,C257)),2),"")</x:f>
        <x:v>424.15</x:v>
      </x:c>
      <x:c r="I257" s="24" t="n">
        <x:f>IF(SUMIFS('İndirimler'!$D$2:$D$210,'İndirimler'!$A$2:$A$210,B257,'İndirimler'!$B$2:$B$210,C257)&gt;0,ROUND(G257*(1-SUMIFS('İndirimler'!$D$2:$D$210,'İndirimler'!$A$2:$A$210,B257,'İndirimler'!$B$2:$B$210,C257)),2),"")</x:f>
        <x:v>349.3</x:v>
      </x:c>
      <x:c r="J257" s="30" t="s">
        <x:v>427</x:v>
      </x:c>
      <x:c r="K257" s="31"/>
    </x:row>
    <x:row r="258" ht="21.950000762939453" customHeight="1">
      <x:c r="A258" s="15" t="s">
        <x:v>428</x:v>
      </x:c>
      <x:c r="B258" s="12" t="s">
        <x:v>38</x:v>
      </x:c>
      <x:c r="C258" s="12" t="s">
        <x:v>33</x:v>
      </x:c>
      <x:c r="D258" s="12" t="s">
        <x:v>423</x:v>
      </x:c>
      <x:c r="E258" s="12"/>
      <x:c r="F258" s="12" t="s">
        <x:v>35</x:v>
      </x:c>
      <x:c r="G258" s="18">
        <x:v>615</x:v>
      </x:c>
      <x:c r="H258" s="21" t="n">
        <x:f>IF(SUMIFS('İndirimler'!$C$2:$C$210,'İndirimler'!$A$2:$A$210,B258,'İndirimler'!$B$2:$B$210,C258)&gt;0,ROUND(G258*(1-SUMIFS('İndirimler'!$C$2:$C$210,'İndirimler'!$A$2:$A$210,B258,'İndirimler'!$B$2:$B$210,C258)),2),"")</x:f>
        <x:v>522.75</x:v>
      </x:c>
      <x:c r="I258" s="24" t="n">
        <x:f>IF(SUMIFS('İndirimler'!$D$2:$D$210,'İndirimler'!$A$2:$A$210,B258,'İndirimler'!$B$2:$B$210,C258)&gt;0,ROUND(G258*(1-SUMIFS('İndirimler'!$D$2:$D$210,'İndirimler'!$A$2:$A$210,B258,'İndirimler'!$B$2:$B$210,C258)),2),"")</x:f>
        <x:v>430.5</x:v>
      </x:c>
      <x:c r="J258" s="30" t="s">
        <x:v>429</x:v>
      </x:c>
      <x:c r="K258" s="31"/>
    </x:row>
    <x:row r="259" ht="21.950000762939453" customHeight="1">
      <x:c r="A259" s="15" t="s">
        <x:v>430</x:v>
      </x:c>
      <x:c r="B259" s="12" t="s">
        <x:v>138</x:v>
      </x:c>
      <x:c r="C259" s="12" t="s">
        <x:v>33</x:v>
      </x:c>
      <x:c r="D259" s="12" t="s">
        <x:v>423</x:v>
      </x:c>
      <x:c r="E259" s="12" t="s">
        <x:v>314</x:v>
      </x:c>
      <x:c r="F259" s="12" t="s">
        <x:v>42</x:v>
      </x:c>
      <x:c r="G259" s="18">
        <x:v>515</x:v>
      </x:c>
      <x:c r="H259" s="21" t="n">
        <x:f>IF(SUMIFS('İndirimler'!$C$2:$C$210,'İndirimler'!$A$2:$A$210,B259,'İndirimler'!$B$2:$B$210,C259)&gt;0,ROUND(G259*(1-SUMIFS('İndirimler'!$C$2:$C$210,'İndirimler'!$A$2:$A$210,B259,'İndirimler'!$B$2:$B$210,C259)),2),"")</x:f>
        <x:v>437.75</x:v>
      </x:c>
      <x:c r="I259" s="24" t="n">
        <x:f>IF(SUMIFS('İndirimler'!$D$2:$D$210,'İndirimler'!$A$2:$A$210,B259,'İndirimler'!$B$2:$B$210,C259)&gt;0,ROUND(G259*(1-SUMIFS('İndirimler'!$D$2:$D$210,'İndirimler'!$A$2:$A$210,B259,'İndirimler'!$B$2:$B$210,C259)),2),"")</x:f>
        <x:v>360.5</x:v>
      </x:c>
      <x:c r="J259" s="30" t="s">
        <x:v>431</x:v>
      </x:c>
      <x:c r="K259" s="31"/>
    </x:row>
    <x:row r="260" ht="21.950000762939453" customHeight="1">
      <x:c r="A260" s="15" t="s">
        <x:v>432</x:v>
      </x:c>
      <x:c r="B260" s="12" t="s">
        <x:v>18</x:v>
      </x:c>
      <x:c r="C260" s="12" t="s">
        <x:v>33</x:v>
      </x:c>
      <x:c r="D260" s="12" t="s">
        <x:v>423</x:v>
      </x:c>
      <x:c r="E260" s="12" t="s">
        <x:v>41</x:v>
      </x:c>
      <x:c r="F260" s="12" t="s">
        <x:v>42</x:v>
      </x:c>
      <x:c r="G260" s="18"/>
      <x:c r="H260" s="21" t="n">
        <x:f>IF(SUMIFS('İndirimler'!$C$2:$C$210,'İndirimler'!$A$2:$A$210,B260,'İndirimler'!$B$2:$B$210,C260)&gt;0,ROUND(G260*(1-SUMIFS('İndirimler'!$C$2:$C$210,'İndirimler'!$A$2:$A$210,B260,'İndirimler'!$B$2:$B$210,C260)),2),"")</x:f>
        <x:v>0</x:v>
      </x:c>
      <x:c r="I260" s="24" t="n">
        <x:f>IF(SUMIFS('İndirimler'!$D$2:$D$210,'İndirimler'!$A$2:$A$210,B260,'İndirimler'!$B$2:$B$210,C260)&gt;0,ROUND(G260*(1-SUMIFS('İndirimler'!$D$2:$D$210,'İndirimler'!$A$2:$A$210,B260,'İndirimler'!$B$2:$B$210,C260)),2),"")</x:f>
        <x:v>0</x:v>
      </x:c>
      <x:c r="J260" s="12"/>
      <x:c r="K260" s="31"/>
    </x:row>
    <x:row r="261" ht="21.950000762939453" customHeight="1">
      <x:c r="A261" s="15" t="s">
        <x:v>433</x:v>
      </x:c>
      <x:c r="B261" s="12" t="s">
        <x:v>44</x:v>
      </x:c>
      <x:c r="C261" s="12" t="s">
        <x:v>33</x:v>
      </x:c>
      <x:c r="D261" s="12" t="s">
        <x:v>423</x:v>
      </x:c>
      <x:c r="E261" s="12" t="s">
        <x:v>45</x:v>
      </x:c>
      <x:c r="F261" s="12" t="s">
        <x:v>42</x:v>
      </x:c>
      <x:c r="G261" s="18">
        <x:v>376</x:v>
      </x:c>
      <x:c r="H261" s="21" t="n">
        <x:f>IF(SUMIFS('İndirimler'!$C$2:$C$210,'İndirimler'!$A$2:$A$210,B261,'İndirimler'!$B$2:$B$210,C261)&gt;0,ROUND(G261*(1-SUMIFS('İndirimler'!$C$2:$C$210,'İndirimler'!$A$2:$A$210,B261,'İndirimler'!$B$2:$B$210,C261)),2),"")</x:f>
        <x:v>319.6</x:v>
      </x:c>
      <x:c r="I261" s="24" t="n">
        <x:f>IF(SUMIFS('İndirimler'!$D$2:$D$210,'İndirimler'!$A$2:$A$210,B261,'İndirimler'!$B$2:$B$210,C261)&gt;0,ROUND(G261*(1-SUMIFS('İndirimler'!$D$2:$D$210,'İndirimler'!$A$2:$A$210,B261,'İndirimler'!$B$2:$B$210,C261)),2),"")</x:f>
        <x:v>263.2</x:v>
      </x:c>
      <x:c r="J261" s="12" t="s">
        <x:v>434</x:v>
      </x:c>
      <x:c r="K261" s="31"/>
    </x:row>
    <x:row r="262" ht="21.950000762939453" customHeight="1">
      <x:c r="A262" s="15" t="s">
        <x:v>435</x:v>
      </x:c>
      <x:c r="B262" s="12" t="s">
        <x:v>23</x:v>
      </x:c>
      <x:c r="C262" s="12" t="s">
        <x:v>33</x:v>
      </x:c>
      <x:c r="D262" s="12" t="s">
        <x:v>423</x:v>
      </x:c>
      <x:c r="E262" s="12"/>
      <x:c r="F262" s="12" t="s">
        <x:v>42</x:v>
      </x:c>
      <x:c r="G262" s="18">
        <x:v>548</x:v>
      </x:c>
      <x:c r="H262" s="21" t="n">
        <x:f>IF(SUMIFS('İndirimler'!$C$2:$C$210,'İndirimler'!$A$2:$A$210,B262,'İndirimler'!$B$2:$B$210,C262)&gt;0,ROUND(G262*(1-SUMIFS('İndirimler'!$C$2:$C$210,'İndirimler'!$A$2:$A$210,B262,'İndirimler'!$B$2:$B$210,C262)),2),"")</x:f>
        <x:v>465.8</x:v>
      </x:c>
      <x:c r="I262" s="24" t="n">
        <x:f>IF(SUMIFS('İndirimler'!$D$2:$D$210,'İndirimler'!$A$2:$A$210,B262,'İndirimler'!$B$2:$B$210,C262)&gt;0,ROUND(G262*(1-SUMIFS('İndirimler'!$D$2:$D$210,'İndirimler'!$A$2:$A$210,B262,'İndirimler'!$B$2:$B$210,C262)),2),"")</x:f>
        <x:v>383.6</x:v>
      </x:c>
      <x:c r="J262" s="30" t="s">
        <x:v>436</x:v>
      </x:c>
      <x:c r="K262" s="31"/>
    </x:row>
    <x:row r="263" ht="21.950000762939453" customHeight="1">
      <x:c r="A263" s="15" t="s">
        <x:v>437</x:v>
      </x:c>
      <x:c r="B263" s="12" t="s">
        <x:v>50</x:v>
      </x:c>
      <x:c r="C263" s="12" t="s">
        <x:v>33</x:v>
      </x:c>
      <x:c r="D263" s="12" t="s">
        <x:v>423</x:v>
      </x:c>
      <x:c r="E263" s="12" t="s">
        <x:v>51</x:v>
      </x:c>
      <x:c r="F263" s="12" t="s">
        <x:v>42</x:v>
      </x:c>
      <x:c r="G263" s="18">
        <x:v>720</x:v>
      </x:c>
      <x:c r="H263" s="21" t="n">
        <x:f>IF(SUMIFS('İndirimler'!$C$2:$C$210,'İndirimler'!$A$2:$A$210,B263,'İndirimler'!$B$2:$B$210,C263)&gt;0,ROUND(G263*(1-SUMIFS('İndirimler'!$C$2:$C$210,'İndirimler'!$A$2:$A$210,B263,'İndirimler'!$B$2:$B$210,C263)),2),"")</x:f>
        <x:v>612</x:v>
      </x:c>
      <x:c r="I263" s="24" t="n">
        <x:f>IF(SUMIFS('İndirimler'!$D$2:$D$210,'İndirimler'!$A$2:$A$210,B263,'İndirimler'!$B$2:$B$210,C263)&gt;0,ROUND(G263*(1-SUMIFS('İndirimler'!$D$2:$D$210,'İndirimler'!$A$2:$A$210,B263,'İndirimler'!$B$2:$B$210,C263)),2),"")</x:f>
        <x:v>504</x:v>
      </x:c>
      <x:c r="J263" s="12"/>
      <x:c r="K263" s="31"/>
    </x:row>
    <x:row r="264" ht="21.950000762939453" customHeight="1">
      <x:c r="A264" s="15" t="s">
        <x:v>438</x:v>
      </x:c>
      <x:c r="B264" s="12" t="s">
        <x:v>439</x:v>
      </x:c>
      <x:c r="C264" s="12" t="s">
        <x:v>33</x:v>
      </x:c>
      <x:c r="D264" s="12" t="s">
        <x:v>423</x:v>
      </x:c>
      <x:c r="E264" s="12"/>
      <x:c r="F264" s="12" t="s">
        <x:v>42</x:v>
      </x:c>
      <x:c r="G264" s="18"/>
      <x:c r="H264" s="21" t="n">
        <x:f>IF(SUMIFS('İndirimler'!$C$2:$C$210,'İndirimler'!$A$2:$A$210,B264,'İndirimler'!$B$2:$B$210,C264)&gt;0,ROUND(G264*(1-SUMIFS('İndirimler'!$C$2:$C$210,'İndirimler'!$A$2:$A$210,B264,'İndirimler'!$B$2:$B$210,C264)),2),"")</x:f>
        <x:v>0</x:v>
      </x:c>
      <x:c r="I264" s="24" t="n">
        <x:f>IF(SUMIFS('İndirimler'!$D$2:$D$210,'İndirimler'!$A$2:$A$210,B264,'İndirimler'!$B$2:$B$210,C264)&gt;0,ROUND(G264*(1-SUMIFS('İndirimler'!$D$2:$D$210,'İndirimler'!$A$2:$A$210,B264,'İndirimler'!$B$2:$B$210,C264)),2),"")</x:f>
        <x:v>0</x:v>
      </x:c>
      <x:c r="J264" s="12"/>
      <x:c r="K264" s="31"/>
    </x:row>
    <x:row r="265" ht="21.950000762939453" customHeight="1">
      <x:c r="A265" s="15" t="s">
        <x:v>440</x:v>
      </x:c>
      <x:c r="B265" s="12" t="s">
        <x:v>55</x:v>
      </x:c>
      <x:c r="C265" s="12" t="s">
        <x:v>33</x:v>
      </x:c>
      <x:c r="D265" s="12" t="s">
        <x:v>423</x:v>
      </x:c>
      <x:c r="E265" s="12"/>
      <x:c r="F265" s="12" t="s">
        <x:v>16</x:v>
      </x:c>
      <x:c r="G265" s="18">
        <x:v>366</x:v>
      </x:c>
      <x:c r="H265" s="21" t="n">
        <x:f>IF(SUMIFS('İndirimler'!$C$2:$C$210,'İndirimler'!$A$2:$A$210,B265,'İndirimler'!$B$2:$B$210,C265)&gt;0,ROUND(G265*(1-SUMIFS('İndirimler'!$C$2:$C$210,'İndirimler'!$A$2:$A$210,B265,'İndirimler'!$B$2:$B$210,C265)),2),"")</x:f>
        <x:v>311.1</x:v>
      </x:c>
      <x:c r="I265" s="24" t="n">
        <x:f>IF(SUMIFS('İndirimler'!$D$2:$D$210,'İndirimler'!$A$2:$A$210,B265,'İndirimler'!$B$2:$B$210,C265)&gt;0,ROUND(G265*(1-SUMIFS('İndirimler'!$D$2:$D$210,'İndirimler'!$A$2:$A$210,B265,'İndirimler'!$B$2:$B$210,C265)),2),"")</x:f>
        <x:v>256.2</x:v>
      </x:c>
      <x:c r="J265" s="12" t="s">
        <x:v>441</x:v>
      </x:c>
      <x:c r="K265" s="31"/>
    </x:row>
    <x:row r="266" ht="21.950000762939453" customHeight="1">
      <x:c r="A266" s="15" t="s">
        <x:v>442</x:v>
      </x:c>
      <x:c r="B266" s="12" t="s">
        <x:v>138</x:v>
      </x:c>
      <x:c r="C266" s="12" t="s">
        <x:v>33</x:v>
      </x:c>
      <x:c r="D266" s="12" t="s">
        <x:v>423</x:v>
      </x:c>
      <x:c r="E266" s="12"/>
      <x:c r="F266" s="12" t="s">
        <x:v>16</x:v>
      </x:c>
      <x:c r="G266" s="18">
        <x:v>592</x:v>
      </x:c>
      <x:c r="H266" s="21" t="n">
        <x:f>IF(SUMIFS('İndirimler'!$C$2:$C$210,'İndirimler'!$A$2:$A$210,B266,'İndirimler'!$B$2:$B$210,C266)&gt;0,ROUND(G266*(1-SUMIFS('İndirimler'!$C$2:$C$210,'İndirimler'!$A$2:$A$210,B266,'İndirimler'!$B$2:$B$210,C266)),2),"")</x:f>
        <x:v>503.2</x:v>
      </x:c>
      <x:c r="I266" s="24" t="n">
        <x:f>IF(SUMIFS('İndirimler'!$D$2:$D$210,'İndirimler'!$A$2:$A$210,B266,'İndirimler'!$B$2:$B$210,C266)&gt;0,ROUND(G266*(1-SUMIFS('İndirimler'!$D$2:$D$210,'İndirimler'!$A$2:$A$210,B266,'İndirimler'!$B$2:$B$210,C266)),2),"")</x:f>
        <x:v>414.4</x:v>
      </x:c>
      <x:c r="J266" s="30" t="s">
        <x:v>443</x:v>
      </x:c>
      <x:c r="K266" s="31"/>
    </x:row>
    <x:row r="267" ht="21.950000762939453" customHeight="1">
      <x:c r="A267" s="15" t="s">
        <x:v>444</x:v>
      </x:c>
      <x:c r="B267" s="12" t="s">
        <x:v>18</x:v>
      </x:c>
      <x:c r="C267" s="12" t="s">
        <x:v>33</x:v>
      </x:c>
      <x:c r="D267" s="12" t="s">
        <x:v>423</x:v>
      </x:c>
      <x:c r="E267" s="12"/>
      <x:c r="F267" s="12" t="s">
        <x:v>16</x:v>
      </x:c>
      <x:c r="G267" s="18">
        <x:v>479</x:v>
      </x:c>
      <x:c r="H267" s="21" t="n">
        <x:f>IF(SUMIFS('İndirimler'!$C$2:$C$210,'İndirimler'!$A$2:$A$210,B267,'İndirimler'!$B$2:$B$210,C267)&gt;0,ROUND(G267*(1-SUMIFS('İndirimler'!$C$2:$C$210,'İndirimler'!$A$2:$A$210,B267,'İndirimler'!$B$2:$B$210,C267)),2),"")</x:f>
        <x:v>407.15</x:v>
      </x:c>
      <x:c r="I267" s="24" t="n">
        <x:f>IF(SUMIFS('İndirimler'!$D$2:$D$210,'İndirimler'!$A$2:$A$210,B267,'İndirimler'!$B$2:$B$210,C267)&gt;0,ROUND(G267*(1-SUMIFS('İndirimler'!$D$2:$D$210,'İndirimler'!$A$2:$A$210,B267,'İndirimler'!$B$2:$B$210,C267)),2),"")</x:f>
        <x:v>335.3</x:v>
      </x:c>
      <x:c r="J267" s="30" t="s">
        <x:v>445</x:v>
      </x:c>
      <x:c r="K267" s="31"/>
    </x:row>
    <x:row r="268" ht="21.950000762939453" customHeight="1">
      <x:c r="A268" s="15" t="s">
        <x:v>446</x:v>
      </x:c>
      <x:c r="B268" s="12" t="s">
        <x:v>44</x:v>
      </x:c>
      <x:c r="C268" s="12" t="s">
        <x:v>33</x:v>
      </x:c>
      <x:c r="D268" s="12" t="s">
        <x:v>423</x:v>
      </x:c>
      <x:c r="E268" s="12" t="s">
        <x:v>60</x:v>
      </x:c>
      <x:c r="F268" s="12" t="s">
        <x:v>16</x:v>
      </x:c>
      <x:c r="G268" s="18">
        <x:v>274</x:v>
      </x:c>
      <x:c r="H268" s="21" t="n">
        <x:f>IF(SUMIFS('İndirimler'!$C$2:$C$210,'İndirimler'!$A$2:$A$210,B268,'İndirimler'!$B$2:$B$210,C268)&gt;0,ROUND(G268*(1-SUMIFS('İndirimler'!$C$2:$C$210,'İndirimler'!$A$2:$A$210,B268,'İndirimler'!$B$2:$B$210,C268)),2),"")</x:f>
        <x:v>232.9</x:v>
      </x:c>
      <x:c r="I268" s="24" t="n">
        <x:f>IF(SUMIFS('İndirimler'!$D$2:$D$210,'İndirimler'!$A$2:$A$210,B268,'İndirimler'!$B$2:$B$210,C268)&gt;0,ROUND(G268*(1-SUMIFS('İndirimler'!$D$2:$D$210,'İndirimler'!$A$2:$A$210,B268,'İndirimler'!$B$2:$B$210,C268)),2),"")</x:f>
        <x:v>191.8</x:v>
      </x:c>
      <x:c r="J268" s="12" t="s">
        <x:v>447</x:v>
      </x:c>
      <x:c r="K268" s="31"/>
    </x:row>
    <x:row r="269" ht="21.950000762939453" customHeight="1">
      <x:c r="A269" s="15" t="s">
        <x:v>448</x:v>
      </x:c>
      <x:c r="B269" s="12" t="s">
        <x:v>63</x:v>
      </x:c>
      <x:c r="C269" s="12" t="s">
        <x:v>33</x:v>
      </x:c>
      <x:c r="D269" s="12" t="s">
        <x:v>423</x:v>
      </x:c>
      <x:c r="E269" s="12" t="s">
        <x:v>64</x:v>
      </x:c>
      <x:c r="F269" s="12" t="s">
        <x:v>16</x:v>
      </x:c>
      <x:c r="G269" s="18">
        <x:v>475</x:v>
      </x:c>
      <x:c r="H269" s="21" t="n">
        <x:f>IF(SUMIFS('İndirimler'!$C$2:$C$210,'İndirimler'!$A$2:$A$210,B269,'İndirimler'!$B$2:$B$210,C269)&gt;0,ROUND(G269*(1-SUMIFS('İndirimler'!$C$2:$C$210,'İndirimler'!$A$2:$A$210,B269,'İndirimler'!$B$2:$B$210,C269)),2),"")</x:f>
        <x:v>403.75</x:v>
      </x:c>
      <x:c r="I269" s="24" t="n">
        <x:f>IF(SUMIFS('İndirimler'!$D$2:$D$210,'İndirimler'!$A$2:$A$210,B269,'İndirimler'!$B$2:$B$210,C269)&gt;0,ROUND(G269*(1-SUMIFS('İndirimler'!$D$2:$D$210,'İndirimler'!$A$2:$A$210,B269,'İndirimler'!$B$2:$B$210,C269)),2),"")</x:f>
        <x:v>332.5</x:v>
      </x:c>
      <x:c r="J269" s="12" t="s">
        <x:v>449</x:v>
      </x:c>
      <x:c r="K269" s="31"/>
    </x:row>
    <x:row r="270" ht="21.950000762939453" customHeight="1">
      <x:c r="A270" s="15" t="s">
        <x:v>450</x:v>
      </x:c>
      <x:c r="B270" s="12" t="s">
        <x:v>23</x:v>
      </x:c>
      <x:c r="C270" s="12" t="s">
        <x:v>33</x:v>
      </x:c>
      <x:c r="D270" s="12" t="s">
        <x:v>423</x:v>
      </x:c>
      <x:c r="E270" s="12"/>
      <x:c r="F270" s="12" t="s">
        <x:v>16</x:v>
      </x:c>
      <x:c r="G270" s="18">
        <x:v>548</x:v>
      </x:c>
      <x:c r="H270" s="21" t="n">
        <x:f>IF(SUMIFS('İndirimler'!$C$2:$C$210,'İndirimler'!$A$2:$A$210,B270,'İndirimler'!$B$2:$B$210,C270)&gt;0,ROUND(G270*(1-SUMIFS('İndirimler'!$C$2:$C$210,'İndirimler'!$A$2:$A$210,B270,'İndirimler'!$B$2:$B$210,C270)),2),"")</x:f>
        <x:v>465.8</x:v>
      </x:c>
      <x:c r="I270" s="24" t="n">
        <x:f>IF(SUMIFS('İndirimler'!$D$2:$D$210,'İndirimler'!$A$2:$A$210,B270,'İndirimler'!$B$2:$B$210,C270)&gt;0,ROUND(G270*(1-SUMIFS('İndirimler'!$D$2:$D$210,'İndirimler'!$A$2:$A$210,B270,'İndirimler'!$B$2:$B$210,C270)),2),"")</x:f>
        <x:v>383.6</x:v>
      </x:c>
      <x:c r="J270" s="30" t="s">
        <x:v>451</x:v>
      </x:c>
      <x:c r="K270" s="31"/>
    </x:row>
    <x:row r="271" ht="21.950000762939453" customHeight="1">
      <x:c r="A271" s="15" t="s">
        <x:v>452</x:v>
      </x:c>
      <x:c r="B271" s="12" t="s">
        <x:v>50</x:v>
      </x:c>
      <x:c r="C271" s="12" t="s">
        <x:v>33</x:v>
      </x:c>
      <x:c r="D271" s="12" t="s">
        <x:v>423</x:v>
      </x:c>
      <x:c r="E271" s="12" t="s">
        <x:v>69</x:v>
      </x:c>
      <x:c r="F271" s="12" t="s">
        <x:v>16</x:v>
      </x:c>
      <x:c r="G271" s="18">
        <x:v>510</x:v>
      </x:c>
      <x:c r="H271" s="21" t="n">
        <x:f>IF(SUMIFS('İndirimler'!$C$2:$C$210,'İndirimler'!$A$2:$A$210,B271,'İndirimler'!$B$2:$B$210,C271)&gt;0,ROUND(G271*(1-SUMIFS('İndirimler'!$C$2:$C$210,'İndirimler'!$A$2:$A$210,B271,'İndirimler'!$B$2:$B$210,C271)),2),"")</x:f>
        <x:v>433.5</x:v>
      </x:c>
      <x:c r="I271" s="24" t="n">
        <x:f>IF(SUMIFS('İndirimler'!$D$2:$D$210,'İndirimler'!$A$2:$A$210,B271,'İndirimler'!$B$2:$B$210,C271)&gt;0,ROUND(G271*(1-SUMIFS('İndirimler'!$D$2:$D$210,'İndirimler'!$A$2:$A$210,B271,'İndirimler'!$B$2:$B$210,C271)),2),"")</x:f>
        <x:v>357</x:v>
      </x:c>
      <x:c r="J271" s="12"/>
      <x:c r="K271" s="31"/>
    </x:row>
    <x:row r="272" ht="21.950000762939453" customHeight="1">
      <x:c r="A272" s="15" t="s">
        <x:v>453</x:v>
      </x:c>
      <x:c r="B272" s="12" t="s">
        <x:v>422</x:v>
      </x:c>
      <x:c r="C272" s="12" t="s">
        <x:v>33</x:v>
      </x:c>
      <x:c r="D272" s="12" t="s">
        <x:v>423</x:v>
      </x:c>
      <x:c r="E272" s="12"/>
      <x:c r="F272" s="12" t="s">
        <x:v>16</x:v>
      </x:c>
      <x:c r="G272" s="18">
        <x:v>449</x:v>
      </x:c>
      <x:c r="H272" s="21" t="n">
        <x:f>IF(SUMIFS('İndirimler'!$C$2:$C$210,'İndirimler'!$A$2:$A$210,B272,'İndirimler'!$B$2:$B$210,C272)&gt;0,ROUND(G272*(1-SUMIFS('İndirimler'!$C$2:$C$210,'İndirimler'!$A$2:$A$210,B272,'İndirimler'!$B$2:$B$210,C272)),2),"")</x:f>
        <x:v>381.65</x:v>
      </x:c>
      <x:c r="I272" s="24" t="n">
        <x:f>IF(SUMIFS('İndirimler'!$D$2:$D$210,'İndirimler'!$A$2:$A$210,B272,'İndirimler'!$B$2:$B$210,C272)&gt;0,ROUND(G272*(1-SUMIFS('İndirimler'!$D$2:$D$210,'İndirimler'!$A$2:$A$210,B272,'İndirimler'!$B$2:$B$210,C272)),2),"")</x:f>
        <x:v>314.3</x:v>
      </x:c>
      <x:c r="J272" s="12" t="s">
        <x:v>454</x:v>
      </x:c>
      <x:c r="K272" s="31"/>
    </x:row>
    <x:row r="273" ht="21.950000762939453" customHeight="1">
      <x:c r="A273" s="15" t="s">
        <x:v>455</x:v>
      </x:c>
      <x:c r="B273" s="12" t="s">
        <x:v>38</x:v>
      </x:c>
      <x:c r="C273" s="12" t="s">
        <x:v>33</x:v>
      </x:c>
      <x:c r="D273" s="12" t="s">
        <x:v>423</x:v>
      </x:c>
      <x:c r="E273" s="12" t="s">
        <x:v>69</x:v>
      </x:c>
      <x:c r="F273" s="12" t="s">
        <x:v>16</x:v>
      </x:c>
      <x:c r="G273" s="18">
        <x:v>345</x:v>
      </x:c>
      <x:c r="H273" s="21" t="n">
        <x:f>IF(SUMIFS('İndirimler'!$C$2:$C$210,'İndirimler'!$A$2:$A$210,B273,'İndirimler'!$B$2:$B$210,C273)&gt;0,ROUND(G273*(1-SUMIFS('İndirimler'!$C$2:$C$210,'İndirimler'!$A$2:$A$210,B273,'İndirimler'!$B$2:$B$210,C273)),2),"")</x:f>
        <x:v>293.25</x:v>
      </x:c>
      <x:c r="I273" s="24" t="n">
        <x:f>IF(SUMIFS('İndirimler'!$D$2:$D$210,'İndirimler'!$A$2:$A$210,B273,'İndirimler'!$B$2:$B$210,C273)&gt;0,ROUND(G273*(1-SUMIFS('İndirimler'!$D$2:$D$210,'İndirimler'!$A$2:$A$210,B273,'İndirimler'!$B$2:$B$210,C273)),2),"")</x:f>
        <x:v>241.5</x:v>
      </x:c>
      <x:c r="J273" s="12" t="s">
        <x:v>456</x:v>
      </x:c>
      <x:c r="K273" s="31"/>
    </x:row>
    <x:row r="274" ht="21.950000762939453" customHeight="1">
      <x:c r="A274" s="15" t="s">
        <x:v>457</x:v>
      </x:c>
      <x:c r="B274" s="12" t="s">
        <x:v>72</x:v>
      </x:c>
      <x:c r="C274" s="12" t="s">
        <x:v>33</x:v>
      </x:c>
      <x:c r="D274" s="12" t="s">
        <x:v>423</x:v>
      </x:c>
      <x:c r="E274" s="12"/>
      <x:c r="F274" s="12" t="s">
        <x:v>73</x:v>
      </x:c>
      <x:c r="G274" s="18">
        <x:v>409</x:v>
      </x:c>
      <x:c r="H274" s="21" t="n">
        <x:f>IF(SUMIFS('İndirimler'!$C$2:$C$210,'İndirimler'!$A$2:$A$210,B274,'İndirimler'!$B$2:$B$210,C274)&gt;0,ROUND(G274*(1-SUMIFS('İndirimler'!$C$2:$C$210,'İndirimler'!$A$2:$A$210,B274,'İndirimler'!$B$2:$B$210,C274)),2),"")</x:f>
        <x:v>347.65</x:v>
      </x:c>
      <x:c r="I274" s="24" t="n">
        <x:f>IF(SUMIFS('İndirimler'!$D$2:$D$210,'İndirimler'!$A$2:$A$210,B274,'İndirimler'!$B$2:$B$210,C274)&gt;0,ROUND(G274*(1-SUMIFS('İndirimler'!$D$2:$D$210,'İndirimler'!$A$2:$A$210,B274,'İndirimler'!$B$2:$B$210,C274)),2),"")</x:f>
        <x:v>286.3</x:v>
      </x:c>
      <x:c r="J274" s="12"/>
      <x:c r="K274" s="31"/>
    </x:row>
    <x:row r="275" ht="21.950000762939453" customHeight="1">
      <x:c r="A275" s="15" t="s">
        <x:v>458</x:v>
      </x:c>
      <x:c r="B275" s="12" t="s">
        <x:v>422</x:v>
      </x:c>
      <x:c r="C275" s="12" t="s">
        <x:v>76</x:v>
      </x:c>
      <x:c r="D275" s="12" t="s">
        <x:v>423</x:v>
      </x:c>
      <x:c r="E275" s="12" t="s">
        <x:v>424</x:v>
      </x:c>
      <x:c r="F275" s="12" t="s">
        <x:v>35</x:v>
      </x:c>
      <x:c r="G275" s="18">
        <x:v>625</x:v>
      </x:c>
      <x:c r="H275" s="21" t="n">
        <x:f>IF(SUMIFS('İndirimler'!$C$2:$C$210,'İndirimler'!$A$2:$A$210,B275,'İndirimler'!$B$2:$B$210,C275)&gt;0,ROUND(G275*(1-SUMIFS('İndirimler'!$C$2:$C$210,'İndirimler'!$A$2:$A$210,B275,'İndirimler'!$B$2:$B$210,C275)),2),"")</x:f>
        <x:v>531.25</x:v>
      </x:c>
      <x:c r="I275" s="24" t="n">
        <x:f>IF(SUMIFS('İndirimler'!$D$2:$D$210,'İndirimler'!$A$2:$A$210,B275,'İndirimler'!$B$2:$B$210,C275)&gt;0,ROUND(G275*(1-SUMIFS('İndirimler'!$D$2:$D$210,'İndirimler'!$A$2:$A$210,B275,'İndirimler'!$B$2:$B$210,C275)),2),"")</x:f>
        <x:v>437.5</x:v>
      </x:c>
      <x:c r="J275" s="12" t="s">
        <x:v>459</x:v>
      </x:c>
      <x:c r="K275" s="31"/>
    </x:row>
    <x:row r="276" ht="21.950000762939453" customHeight="1">
      <x:c r="A276" s="15" t="s">
        <x:v>460</x:v>
      </x:c>
      <x:c r="B276" s="12" t="s">
        <x:v>32</x:v>
      </x:c>
      <x:c r="C276" s="12" t="s">
        <x:v>76</x:v>
      </x:c>
      <x:c r="D276" s="12" t="s">
        <x:v>423</x:v>
      </x:c>
      <x:c r="E276" s="12"/>
      <x:c r="F276" s="12" t="s">
        <x:v>35</x:v>
      </x:c>
      <x:c r="G276" s="18">
        <x:v>499</x:v>
      </x:c>
      <x:c r="H276" s="21" t="n">
        <x:f>IF(SUMIFS('İndirimler'!$C$2:$C$210,'İndirimler'!$A$2:$A$210,B276,'İndirimler'!$B$2:$B$210,C276)&gt;0,ROUND(G276*(1-SUMIFS('İndirimler'!$C$2:$C$210,'İndirimler'!$A$2:$A$210,B276,'İndirimler'!$B$2:$B$210,C276)),2),"")</x:f>
        <x:v>424.15</x:v>
      </x:c>
      <x:c r="I276" s="24" t="n">
        <x:f>IF(SUMIFS('İndirimler'!$D$2:$D$210,'İndirimler'!$A$2:$A$210,B276,'İndirimler'!$B$2:$B$210,C276)&gt;0,ROUND(G276*(1-SUMIFS('İndirimler'!$D$2:$D$210,'İndirimler'!$A$2:$A$210,B276,'İndirimler'!$B$2:$B$210,C276)),2),"")</x:f>
        <x:v>349.3</x:v>
      </x:c>
      <x:c r="J276" s="30" t="s">
        <x:v>461</x:v>
      </x:c>
      <x:c r="K276" s="31"/>
    </x:row>
    <x:row r="277" ht="21.950000762939453" customHeight="1">
      <x:c r="A277" s="15" t="s">
        <x:v>462</x:v>
      </x:c>
      <x:c r="B277" s="12" t="s">
        <x:v>38</x:v>
      </x:c>
      <x:c r="C277" s="12" t="s">
        <x:v>76</x:v>
      </x:c>
      <x:c r="D277" s="12" t="s">
        <x:v>423</x:v>
      </x:c>
      <x:c r="E277" s="12"/>
      <x:c r="F277" s="12" t="s">
        <x:v>35</x:v>
      </x:c>
      <x:c r="G277" s="18">
        <x:v>635</x:v>
      </x:c>
      <x:c r="H277" s="21" t="n">
        <x:f>IF(SUMIFS('İndirimler'!$C$2:$C$210,'İndirimler'!$A$2:$A$210,B277,'İndirimler'!$B$2:$B$210,C277)&gt;0,ROUND(G277*(1-SUMIFS('İndirimler'!$C$2:$C$210,'İndirimler'!$A$2:$A$210,B277,'İndirimler'!$B$2:$B$210,C277)),2),"")</x:f>
        <x:v>539.75</x:v>
      </x:c>
      <x:c r="I277" s="24" t="n">
        <x:f>IF(SUMIFS('İndirimler'!$D$2:$D$210,'İndirimler'!$A$2:$A$210,B277,'İndirimler'!$B$2:$B$210,C277)&gt;0,ROUND(G277*(1-SUMIFS('İndirimler'!$D$2:$D$210,'İndirimler'!$A$2:$A$210,B277,'İndirimler'!$B$2:$B$210,C277)),2),"")</x:f>
        <x:v>444.5</x:v>
      </x:c>
      <x:c r="J277" s="12" t="s">
        <x:v>463</x:v>
      </x:c>
      <x:c r="K277" s="31"/>
    </x:row>
    <x:row r="278" ht="21.950000762939453" customHeight="1">
      <x:c r="A278" s="15" t="s">
        <x:v>464</x:v>
      </x:c>
      <x:c r="B278" s="12" t="s">
        <x:v>138</x:v>
      </x:c>
      <x:c r="C278" s="12" t="s">
        <x:v>76</x:v>
      </x:c>
      <x:c r="D278" s="12" t="s">
        <x:v>423</x:v>
      </x:c>
      <x:c r="E278" s="12" t="s">
        <x:v>314</x:v>
      </x:c>
      <x:c r="F278" s="12" t="s">
        <x:v>42</x:v>
      </x:c>
      <x:c r="G278" s="18">
        <x:v>552</x:v>
      </x:c>
      <x:c r="H278" s="21" t="n">
        <x:f>IF(SUMIFS('İndirimler'!$C$2:$C$210,'İndirimler'!$A$2:$A$210,B278,'İndirimler'!$B$2:$B$210,C278)&gt;0,ROUND(G278*(1-SUMIFS('İndirimler'!$C$2:$C$210,'İndirimler'!$A$2:$A$210,B278,'İndirimler'!$B$2:$B$210,C278)),2),"")</x:f>
        <x:v>469.2</x:v>
      </x:c>
      <x:c r="I278" s="24" t="n">
        <x:f>IF(SUMIFS('İndirimler'!$D$2:$D$210,'İndirimler'!$A$2:$A$210,B278,'İndirimler'!$B$2:$B$210,C278)&gt;0,ROUND(G278*(1-SUMIFS('İndirimler'!$D$2:$D$210,'İndirimler'!$A$2:$A$210,B278,'İndirimler'!$B$2:$B$210,C278)),2),"")</x:f>
        <x:v>386.4</x:v>
      </x:c>
      <x:c r="J278" s="12" t="s">
        <x:v>465</x:v>
      </x:c>
      <x:c r="K278" s="31"/>
    </x:row>
    <x:row r="279" ht="21.950000762939453" customHeight="1">
      <x:c r="A279" s="15" t="s">
        <x:v>466</x:v>
      </x:c>
      <x:c r="B279" s="12" t="s">
        <x:v>18</x:v>
      </x:c>
      <x:c r="C279" s="12" t="s">
        <x:v>76</x:v>
      </x:c>
      <x:c r="D279" s="12" t="s">
        <x:v>423</x:v>
      </x:c>
      <x:c r="E279" s="12" t="s">
        <x:v>41</x:v>
      </x:c>
      <x:c r="F279" s="12" t="s">
        <x:v>42</x:v>
      </x:c>
      <x:c r="G279" s="18"/>
      <x:c r="H279" s="21" t="n">
        <x:f>IF(SUMIFS('İndirimler'!$C$2:$C$210,'İndirimler'!$A$2:$A$210,B279,'İndirimler'!$B$2:$B$210,C279)&gt;0,ROUND(G279*(1-SUMIFS('İndirimler'!$C$2:$C$210,'İndirimler'!$A$2:$A$210,B279,'İndirimler'!$B$2:$B$210,C279)),2),"")</x:f>
        <x:v>0</x:v>
      </x:c>
      <x:c r="I279" s="24" t="n">
        <x:f>IF(SUMIFS('İndirimler'!$D$2:$D$210,'İndirimler'!$A$2:$A$210,B279,'İndirimler'!$B$2:$B$210,C279)&gt;0,ROUND(G279*(1-SUMIFS('İndirimler'!$D$2:$D$210,'İndirimler'!$A$2:$A$210,B279,'İndirimler'!$B$2:$B$210,C279)),2),"")</x:f>
        <x:v>0</x:v>
      </x:c>
      <x:c r="J279" s="12"/>
      <x:c r="K279" s="31"/>
    </x:row>
    <x:row r="280" ht="21.950000762939453" customHeight="1">
      <x:c r="A280" s="15" t="s">
        <x:v>467</x:v>
      </x:c>
      <x:c r="B280" s="12" t="s">
        <x:v>44</x:v>
      </x:c>
      <x:c r="C280" s="12" t="s">
        <x:v>76</x:v>
      </x:c>
      <x:c r="D280" s="12" t="s">
        <x:v>423</x:v>
      </x:c>
      <x:c r="E280" s="12" t="s">
        <x:v>45</x:v>
      </x:c>
      <x:c r="F280" s="12" t="s">
        <x:v>42</x:v>
      </x:c>
      <x:c r="G280" s="18">
        <x:v>376</x:v>
      </x:c>
      <x:c r="H280" s="21" t="n">
        <x:f>IF(SUMIFS('İndirimler'!$C$2:$C$210,'İndirimler'!$A$2:$A$210,B280,'İndirimler'!$B$2:$B$210,C280)&gt;0,ROUND(G280*(1-SUMIFS('İndirimler'!$C$2:$C$210,'İndirimler'!$A$2:$A$210,B280,'İndirimler'!$B$2:$B$210,C280)),2),"")</x:f>
        <x:v>319.6</x:v>
      </x:c>
      <x:c r="I280" s="24" t="n">
        <x:f>IF(SUMIFS('İndirimler'!$D$2:$D$210,'İndirimler'!$A$2:$A$210,B280,'İndirimler'!$B$2:$B$210,C280)&gt;0,ROUND(G280*(1-SUMIFS('İndirimler'!$D$2:$D$210,'İndirimler'!$A$2:$A$210,B280,'İndirimler'!$B$2:$B$210,C280)),2),"")</x:f>
        <x:v>263.2</x:v>
      </x:c>
      <x:c r="J280" s="12" t="s">
        <x:v>468</x:v>
      </x:c>
      <x:c r="K280" s="31"/>
    </x:row>
    <x:row r="281" ht="21.950000762939453" customHeight="1">
      <x:c r="A281" s="15" t="s">
        <x:v>469</x:v>
      </x:c>
      <x:c r="B281" s="12" t="s">
        <x:v>23</x:v>
      </x:c>
      <x:c r="C281" s="12" t="s">
        <x:v>76</x:v>
      </x:c>
      <x:c r="D281" s="12" t="s">
        <x:v>423</x:v>
      </x:c>
      <x:c r="E281" s="12"/>
      <x:c r="F281" s="12" t="s">
        <x:v>42</x:v>
      </x:c>
      <x:c r="G281" s="18">
        <x:v>620</x:v>
      </x:c>
      <x:c r="H281" s="21" t="n">
        <x:f>IF(SUMIFS('İndirimler'!$C$2:$C$210,'İndirimler'!$A$2:$A$210,B281,'İndirimler'!$B$2:$B$210,C281)&gt;0,ROUND(G281*(1-SUMIFS('İndirimler'!$C$2:$C$210,'İndirimler'!$A$2:$A$210,B281,'İndirimler'!$B$2:$B$210,C281)),2),"")</x:f>
        <x:v>527</x:v>
      </x:c>
      <x:c r="I281" s="24" t="n">
        <x:f>IF(SUMIFS('İndirimler'!$D$2:$D$210,'İndirimler'!$A$2:$A$210,B281,'İndirimler'!$B$2:$B$210,C281)&gt;0,ROUND(G281*(1-SUMIFS('İndirimler'!$D$2:$D$210,'İndirimler'!$A$2:$A$210,B281,'İndirimler'!$B$2:$B$210,C281)),2),"")</x:f>
        <x:v>434</x:v>
      </x:c>
      <x:c r="J281" s="12" t="s">
        <x:v>470</x:v>
      </x:c>
      <x:c r="K281" s="31"/>
    </x:row>
    <x:row r="282" ht="21.950000762939453" customHeight="1">
      <x:c r="A282" s="15" t="s">
        <x:v>471</x:v>
      </x:c>
      <x:c r="B282" s="12" t="s">
        <x:v>50</x:v>
      </x:c>
      <x:c r="C282" s="12" t="s">
        <x:v>76</x:v>
      </x:c>
      <x:c r="D282" s="12" t="s">
        <x:v>423</x:v>
      </x:c>
      <x:c r="E282" s="12" t="s">
        <x:v>51</x:v>
      </x:c>
      <x:c r="F282" s="12" t="s">
        <x:v>42</x:v>
      </x:c>
      <x:c r="G282" s="18">
        <x:v>580</x:v>
      </x:c>
      <x:c r="H282" s="21" t="n">
        <x:f>IF(SUMIFS('İndirimler'!$C$2:$C$210,'İndirimler'!$A$2:$A$210,B282,'İndirimler'!$B$2:$B$210,C282)&gt;0,ROUND(G282*(1-SUMIFS('İndirimler'!$C$2:$C$210,'İndirimler'!$A$2:$A$210,B282,'İndirimler'!$B$2:$B$210,C282)),2),"")</x:f>
        <x:v>493</x:v>
      </x:c>
      <x:c r="I282" s="24" t="n">
        <x:f>IF(SUMIFS('İndirimler'!$D$2:$D$210,'İndirimler'!$A$2:$A$210,B282,'İndirimler'!$B$2:$B$210,C282)&gt;0,ROUND(G282*(1-SUMIFS('İndirimler'!$D$2:$D$210,'İndirimler'!$A$2:$A$210,B282,'İndirimler'!$B$2:$B$210,C282)),2),"")</x:f>
        <x:v>406</x:v>
      </x:c>
      <x:c r="J282" s="12"/>
      <x:c r="K282" s="31"/>
    </x:row>
    <x:row r="283" ht="21.950000762939453" customHeight="1">
      <x:c r="A283" s="15" t="s">
        <x:v>472</x:v>
      </x:c>
      <x:c r="B283" s="12" t="s">
        <x:v>439</x:v>
      </x:c>
      <x:c r="C283" s="12" t="s">
        <x:v>76</x:v>
      </x:c>
      <x:c r="D283" s="12" t="s">
        <x:v>423</x:v>
      </x:c>
      <x:c r="E283" s="12"/>
      <x:c r="F283" s="12" t="s">
        <x:v>42</x:v>
      </x:c>
      <x:c r="G283" s="18"/>
      <x:c r="H283" s="21" t="n">
        <x:f>IF(SUMIFS('İndirimler'!$C$2:$C$210,'İndirimler'!$A$2:$A$210,B283,'İndirimler'!$B$2:$B$210,C283)&gt;0,ROUND(G283*(1-SUMIFS('İndirimler'!$C$2:$C$210,'İndirimler'!$A$2:$A$210,B283,'İndirimler'!$B$2:$B$210,C283)),2),"")</x:f>
        <x:v>0</x:v>
      </x:c>
      <x:c r="I283" s="24" t="n">
        <x:f>IF(SUMIFS('İndirimler'!$D$2:$D$210,'İndirimler'!$A$2:$A$210,B283,'İndirimler'!$B$2:$B$210,C283)&gt;0,ROUND(G283*(1-SUMIFS('İndirimler'!$D$2:$D$210,'İndirimler'!$A$2:$A$210,B283,'İndirimler'!$B$2:$B$210,C283)),2),"")</x:f>
        <x:v>0</x:v>
      </x:c>
      <x:c r="J283" s="12"/>
      <x:c r="K283" s="31"/>
    </x:row>
    <x:row r="284" ht="21.950000762939453" customHeight="1">
      <x:c r="A284" s="15" t="s">
        <x:v>473</x:v>
      </x:c>
      <x:c r="B284" s="12" t="s">
        <x:v>55</x:v>
      </x:c>
      <x:c r="C284" s="12" t="s">
        <x:v>76</x:v>
      </x:c>
      <x:c r="D284" s="12" t="s">
        <x:v>423</x:v>
      </x:c>
      <x:c r="E284" s="12"/>
      <x:c r="F284" s="12" t="s">
        <x:v>16</x:v>
      </x:c>
      <x:c r="G284" s="18">
        <x:v>328</x:v>
      </x:c>
      <x:c r="H284" s="21" t="n">
        <x:f>IF(SUMIFS('İndirimler'!$C$2:$C$210,'İndirimler'!$A$2:$A$210,B284,'İndirimler'!$B$2:$B$210,C284)&gt;0,ROUND(G284*(1-SUMIFS('İndirimler'!$C$2:$C$210,'İndirimler'!$A$2:$A$210,B284,'İndirimler'!$B$2:$B$210,C284)),2),"")</x:f>
        <x:v>278.8</x:v>
      </x:c>
      <x:c r="I284" s="24" t="n">
        <x:f>IF(SUMIFS('İndirimler'!$D$2:$D$210,'İndirimler'!$A$2:$A$210,B284,'İndirimler'!$B$2:$B$210,C284)&gt;0,ROUND(G284*(1-SUMIFS('İndirimler'!$D$2:$D$210,'İndirimler'!$A$2:$A$210,B284,'İndirimler'!$B$2:$B$210,C284)),2),"")</x:f>
        <x:v>229.6</x:v>
      </x:c>
      <x:c r="J284" s="12" t="s">
        <x:v>474</x:v>
      </x:c>
      <x:c r="K284" s="31"/>
    </x:row>
    <x:row r="285" ht="21.950000762939453" customHeight="1">
      <x:c r="A285" s="15" t="s">
        <x:v>475</x:v>
      </x:c>
      <x:c r="B285" s="12" t="s">
        <x:v>138</x:v>
      </x:c>
      <x:c r="C285" s="12" t="s">
        <x:v>76</x:v>
      </x:c>
      <x:c r="D285" s="12" t="s">
        <x:v>423</x:v>
      </x:c>
      <x:c r="E285" s="12"/>
      <x:c r="F285" s="12" t="s">
        <x:v>16</x:v>
      </x:c>
      <x:c r="G285" s="18">
        <x:v>560</x:v>
      </x:c>
      <x:c r="H285" s="21" t="n">
        <x:f>IF(SUMIFS('İndirimler'!$C$2:$C$210,'İndirimler'!$A$2:$A$210,B285,'İndirimler'!$B$2:$B$210,C285)&gt;0,ROUND(G285*(1-SUMIFS('İndirimler'!$C$2:$C$210,'İndirimler'!$A$2:$A$210,B285,'İndirimler'!$B$2:$B$210,C285)),2),"")</x:f>
        <x:v>476</x:v>
      </x:c>
      <x:c r="I285" s="24" t="n">
        <x:f>IF(SUMIFS('İndirimler'!$D$2:$D$210,'İndirimler'!$A$2:$A$210,B285,'İndirimler'!$B$2:$B$210,C285)&gt;0,ROUND(G285*(1-SUMIFS('İndirimler'!$D$2:$D$210,'İndirimler'!$A$2:$A$210,B285,'İndirimler'!$B$2:$B$210,C285)),2),"")</x:f>
        <x:v>392</x:v>
      </x:c>
      <x:c r="J285" s="12" t="s">
        <x:v>476</x:v>
      </x:c>
      <x:c r="K285" s="31"/>
    </x:row>
    <x:row r="286" ht="21.950000762939453" customHeight="1">
      <x:c r="A286" s="15" t="s">
        <x:v>477</x:v>
      </x:c>
      <x:c r="B286" s="12" t="s">
        <x:v>18</x:v>
      </x:c>
      <x:c r="C286" s="12" t="s">
        <x:v>76</x:v>
      </x:c>
      <x:c r="D286" s="12" t="s">
        <x:v>423</x:v>
      </x:c>
      <x:c r="E286" s="12"/>
      <x:c r="F286" s="12" t="s">
        <x:v>16</x:v>
      </x:c>
      <x:c r="G286" s="18">
        <x:v>519</x:v>
      </x:c>
      <x:c r="H286" s="21" t="n">
        <x:f>IF(SUMIFS('İndirimler'!$C$2:$C$210,'İndirimler'!$A$2:$A$210,B286,'İndirimler'!$B$2:$B$210,C286)&gt;0,ROUND(G286*(1-SUMIFS('İndirimler'!$C$2:$C$210,'İndirimler'!$A$2:$A$210,B286,'İndirimler'!$B$2:$B$210,C286)),2),"")</x:f>
        <x:v>441.15</x:v>
      </x:c>
      <x:c r="I286" s="24" t="n">
        <x:f>IF(SUMIFS('İndirimler'!$D$2:$D$210,'İndirimler'!$A$2:$A$210,B286,'İndirimler'!$B$2:$B$210,C286)&gt;0,ROUND(G286*(1-SUMIFS('İndirimler'!$D$2:$D$210,'İndirimler'!$A$2:$A$210,B286,'İndirimler'!$B$2:$B$210,C286)),2),"")</x:f>
        <x:v>363.3</x:v>
      </x:c>
      <x:c r="J286" s="30" t="s">
        <x:v>478</x:v>
      </x:c>
      <x:c r="K286" s="31"/>
    </x:row>
    <x:row r="287" ht="21.950000762939453" customHeight="1">
      <x:c r="A287" s="15" t="s">
        <x:v>479</x:v>
      </x:c>
      <x:c r="B287" s="12" t="s">
        <x:v>44</x:v>
      </x:c>
      <x:c r="C287" s="12" t="s">
        <x:v>76</x:v>
      </x:c>
      <x:c r="D287" s="12" t="s">
        <x:v>423</x:v>
      </x:c>
      <x:c r="E287" s="12" t="s">
        <x:v>60</x:v>
      </x:c>
      <x:c r="F287" s="12" t="s">
        <x:v>16</x:v>
      </x:c>
      <x:c r="G287" s="18">
        <x:v>274</x:v>
      </x:c>
      <x:c r="H287" s="21" t="n">
        <x:f>IF(SUMIFS('İndirimler'!$C$2:$C$210,'İndirimler'!$A$2:$A$210,B287,'İndirimler'!$B$2:$B$210,C287)&gt;0,ROUND(G287*(1-SUMIFS('İndirimler'!$C$2:$C$210,'İndirimler'!$A$2:$A$210,B287,'İndirimler'!$B$2:$B$210,C287)),2),"")</x:f>
        <x:v>232.9</x:v>
      </x:c>
      <x:c r="I287" s="24" t="n">
        <x:f>IF(SUMIFS('İndirimler'!$D$2:$D$210,'İndirimler'!$A$2:$A$210,B287,'İndirimler'!$B$2:$B$210,C287)&gt;0,ROUND(G287*(1-SUMIFS('İndirimler'!$D$2:$D$210,'İndirimler'!$A$2:$A$210,B287,'İndirimler'!$B$2:$B$210,C287)),2),"")</x:f>
        <x:v>191.8</x:v>
      </x:c>
      <x:c r="J287" s="12" t="s">
        <x:v>480</x:v>
      </x:c>
      <x:c r="K287" s="31"/>
    </x:row>
    <x:row r="288" ht="21.950000762939453" customHeight="1">
      <x:c r="A288" s="15" t="s">
        <x:v>481</x:v>
      </x:c>
      <x:c r="B288" s="12" t="s">
        <x:v>63</x:v>
      </x:c>
      <x:c r="C288" s="12" t="s">
        <x:v>76</x:v>
      </x:c>
      <x:c r="D288" s="12" t="s">
        <x:v>423</x:v>
      </x:c>
      <x:c r="E288" s="12" t="s">
        <x:v>64</x:v>
      </x:c>
      <x:c r="F288" s="12" t="s">
        <x:v>16</x:v>
      </x:c>
      <x:c r="G288" s="18">
        <x:v>475</x:v>
      </x:c>
      <x:c r="H288" s="21" t="n">
        <x:f>IF(SUMIFS('İndirimler'!$C$2:$C$210,'İndirimler'!$A$2:$A$210,B288,'İndirimler'!$B$2:$B$210,C288)&gt;0,ROUND(G288*(1-SUMIFS('İndirimler'!$C$2:$C$210,'İndirimler'!$A$2:$A$210,B288,'İndirimler'!$B$2:$B$210,C288)),2),"")</x:f>
        <x:v>403.75</x:v>
      </x:c>
      <x:c r="I288" s="24" t="n">
        <x:f>IF(SUMIFS('İndirimler'!$D$2:$D$210,'İndirimler'!$A$2:$A$210,B288,'İndirimler'!$B$2:$B$210,C288)&gt;0,ROUND(G288*(1-SUMIFS('İndirimler'!$D$2:$D$210,'İndirimler'!$A$2:$A$210,B288,'İndirimler'!$B$2:$B$210,C288)),2),"")</x:f>
        <x:v>332.5</x:v>
      </x:c>
      <x:c r="J288" s="12" t="s">
        <x:v>482</x:v>
      </x:c>
      <x:c r="K288" s="31"/>
    </x:row>
    <x:row r="289" ht="21.950000762939453" customHeight="1">
      <x:c r="A289" s="15" t="s">
        <x:v>483</x:v>
      </x:c>
      <x:c r="B289" s="12" t="s">
        <x:v>23</x:v>
      </x:c>
      <x:c r="C289" s="12" t="s">
        <x:v>76</x:v>
      </x:c>
      <x:c r="D289" s="12" t="s">
        <x:v>423</x:v>
      </x:c>
      <x:c r="E289" s="12"/>
      <x:c r="F289" s="12" t="s">
        <x:v>16</x:v>
      </x:c>
      <x:c r="G289" s="18">
        <x:v>578</x:v>
      </x:c>
      <x:c r="H289" s="21" t="n">
        <x:f>IF(SUMIFS('İndirimler'!$C$2:$C$210,'İndirimler'!$A$2:$A$210,B289,'İndirimler'!$B$2:$B$210,C289)&gt;0,ROUND(G289*(1-SUMIFS('İndirimler'!$C$2:$C$210,'İndirimler'!$A$2:$A$210,B289,'İndirimler'!$B$2:$B$210,C289)),2),"")</x:f>
        <x:v>491.3</x:v>
      </x:c>
      <x:c r="I289" s="24" t="n">
        <x:f>IF(SUMIFS('İndirimler'!$D$2:$D$210,'İndirimler'!$A$2:$A$210,B289,'İndirimler'!$B$2:$B$210,C289)&gt;0,ROUND(G289*(1-SUMIFS('İndirimler'!$D$2:$D$210,'İndirimler'!$A$2:$A$210,B289,'İndirimler'!$B$2:$B$210,C289)),2),"")</x:f>
        <x:v>404.6</x:v>
      </x:c>
      <x:c r="J289" s="12" t="s">
        <x:v>484</x:v>
      </x:c>
      <x:c r="K289" s="31"/>
    </x:row>
    <x:row r="290" ht="21.950000762939453" customHeight="1">
      <x:c r="A290" s="15" t="s">
        <x:v>485</x:v>
      </x:c>
      <x:c r="B290" s="12" t="s">
        <x:v>50</x:v>
      </x:c>
      <x:c r="C290" s="12" t="s">
        <x:v>76</x:v>
      </x:c>
      <x:c r="D290" s="12" t="s">
        <x:v>423</x:v>
      </x:c>
      <x:c r="E290" s="12" t="s">
        <x:v>69</x:v>
      </x:c>
      <x:c r="F290" s="12" t="s">
        <x:v>16</x:v>
      </x:c>
      <x:c r="G290" s="18">
        <x:v>422</x:v>
      </x:c>
      <x:c r="H290" s="21" t="n">
        <x:f>IF(SUMIFS('İndirimler'!$C$2:$C$210,'İndirimler'!$A$2:$A$210,B290,'İndirimler'!$B$2:$B$210,C290)&gt;0,ROUND(G290*(1-SUMIFS('İndirimler'!$C$2:$C$210,'İndirimler'!$A$2:$A$210,B290,'İndirimler'!$B$2:$B$210,C290)),2),"")</x:f>
        <x:v>358.7</x:v>
      </x:c>
      <x:c r="I290" s="24" t="n">
        <x:f>IF(SUMIFS('İndirimler'!$D$2:$D$210,'İndirimler'!$A$2:$A$210,B290,'İndirimler'!$B$2:$B$210,C290)&gt;0,ROUND(G290*(1-SUMIFS('İndirimler'!$D$2:$D$210,'İndirimler'!$A$2:$A$210,B290,'İndirimler'!$B$2:$B$210,C290)),2),"")</x:f>
        <x:v>295.4</x:v>
      </x:c>
      <x:c r="J290" s="12"/>
      <x:c r="K290" s="31"/>
    </x:row>
    <x:row r="291" ht="21.950000762939453" customHeight="1">
      <x:c r="A291" s="15" t="s">
        <x:v>486</x:v>
      </x:c>
      <x:c r="B291" s="12" t="s">
        <x:v>422</x:v>
      </x:c>
      <x:c r="C291" s="12" t="s">
        <x:v>76</x:v>
      </x:c>
      <x:c r="D291" s="12" t="s">
        <x:v>423</x:v>
      </x:c>
      <x:c r="E291" s="12"/>
      <x:c r="F291" s="12" t="s">
        <x:v>16</x:v>
      </x:c>
      <x:c r="G291" s="18">
        <x:v>439</x:v>
      </x:c>
      <x:c r="H291" s="21" t="n">
        <x:f>IF(SUMIFS('İndirimler'!$C$2:$C$210,'İndirimler'!$A$2:$A$210,B291,'İndirimler'!$B$2:$B$210,C291)&gt;0,ROUND(G291*(1-SUMIFS('İndirimler'!$C$2:$C$210,'İndirimler'!$A$2:$A$210,B291,'İndirimler'!$B$2:$B$210,C291)),2),"")</x:f>
        <x:v>373.15</x:v>
      </x:c>
      <x:c r="I291" s="24" t="n">
        <x:f>IF(SUMIFS('İndirimler'!$D$2:$D$210,'İndirimler'!$A$2:$A$210,B291,'İndirimler'!$B$2:$B$210,C291)&gt;0,ROUND(G291*(1-SUMIFS('İndirimler'!$D$2:$D$210,'İndirimler'!$A$2:$A$210,B291,'İndirimler'!$B$2:$B$210,C291)),2),"")</x:f>
        <x:v>307.3</x:v>
      </x:c>
      <x:c r="J291" s="12" t="s">
        <x:v>487</x:v>
      </x:c>
      <x:c r="K291" s="31"/>
    </x:row>
    <x:row r="292" ht="21.950000762939453" customHeight="1">
      <x:c r="A292" s="15" t="s">
        <x:v>488</x:v>
      </x:c>
      <x:c r="B292" s="12" t="s">
        <x:v>38</x:v>
      </x:c>
      <x:c r="C292" s="12" t="s">
        <x:v>76</x:v>
      </x:c>
      <x:c r="D292" s="12" t="s">
        <x:v>423</x:v>
      </x:c>
      <x:c r="E292" s="12" t="s">
        <x:v>69</x:v>
      </x:c>
      <x:c r="F292" s="12" t="s">
        <x:v>16</x:v>
      </x:c>
      <x:c r="G292" s="18">
        <x:v>345</x:v>
      </x:c>
      <x:c r="H292" s="21" t="n">
        <x:f>IF(SUMIFS('İndirimler'!$C$2:$C$210,'İndirimler'!$A$2:$A$210,B292,'İndirimler'!$B$2:$B$210,C292)&gt;0,ROUND(G292*(1-SUMIFS('İndirimler'!$C$2:$C$210,'İndirimler'!$A$2:$A$210,B292,'İndirimler'!$B$2:$B$210,C292)),2),"")</x:f>
        <x:v>293.25</x:v>
      </x:c>
      <x:c r="I292" s="24" t="n">
        <x:f>IF(SUMIFS('İndirimler'!$D$2:$D$210,'İndirimler'!$A$2:$A$210,B292,'İndirimler'!$B$2:$B$210,C292)&gt;0,ROUND(G292*(1-SUMIFS('İndirimler'!$D$2:$D$210,'İndirimler'!$A$2:$A$210,B292,'İndirimler'!$B$2:$B$210,C292)),2),"")</x:f>
        <x:v>241.5</x:v>
      </x:c>
      <x:c r="J292" s="12" t="s">
        <x:v>489</x:v>
      </x:c>
      <x:c r="K292" s="31"/>
    </x:row>
    <x:row r="293" ht="21.950000762939453" customHeight="1">
      <x:c r="A293" s="15" t="s">
        <x:v>490</x:v>
      </x:c>
      <x:c r="B293" s="12" t="s">
        <x:v>72</x:v>
      </x:c>
      <x:c r="C293" s="12" t="s">
        <x:v>76</x:v>
      </x:c>
      <x:c r="D293" s="12" t="s">
        <x:v>423</x:v>
      </x:c>
      <x:c r="E293" s="12"/>
      <x:c r="F293" s="12" t="s">
        <x:v>73</x:v>
      </x:c>
      <x:c r="G293" s="18">
        <x:v>409</x:v>
      </x:c>
      <x:c r="H293" s="21" t="n">
        <x:f>IF(SUMIFS('İndirimler'!$C$2:$C$210,'İndirimler'!$A$2:$A$210,B293,'İndirimler'!$B$2:$B$210,C293)&gt;0,ROUND(G293*(1-SUMIFS('İndirimler'!$C$2:$C$210,'İndirimler'!$A$2:$A$210,B293,'İndirimler'!$B$2:$B$210,C293)),2),"")</x:f>
        <x:v>347.65</x:v>
      </x:c>
      <x:c r="I293" s="24" t="n">
        <x:f>IF(SUMIFS('İndirimler'!$D$2:$D$210,'İndirimler'!$A$2:$A$210,B293,'İndirimler'!$B$2:$B$210,C293)&gt;0,ROUND(G293*(1-SUMIFS('İndirimler'!$D$2:$D$210,'İndirimler'!$A$2:$A$210,B293,'İndirimler'!$B$2:$B$210,C293)),2),"")</x:f>
        <x:v>286.3</x:v>
      </x:c>
      <x:c r="J293" s="12"/>
      <x:c r="K293" s="31"/>
    </x:row>
    <x:row r="294" ht="21.950000762939453" customHeight="1">
      <x:c r="A294" s="15" t="s">
        <x:v>491</x:v>
      </x:c>
      <x:c r="B294" s="12" t="s">
        <x:v>422</x:v>
      </x:c>
      <x:c r="C294" s="12" t="s">
        <x:v>101</x:v>
      </x:c>
      <x:c r="D294" s="12" t="s">
        <x:v>423</x:v>
      </x:c>
      <x:c r="E294" s="12" t="s">
        <x:v>424</x:v>
      </x:c>
      <x:c r="F294" s="12" t="s">
        <x:v>35</x:v>
      </x:c>
      <x:c r="G294" s="18"/>
      <x:c r="H294" s="21" t="n">
        <x:f>IF(SUMIFS('İndirimler'!$C$2:$C$210,'İndirimler'!$A$2:$A$210,B294,'İndirimler'!$B$2:$B$210,C294)&gt;0,ROUND(G294*(1-SUMIFS('İndirimler'!$C$2:$C$210,'İndirimler'!$A$2:$A$210,B294,'İndirimler'!$B$2:$B$210,C294)),2),"")</x:f>
        <x:v>0</x:v>
      </x:c>
      <x:c r="I294" s="24" t="n">
        <x:f>IF(SUMIFS('İndirimler'!$D$2:$D$210,'İndirimler'!$A$2:$A$210,B294,'İndirimler'!$B$2:$B$210,C294)&gt;0,ROUND(G294*(1-SUMIFS('İndirimler'!$D$2:$D$210,'İndirimler'!$A$2:$A$210,B294,'İndirimler'!$B$2:$B$210,C294)),2),"")</x:f>
        <x:v>0</x:v>
      </x:c>
      <x:c r="J294" s="12"/>
      <x:c r="K294" s="31"/>
    </x:row>
    <x:row r="295" ht="21.950000762939453" customHeight="1">
      <x:c r="A295" s="15" t="s">
        <x:v>492</x:v>
      </x:c>
      <x:c r="B295" s="12" t="s">
        <x:v>38</x:v>
      </x:c>
      <x:c r="C295" s="12" t="s">
        <x:v>101</x:v>
      </x:c>
      <x:c r="D295" s="12" t="s">
        <x:v>423</x:v>
      </x:c>
      <x:c r="E295" s="12"/>
      <x:c r="F295" s="12" t="s">
        <x:v>35</x:v>
      </x:c>
      <x:c r="G295" s="18"/>
      <x:c r="H295" s="21" t="n">
        <x:f>IF(SUMIFS('İndirimler'!$C$2:$C$210,'İndirimler'!$A$2:$A$210,B295,'İndirimler'!$B$2:$B$210,C295)&gt;0,ROUND(G295*(1-SUMIFS('İndirimler'!$C$2:$C$210,'İndirimler'!$A$2:$A$210,B295,'İndirimler'!$B$2:$B$210,C295)),2),"")</x:f>
        <x:v>0</x:v>
      </x:c>
      <x:c r="I295" s="24" t="n">
        <x:f>IF(SUMIFS('İndirimler'!$D$2:$D$210,'İndirimler'!$A$2:$A$210,B295,'İndirimler'!$B$2:$B$210,C295)&gt;0,ROUND(G295*(1-SUMIFS('İndirimler'!$D$2:$D$210,'İndirimler'!$A$2:$A$210,B295,'İndirimler'!$B$2:$B$210,C295)),2),"")</x:f>
        <x:v>0</x:v>
      </x:c>
      <x:c r="J295" s="12"/>
      <x:c r="K295" s="31"/>
    </x:row>
    <x:row r="296" ht="21.950000762939453" customHeight="1">
      <x:c r="A296" s="15" t="s">
        <x:v>493</x:v>
      </x:c>
      <x:c r="B296" s="12" t="s">
        <x:v>138</x:v>
      </x:c>
      <x:c r="C296" s="12" t="s">
        <x:v>101</x:v>
      </x:c>
      <x:c r="D296" s="12" t="s">
        <x:v>423</x:v>
      </x:c>
      <x:c r="E296" s="12" t="s">
        <x:v>314</x:v>
      </x:c>
      <x:c r="F296" s="12" t="s">
        <x:v>42</x:v>
      </x:c>
      <x:c r="G296" s="18">
        <x:v>589</x:v>
      </x:c>
      <x:c r="H296" s="21" t="n">
        <x:f>IF(SUMIFS('İndirimler'!$C$2:$C$210,'İndirimler'!$A$2:$A$210,B296,'İndirimler'!$B$2:$B$210,C296)&gt;0,ROUND(G296*(1-SUMIFS('İndirimler'!$C$2:$C$210,'İndirimler'!$A$2:$A$210,B296,'İndirimler'!$B$2:$B$210,C296)),2),"")</x:f>
        <x:v>500.65</x:v>
      </x:c>
      <x:c r="I296" s="24" t="n">
        <x:f>IF(SUMIFS('İndirimler'!$D$2:$D$210,'İndirimler'!$A$2:$A$210,B296,'İndirimler'!$B$2:$B$210,C296)&gt;0,ROUND(G296*(1-SUMIFS('İndirimler'!$D$2:$D$210,'İndirimler'!$A$2:$A$210,B296,'İndirimler'!$B$2:$B$210,C296)),2),"")</x:f>
        <x:v>412.3</x:v>
      </x:c>
      <x:c r="J296" s="12"/>
      <x:c r="K296" s="31"/>
    </x:row>
    <x:row r="297" ht="21.950000762939453" customHeight="1">
      <x:c r="A297" s="15" t="s">
        <x:v>494</x:v>
      </x:c>
      <x:c r="B297" s="12" t="s">
        <x:v>18</x:v>
      </x:c>
      <x:c r="C297" s="12" t="s">
        <x:v>101</x:v>
      </x:c>
      <x:c r="D297" s="12" t="s">
        <x:v>423</x:v>
      </x:c>
      <x:c r="E297" s="12" t="s">
        <x:v>41</x:v>
      </x:c>
      <x:c r="F297" s="12" t="s">
        <x:v>42</x:v>
      </x:c>
      <x:c r="G297" s="18"/>
      <x:c r="H297" s="21" t="n">
        <x:f>IF(SUMIFS('İndirimler'!$C$2:$C$210,'İndirimler'!$A$2:$A$210,B297,'İndirimler'!$B$2:$B$210,C297)&gt;0,ROUND(G297*(1-SUMIFS('İndirimler'!$C$2:$C$210,'İndirimler'!$A$2:$A$210,B297,'İndirimler'!$B$2:$B$210,C297)),2),"")</x:f>
        <x:v>0</x:v>
      </x:c>
      <x:c r="I297" s="24" t="n">
        <x:f>IF(SUMIFS('İndirimler'!$D$2:$D$210,'İndirimler'!$A$2:$A$210,B297,'İndirimler'!$B$2:$B$210,C297)&gt;0,ROUND(G297*(1-SUMIFS('İndirimler'!$D$2:$D$210,'İndirimler'!$A$2:$A$210,B297,'İndirimler'!$B$2:$B$210,C297)),2),"")</x:f>
        <x:v>0</x:v>
      </x:c>
      <x:c r="J297" s="12"/>
      <x:c r="K297" s="31"/>
    </x:row>
    <x:row r="298" ht="21.950000762939453" customHeight="1">
      <x:c r="A298" s="15" t="s">
        <x:v>495</x:v>
      </x:c>
      <x:c r="B298" s="12" t="s">
        <x:v>72</x:v>
      </x:c>
      <x:c r="C298" s="12" t="s">
        <x:v>101</x:v>
      </x:c>
      <x:c r="D298" s="12" t="s">
        <x:v>423</x:v>
      </x:c>
      <x:c r="E298" s="12" t="s">
        <x:v>104</x:v>
      </x:c>
      <x:c r="F298" s="12" t="s">
        <x:v>42</x:v>
      </x:c>
      <x:c r="G298" s="18"/>
      <x:c r="H298" s="21" t="n">
        <x:f>IF(SUMIFS('İndirimler'!$C$2:$C$210,'İndirimler'!$A$2:$A$210,B298,'İndirimler'!$B$2:$B$210,C298)&gt;0,ROUND(G298*(1-SUMIFS('İndirimler'!$C$2:$C$210,'İndirimler'!$A$2:$A$210,B298,'İndirimler'!$B$2:$B$210,C298)),2),"")</x:f>
        <x:v>0</x:v>
      </x:c>
      <x:c r="I298" s="24" t="n">
        <x:f>IF(SUMIFS('İndirimler'!$D$2:$D$210,'İndirimler'!$A$2:$A$210,B298,'İndirimler'!$B$2:$B$210,C298)&gt;0,ROUND(G298*(1-SUMIFS('İndirimler'!$D$2:$D$210,'İndirimler'!$A$2:$A$210,B298,'İndirimler'!$B$2:$B$210,C298)),2),"")</x:f>
        <x:v>0</x:v>
      </x:c>
      <x:c r="J298" s="12"/>
      <x:c r="K298" s="31"/>
    </x:row>
    <x:row r="299" ht="21.950000762939453" customHeight="1">
      <x:c r="A299" s="15" t="s">
        <x:v>496</x:v>
      </x:c>
      <x:c r="B299" s="12" t="s">
        <x:v>23</x:v>
      </x:c>
      <x:c r="C299" s="12" t="s">
        <x:v>101</x:v>
      </x:c>
      <x:c r="D299" s="12" t="s">
        <x:v>423</x:v>
      </x:c>
      <x:c r="E299" s="12"/>
      <x:c r="F299" s="12" t="s">
        <x:v>42</x:v>
      </x:c>
      <x:c r="G299" s="18">
        <x:v>614</x:v>
      </x:c>
      <x:c r="H299" s="21" t="n">
        <x:f>IF(SUMIFS('İndirimler'!$C$2:$C$210,'İndirimler'!$A$2:$A$210,B299,'İndirimler'!$B$2:$B$210,C299)&gt;0,ROUND(G299*(1-SUMIFS('İndirimler'!$C$2:$C$210,'İndirimler'!$A$2:$A$210,B299,'İndirimler'!$B$2:$B$210,C299)),2),"")</x:f>
        <x:v>521.9</x:v>
      </x:c>
      <x:c r="I299" s="24" t="n">
        <x:f>IF(SUMIFS('İndirimler'!$D$2:$D$210,'İndirimler'!$A$2:$A$210,B299,'İndirimler'!$B$2:$B$210,C299)&gt;0,ROUND(G299*(1-SUMIFS('İndirimler'!$D$2:$D$210,'İndirimler'!$A$2:$A$210,B299,'İndirimler'!$B$2:$B$210,C299)),2),"")</x:f>
        <x:v>429.8</x:v>
      </x:c>
      <x:c r="J299" s="12"/>
      <x:c r="K299" s="31"/>
    </x:row>
    <x:row r="300" ht="21.950000762939453" customHeight="1">
      <x:c r="A300" s="15" t="s">
        <x:v>497</x:v>
      </x:c>
      <x:c r="B300" s="12" t="s">
        <x:v>50</x:v>
      </x:c>
      <x:c r="C300" s="12" t="s">
        <x:v>101</x:v>
      </x:c>
      <x:c r="D300" s="12" t="s">
        <x:v>423</x:v>
      </x:c>
      <x:c r="E300" s="12" t="s">
        <x:v>51</x:v>
      </x:c>
      <x:c r="F300" s="12" t="s">
        <x:v>42</x:v>
      </x:c>
      <x:c r="G300" s="18">
        <x:v>580</x:v>
      </x:c>
      <x:c r="H300" s="21" t="n">
        <x:f>IF(SUMIFS('İndirimler'!$C$2:$C$210,'İndirimler'!$A$2:$A$210,B300,'İndirimler'!$B$2:$B$210,C300)&gt;0,ROUND(G300*(1-SUMIFS('İndirimler'!$C$2:$C$210,'İndirimler'!$A$2:$A$210,B300,'İndirimler'!$B$2:$B$210,C300)),2),"")</x:f>
        <x:v>493</x:v>
      </x:c>
      <x:c r="I300" s="24" t="n">
        <x:f>IF(SUMIFS('İndirimler'!$D$2:$D$210,'İndirimler'!$A$2:$A$210,B300,'İndirimler'!$B$2:$B$210,C300)&gt;0,ROUND(G300*(1-SUMIFS('İndirimler'!$D$2:$D$210,'İndirimler'!$A$2:$A$210,B300,'İndirimler'!$B$2:$B$210,C300)),2),"")</x:f>
        <x:v>406</x:v>
      </x:c>
      <x:c r="J300" s="12"/>
      <x:c r="K300" s="31"/>
    </x:row>
    <x:row r="301" ht="21.950000762939453" customHeight="1">
      <x:c r="A301" s="15" t="s">
        <x:v>498</x:v>
      </x:c>
      <x:c r="B301" s="12" t="s">
        <x:v>439</x:v>
      </x:c>
      <x:c r="C301" s="12" t="s">
        <x:v>101</x:v>
      </x:c>
      <x:c r="D301" s="12" t="s">
        <x:v>423</x:v>
      </x:c>
      <x:c r="E301" s="12"/>
      <x:c r="F301" s="12" t="s">
        <x:v>42</x:v>
      </x:c>
      <x:c r="G301" s="18"/>
      <x:c r="H301" s="21" t="n">
        <x:f>IF(SUMIFS('İndirimler'!$C$2:$C$210,'İndirimler'!$A$2:$A$210,B301,'İndirimler'!$B$2:$B$210,C301)&gt;0,ROUND(G301*(1-SUMIFS('İndirimler'!$C$2:$C$210,'İndirimler'!$A$2:$A$210,B301,'İndirimler'!$B$2:$B$210,C301)),2),"")</x:f>
        <x:v>0</x:v>
      </x:c>
      <x:c r="I301" s="24" t="n">
        <x:f>IF(SUMIFS('İndirimler'!$D$2:$D$210,'İndirimler'!$A$2:$A$210,B301,'İndirimler'!$B$2:$B$210,C301)&gt;0,ROUND(G301*(1-SUMIFS('İndirimler'!$D$2:$D$210,'İndirimler'!$A$2:$A$210,B301,'İndirimler'!$B$2:$B$210,C301)),2),"")</x:f>
        <x:v>0</x:v>
      </x:c>
      <x:c r="J301" s="12"/>
      <x:c r="K301" s="31"/>
    </x:row>
    <x:row r="302" ht="21.950000762939453" customHeight="1">
      <x:c r="A302" s="15" t="s">
        <x:v>499</x:v>
      </x:c>
      <x:c r="B302" s="12" t="s">
        <x:v>55</x:v>
      </x:c>
      <x:c r="C302" s="12" t="s">
        <x:v>101</x:v>
      </x:c>
      <x:c r="D302" s="12" t="s">
        <x:v>423</x:v>
      </x:c>
      <x:c r="E302" s="12"/>
      <x:c r="F302" s="12" t="s">
        <x:v>16</x:v>
      </x:c>
      <x:c r="G302" s="18">
        <x:v>328</x:v>
      </x:c>
      <x:c r="H302" s="21" t="n">
        <x:f>IF(SUMIFS('İndirimler'!$C$2:$C$210,'İndirimler'!$A$2:$A$210,B302,'İndirimler'!$B$2:$B$210,C302)&gt;0,ROUND(G302*(1-SUMIFS('İndirimler'!$C$2:$C$210,'İndirimler'!$A$2:$A$210,B302,'İndirimler'!$B$2:$B$210,C302)),2),"")</x:f>
        <x:v>278.8</x:v>
      </x:c>
      <x:c r="I302" s="24" t="n">
        <x:f>IF(SUMIFS('İndirimler'!$D$2:$D$210,'İndirimler'!$A$2:$A$210,B302,'İndirimler'!$B$2:$B$210,C302)&gt;0,ROUND(G302*(1-SUMIFS('İndirimler'!$D$2:$D$210,'İndirimler'!$A$2:$A$210,B302,'İndirimler'!$B$2:$B$210,C302)),2),"")</x:f>
        <x:v>229.6</x:v>
      </x:c>
      <x:c r="J302" s="12"/>
      <x:c r="K302" s="31"/>
    </x:row>
    <x:row r="303" ht="21.950000762939453" customHeight="1">
      <x:c r="A303" s="15" t="s">
        <x:v>500</x:v>
      </x:c>
      <x:c r="B303" s="12" t="s">
        <x:v>138</x:v>
      </x:c>
      <x:c r="C303" s="12" t="s">
        <x:v>101</x:v>
      </x:c>
      <x:c r="D303" s="12" t="s">
        <x:v>423</x:v>
      </x:c>
      <x:c r="E303" s="12"/>
      <x:c r="F303" s="12" t="s">
        <x:v>16</x:v>
      </x:c>
      <x:c r="G303" s="18">
        <x:v>464</x:v>
      </x:c>
      <x:c r="H303" s="21" t="n">
        <x:f>IF(SUMIFS('İndirimler'!$C$2:$C$210,'İndirimler'!$A$2:$A$210,B303,'İndirimler'!$B$2:$B$210,C303)&gt;0,ROUND(G303*(1-SUMIFS('İndirimler'!$C$2:$C$210,'İndirimler'!$A$2:$A$210,B303,'İndirimler'!$B$2:$B$210,C303)),2),"")</x:f>
        <x:v>394.4</x:v>
      </x:c>
      <x:c r="I303" s="24" t="n">
        <x:f>IF(SUMIFS('İndirimler'!$D$2:$D$210,'İndirimler'!$A$2:$A$210,B303,'İndirimler'!$B$2:$B$210,C303)&gt;0,ROUND(G303*(1-SUMIFS('İndirimler'!$D$2:$D$210,'İndirimler'!$A$2:$A$210,B303,'İndirimler'!$B$2:$B$210,C303)),2),"")</x:f>
        <x:v>324.8</x:v>
      </x:c>
      <x:c r="J303" s="12"/>
      <x:c r="K303" s="31"/>
    </x:row>
    <x:row r="304" ht="21.950000762939453" customHeight="1">
      <x:c r="A304" s="15" t="s">
        <x:v>501</x:v>
      </x:c>
      <x:c r="B304" s="12" t="s">
        <x:v>18</x:v>
      </x:c>
      <x:c r="C304" s="12" t="s">
        <x:v>101</x:v>
      </x:c>
      <x:c r="D304" s="12" t="s">
        <x:v>423</x:v>
      </x:c>
      <x:c r="E304" s="12" t="s">
        <x:v>109</x:v>
      </x:c>
      <x:c r="F304" s="12" t="s">
        <x:v>16</x:v>
      </x:c>
      <x:c r="G304" s="18">
        <x:v>545</x:v>
      </x:c>
      <x:c r="H304" s="21" t="n">
        <x:f>IF(SUMIFS('İndirimler'!$C$2:$C$210,'İndirimler'!$A$2:$A$210,B304,'İndirimler'!$B$2:$B$210,C304)&gt;0,ROUND(G304*(1-SUMIFS('İndirimler'!$C$2:$C$210,'İndirimler'!$A$2:$A$210,B304,'İndirimler'!$B$2:$B$210,C304)),2),"")</x:f>
        <x:v>463.25</x:v>
      </x:c>
      <x:c r="I304" s="24" t="n">
        <x:f>IF(SUMIFS('İndirimler'!$D$2:$D$210,'İndirimler'!$A$2:$A$210,B304,'İndirimler'!$B$2:$B$210,C304)&gt;0,ROUND(G304*(1-SUMIFS('İndirimler'!$D$2:$D$210,'İndirimler'!$A$2:$A$210,B304,'İndirimler'!$B$2:$B$210,C304)),2),"")</x:f>
        <x:v>381.5</x:v>
      </x:c>
      <x:c r="J304" s="30" t="s">
        <x:v>502</x:v>
      </x:c>
      <x:c r="K304" s="31"/>
    </x:row>
    <x:row r="305" ht="21.950000762939453" customHeight="1">
      <x:c r="A305" s="15" t="s">
        <x:v>503</x:v>
      </x:c>
      <x:c r="B305" s="12" t="s">
        <x:v>63</x:v>
      </x:c>
      <x:c r="C305" s="12" t="s">
        <x:v>101</x:v>
      </x:c>
      <x:c r="D305" s="12" t="s">
        <x:v>423</x:v>
      </x:c>
      <x:c r="E305" s="12" t="s">
        <x:v>64</x:v>
      </x:c>
      <x:c r="F305" s="12" t="s">
        <x:v>16</x:v>
      </x:c>
      <x:c r="G305" s="18"/>
      <x:c r="H305" s="21" t="n">
        <x:f>IF(SUMIFS('İndirimler'!$C$2:$C$210,'İndirimler'!$A$2:$A$210,B305,'İndirimler'!$B$2:$B$210,C305)&gt;0,ROUND(G305*(1-SUMIFS('İndirimler'!$C$2:$C$210,'İndirimler'!$A$2:$A$210,B305,'İndirimler'!$B$2:$B$210,C305)),2),"")</x:f>
        <x:v>0</x:v>
      </x:c>
      <x:c r="I305" s="24" t="n">
        <x:f>IF(SUMIFS('İndirimler'!$D$2:$D$210,'İndirimler'!$A$2:$A$210,B305,'İndirimler'!$B$2:$B$210,C305)&gt;0,ROUND(G305*(1-SUMIFS('İndirimler'!$D$2:$D$210,'İndirimler'!$A$2:$A$210,B305,'İndirimler'!$B$2:$B$210,C305)),2),"")</x:f>
        <x:v>0</x:v>
      </x:c>
      <x:c r="J305" s="12" t="s">
        <x:v>504</x:v>
      </x:c>
      <x:c r="K305" s="31"/>
    </x:row>
    <x:row r="306" ht="21.950000762939453" customHeight="1">
      <x:c r="A306" s="15" t="s">
        <x:v>505</x:v>
      </x:c>
      <x:c r="B306" s="12" t="s">
        <x:v>23</x:v>
      </x:c>
      <x:c r="C306" s="12" t="s">
        <x:v>101</x:v>
      </x:c>
      <x:c r="D306" s="12" t="s">
        <x:v>423</x:v>
      </x:c>
      <x:c r="E306" s="12"/>
      <x:c r="F306" s="12" t="s">
        <x:v>16</x:v>
      </x:c>
      <x:c r="G306" s="18">
        <x:v>560</x:v>
      </x:c>
      <x:c r="H306" s="21" t="n">
        <x:f>IF(SUMIFS('İndirimler'!$C$2:$C$210,'İndirimler'!$A$2:$A$210,B306,'İndirimler'!$B$2:$B$210,C306)&gt;0,ROUND(G306*(1-SUMIFS('İndirimler'!$C$2:$C$210,'İndirimler'!$A$2:$A$210,B306,'İndirimler'!$B$2:$B$210,C306)),2),"")</x:f>
        <x:v>476</x:v>
      </x:c>
      <x:c r="I306" s="24" t="n">
        <x:f>IF(SUMIFS('İndirimler'!$D$2:$D$210,'İndirimler'!$A$2:$A$210,B306,'İndirimler'!$B$2:$B$210,C306)&gt;0,ROUND(G306*(1-SUMIFS('İndirimler'!$D$2:$D$210,'İndirimler'!$A$2:$A$210,B306,'İndirimler'!$B$2:$B$210,C306)),2),"")</x:f>
        <x:v>392</x:v>
      </x:c>
      <x:c r="J306" s="12"/>
      <x:c r="K306" s="31"/>
    </x:row>
    <x:row r="307" ht="21.950000762939453" customHeight="1">
      <x:c r="A307" s="15" t="s">
        <x:v>506</x:v>
      </x:c>
      <x:c r="B307" s="12" t="s">
        <x:v>50</x:v>
      </x:c>
      <x:c r="C307" s="12" t="s">
        <x:v>101</x:v>
      </x:c>
      <x:c r="D307" s="12" t="s">
        <x:v>423</x:v>
      </x:c>
      <x:c r="E307" s="12" t="s">
        <x:v>69</x:v>
      </x:c>
      <x:c r="F307" s="12" t="s">
        <x:v>16</x:v>
      </x:c>
      <x:c r="G307" s="18">
        <x:v>458</x:v>
      </x:c>
      <x:c r="H307" s="21" t="n">
        <x:f>IF(SUMIFS('İndirimler'!$C$2:$C$210,'İndirimler'!$A$2:$A$210,B307,'İndirimler'!$B$2:$B$210,C307)&gt;0,ROUND(G307*(1-SUMIFS('İndirimler'!$C$2:$C$210,'İndirimler'!$A$2:$A$210,B307,'İndirimler'!$B$2:$B$210,C307)),2),"")</x:f>
        <x:v>389.3</x:v>
      </x:c>
      <x:c r="I307" s="24" t="n">
        <x:f>IF(SUMIFS('İndirimler'!$D$2:$D$210,'İndirimler'!$A$2:$A$210,B307,'İndirimler'!$B$2:$B$210,C307)&gt;0,ROUND(G307*(1-SUMIFS('İndirimler'!$D$2:$D$210,'İndirimler'!$A$2:$A$210,B307,'İndirimler'!$B$2:$B$210,C307)),2),"")</x:f>
        <x:v>320.6</x:v>
      </x:c>
      <x:c r="J307" s="12"/>
      <x:c r="K307" s="31"/>
    </x:row>
    <x:row r="308" ht="21.950000762939453" customHeight="1">
      <x:c r="A308" s="15" t="s">
        <x:v>507</x:v>
      </x:c>
      <x:c r="B308" s="12" t="s">
        <x:v>38</x:v>
      </x:c>
      <x:c r="C308" s="12" t="s">
        <x:v>101</x:v>
      </x:c>
      <x:c r="D308" s="12" t="s">
        <x:v>423</x:v>
      </x:c>
      <x:c r="E308" s="12"/>
      <x:c r="F308" s="12" t="s">
        <x:v>16</x:v>
      </x:c>
      <x:c r="G308" s="18"/>
      <x:c r="H308" s="21" t="n">
        <x:f>IF(SUMIFS('İndirimler'!$C$2:$C$210,'İndirimler'!$A$2:$A$210,B308,'İndirimler'!$B$2:$B$210,C308)&gt;0,ROUND(G308*(1-SUMIFS('İndirimler'!$C$2:$C$210,'İndirimler'!$A$2:$A$210,B308,'İndirimler'!$B$2:$B$210,C308)),2),"")</x:f>
        <x:v>0</x:v>
      </x:c>
      <x:c r="I308" s="24" t="n">
        <x:f>IF(SUMIFS('İndirimler'!$D$2:$D$210,'İndirimler'!$A$2:$A$210,B308,'İndirimler'!$B$2:$B$210,C308)&gt;0,ROUND(G308*(1-SUMIFS('İndirimler'!$D$2:$D$210,'İndirimler'!$A$2:$A$210,B308,'İndirimler'!$B$2:$B$210,C308)),2),"")</x:f>
        <x:v>0</x:v>
      </x:c>
      <x:c r="J308" s="12"/>
      <x:c r="K308" s="31"/>
    </x:row>
    <x:row r="309" ht="21.950000762939453" customHeight="1">
      <x:c r="A309" s="15" t="s">
        <x:v>508</x:v>
      </x:c>
      <x:c r="B309" s="12" t="s">
        <x:v>72</x:v>
      </x:c>
      <x:c r="C309" s="12" t="s">
        <x:v>101</x:v>
      </x:c>
      <x:c r="D309" s="12" t="s">
        <x:v>423</x:v>
      </x:c>
      <x:c r="E309" s="12"/>
      <x:c r="F309" s="12" t="s">
        <x:v>73</x:v>
      </x:c>
      <x:c r="G309" s="18"/>
      <x:c r="H309" s="21" t="n">
        <x:f>IF(SUMIFS('İndirimler'!$C$2:$C$210,'İndirimler'!$A$2:$A$210,B309,'İndirimler'!$B$2:$B$210,C309)&gt;0,ROUND(G309*(1-SUMIFS('İndirimler'!$C$2:$C$210,'İndirimler'!$A$2:$A$210,B309,'İndirimler'!$B$2:$B$210,C309)),2),"")</x:f>
        <x:v>0</x:v>
      </x:c>
      <x:c r="I309" s="24" t="n">
        <x:f>IF(SUMIFS('İndirimler'!$D$2:$D$210,'İndirimler'!$A$2:$A$210,B309,'İndirimler'!$B$2:$B$210,C309)&gt;0,ROUND(G309*(1-SUMIFS('İndirimler'!$D$2:$D$210,'İndirimler'!$A$2:$A$210,B309,'İndirimler'!$B$2:$B$210,C309)),2),"")</x:f>
        <x:v>0</x:v>
      </x:c>
      <x:c r="J309" s="12"/>
      <x:c r="K309" s="31"/>
    </x:row>
    <x:row r="310" ht="21.950000762939453" customHeight="1">
      <x:c r="A310" s="15" t="s">
        <x:v>509</x:v>
      </x:c>
      <x:c r="B310" s="12" t="s">
        <x:v>38</x:v>
      </x:c>
      <x:c r="C310" s="12" t="s">
        <x:v>246</x:v>
      </x:c>
      <x:c r="D310" s="12" t="s">
        <x:v>423</x:v>
      </x:c>
      <x:c r="E310" s="12" t="s">
        <x:v>251</x:v>
      </x:c>
      <x:c r="F310" s="12" t="s">
        <x:v>35</x:v>
      </x:c>
      <x:c r="G310" s="18">
        <x:v>615</x:v>
      </x:c>
      <x:c r="H310" s="21" t="n">
        <x:f>IF(SUMIFS('İndirimler'!$C$2:$C$210,'İndirimler'!$A$2:$A$210,B310,'İndirimler'!$B$2:$B$210,C310)&gt;0,ROUND(G310*(1-SUMIFS('İndirimler'!$C$2:$C$210,'İndirimler'!$A$2:$A$210,B310,'İndirimler'!$B$2:$B$210,C310)),2),"")</x:f>
        <x:v>522.75</x:v>
      </x:c>
      <x:c r="I310" s="24" t="n">
        <x:f>IF(SUMIFS('İndirimler'!$D$2:$D$210,'İndirimler'!$A$2:$A$210,B310,'İndirimler'!$B$2:$B$210,C310)&gt;0,ROUND(G310*(1-SUMIFS('İndirimler'!$D$2:$D$210,'İndirimler'!$A$2:$A$210,B310,'İndirimler'!$B$2:$B$210,C310)),2),"")</x:f>
        <x:v>430.5</x:v>
      </x:c>
      <x:c r="J310" s="12" t="s">
        <x:v>510</x:v>
      </x:c>
      <x:c r="K310" s="31"/>
    </x:row>
    <x:row r="311" ht="21.950000762939453" customHeight="1">
      <x:c r="A311" s="15" t="s">
        <x:v>511</x:v>
      </x:c>
      <x:c r="B311" s="12" t="s">
        <x:v>38</x:v>
      </x:c>
      <x:c r="C311" s="12" t="s">
        <x:v>246</x:v>
      </x:c>
      <x:c r="D311" s="12" t="s">
        <x:v>423</x:v>
      </x:c>
      <x:c r="E311" s="12" t="s">
        <x:v>254</x:v>
      </x:c>
      <x:c r="F311" s="12" t="s">
        <x:v>35</x:v>
      </x:c>
      <x:c r="G311" s="18">
        <x:v>615</x:v>
      </x:c>
      <x:c r="H311" s="21" t="n">
        <x:f>IF(SUMIFS('İndirimler'!$C$2:$C$210,'İndirimler'!$A$2:$A$210,B311,'İndirimler'!$B$2:$B$210,C311)&gt;0,ROUND(G311*(1-SUMIFS('İndirimler'!$C$2:$C$210,'İndirimler'!$A$2:$A$210,B311,'İndirimler'!$B$2:$B$210,C311)),2),"")</x:f>
        <x:v>522.75</x:v>
      </x:c>
      <x:c r="I311" s="24" t="n">
        <x:f>IF(SUMIFS('İndirimler'!$D$2:$D$210,'İndirimler'!$A$2:$A$210,B311,'İndirimler'!$B$2:$B$210,C311)&gt;0,ROUND(G311*(1-SUMIFS('İndirimler'!$D$2:$D$210,'İndirimler'!$A$2:$A$210,B311,'İndirimler'!$B$2:$B$210,C311)),2),"")</x:f>
        <x:v>430.5</x:v>
      </x:c>
      <x:c r="J311" s="12" t="s">
        <x:v>512</x:v>
      </x:c>
      <x:c r="K311" s="31"/>
    </x:row>
    <x:row r="312" ht="21.950000762939453" customHeight="1">
      <x:c r="A312" s="15" t="s">
        <x:v>513</x:v>
      </x:c>
      <x:c r="B312" s="12" t="s">
        <x:v>138</x:v>
      </x:c>
      <x:c r="C312" s="12" t="s">
        <x:v>246</x:v>
      </x:c>
      <x:c r="D312" s="12" t="s">
        <x:v>423</x:v>
      </x:c>
      <x:c r="E312" s="12" t="s">
        <x:v>314</x:v>
      </x:c>
      <x:c r="F312" s="12" t="s">
        <x:v>42</x:v>
      </x:c>
      <x:c r="G312" s="18">
        <x:v>358</x:v>
      </x:c>
      <x:c r="H312" s="21" t="n">
        <x:f>IF(SUMIFS('İndirimler'!$C$2:$C$210,'İndirimler'!$A$2:$A$210,B312,'İndirimler'!$B$2:$B$210,C312)&gt;0,ROUND(G312*(1-SUMIFS('İndirimler'!$C$2:$C$210,'İndirimler'!$A$2:$A$210,B312,'İndirimler'!$B$2:$B$210,C312)),2),"")</x:f>
        <x:v>304.3</x:v>
      </x:c>
      <x:c r="I312" s="24" t="n">
        <x:f>IF(SUMIFS('İndirimler'!$D$2:$D$210,'İndirimler'!$A$2:$A$210,B312,'İndirimler'!$B$2:$B$210,C312)&gt;0,ROUND(G312*(1-SUMIFS('İndirimler'!$D$2:$D$210,'İndirimler'!$A$2:$A$210,B312,'İndirimler'!$B$2:$B$210,C312)),2),"")</x:f>
        <x:v>250.6</x:v>
      </x:c>
      <x:c r="J312" s="12" t="s">
        <x:v>514</x:v>
      </x:c>
      <x:c r="K312" s="31"/>
    </x:row>
    <x:row r="313" ht="21.950000762939453" customHeight="1">
      <x:c r="A313" s="15" t="s">
        <x:v>515</x:v>
      </x:c>
      <x:c r="B313" s="12" t="s">
        <x:v>50</x:v>
      </x:c>
      <x:c r="C313" s="12" t="s">
        <x:v>246</x:v>
      </x:c>
      <x:c r="D313" s="12" t="s">
        <x:v>423</x:v>
      </x:c>
      <x:c r="E313" s="12" t="s">
        <x:v>51</x:v>
      </x:c>
      <x:c r="F313" s="12" t="s">
        <x:v>42</x:v>
      </x:c>
      <x:c r="G313" s="18">
        <x:v>634</x:v>
      </x:c>
      <x:c r="H313" s="21" t="n">
        <x:f>IF(SUMIFS('İndirimler'!$C$2:$C$210,'İndirimler'!$A$2:$A$210,B313,'İndirimler'!$B$2:$B$210,C313)&gt;0,ROUND(G313*(1-SUMIFS('İndirimler'!$C$2:$C$210,'İndirimler'!$A$2:$A$210,B313,'İndirimler'!$B$2:$B$210,C313)),2),"")</x:f>
        <x:v>538.9</x:v>
      </x:c>
      <x:c r="I313" s="24" t="n">
        <x:f>IF(SUMIFS('İndirimler'!$D$2:$D$210,'İndirimler'!$A$2:$A$210,B313,'İndirimler'!$B$2:$B$210,C313)&gt;0,ROUND(G313*(1-SUMIFS('İndirimler'!$D$2:$D$210,'İndirimler'!$A$2:$A$210,B313,'İndirimler'!$B$2:$B$210,C313)),2),"")</x:f>
        <x:v>443.8</x:v>
      </x:c>
      <x:c r="J313" s="12"/>
      <x:c r="K313" s="31"/>
    </x:row>
    <x:row r="314" ht="21.950000762939453" customHeight="1">
      <x:c r="A314" s="15" t="s">
        <x:v>516</x:v>
      </x:c>
      <x:c r="B314" s="12" t="s">
        <x:v>422</x:v>
      </x:c>
      <x:c r="C314" s="12" t="s">
        <x:v>246</x:v>
      </x:c>
      <x:c r="D314" s="12" t="s">
        <x:v>423</x:v>
      </x:c>
      <x:c r="E314" s="12" t="s">
        <x:v>424</x:v>
      </x:c>
      <x:c r="F314" s="12" t="s">
        <x:v>42</x:v>
      </x:c>
      <x:c r="G314" s="18">
        <x:v>275</x:v>
      </x:c>
      <x:c r="H314" s="21" t="n">
        <x:f>IF(SUMIFS('İndirimler'!$C$2:$C$210,'İndirimler'!$A$2:$A$210,B314,'İndirimler'!$B$2:$B$210,C314)&gt;0,ROUND(G314*(1-SUMIFS('İndirimler'!$C$2:$C$210,'İndirimler'!$A$2:$A$210,B314,'İndirimler'!$B$2:$B$210,C314)),2),"")</x:f>
        <x:v>233.75</x:v>
      </x:c>
      <x:c r="I314" s="24" t="n">
        <x:f>IF(SUMIFS('İndirimler'!$D$2:$D$210,'İndirimler'!$A$2:$A$210,B314,'İndirimler'!$B$2:$B$210,C314)&gt;0,ROUND(G314*(1-SUMIFS('İndirimler'!$D$2:$D$210,'İndirimler'!$A$2:$A$210,B314,'İndirimler'!$B$2:$B$210,C314)),2),"")</x:f>
        <x:v>192.5</x:v>
      </x:c>
      <x:c r="J314" s="12"/>
      <x:c r="K314" s="31"/>
    </x:row>
    <x:row r="315" ht="21.950000762939453" customHeight="1">
      <x:c r="A315" s="15" t="s">
        <x:v>517</x:v>
      </x:c>
      <x:c r="B315" s="12" t="s">
        <x:v>422</x:v>
      </x:c>
      <x:c r="C315" s="12" t="s">
        <x:v>246</x:v>
      </x:c>
      <x:c r="D315" s="12" t="s">
        <x:v>423</x:v>
      </x:c>
      <x:c r="E315" s="12" t="s">
        <x:v>424</x:v>
      </x:c>
      <x:c r="F315" s="12" t="s">
        <x:v>42</x:v>
      </x:c>
      <x:c r="G315" s="18">
        <x:v>305</x:v>
      </x:c>
      <x:c r="H315" s="21" t="n">
        <x:f>IF(SUMIFS('İndirimler'!$C$2:$C$210,'İndirimler'!$A$2:$A$210,B315,'İndirimler'!$B$2:$B$210,C315)&gt;0,ROUND(G315*(1-SUMIFS('İndirimler'!$C$2:$C$210,'İndirimler'!$A$2:$A$210,B315,'İndirimler'!$B$2:$B$210,C315)),2),"")</x:f>
        <x:v>259.25</x:v>
      </x:c>
      <x:c r="I315" s="24" t="n">
        <x:f>IF(SUMIFS('İndirimler'!$D$2:$D$210,'İndirimler'!$A$2:$A$210,B315,'İndirimler'!$B$2:$B$210,C315)&gt;0,ROUND(G315*(1-SUMIFS('İndirimler'!$D$2:$D$210,'İndirimler'!$A$2:$A$210,B315,'İndirimler'!$B$2:$B$210,C315)),2),"")</x:f>
        <x:v>213.5</x:v>
      </x:c>
      <x:c r="J315" s="12"/>
      <x:c r="K315" s="31"/>
    </x:row>
    <x:row r="316" ht="21.950000762939453" customHeight="1">
      <x:c r="A316" s="15" t="s">
        <x:v>518</x:v>
      </x:c>
      <x:c r="B316" s="12" t="s">
        <x:v>50</x:v>
      </x:c>
      <x:c r="C316" s="12" t="s">
        <x:v>246</x:v>
      </x:c>
      <x:c r="D316" s="12" t="s">
        <x:v>423</x:v>
      </x:c>
      <x:c r="E316" s="12"/>
      <x:c r="F316" s="12" t="s">
        <x:v>16</x:v>
      </x:c>
      <x:c r="G316" s="18">
        <x:v>275</x:v>
      </x:c>
      <x:c r="H316" s="21" t="n">
        <x:f>IF(SUMIFS('İndirimler'!$C$2:$C$210,'İndirimler'!$A$2:$A$210,B316,'İndirimler'!$B$2:$B$210,C316)&gt;0,ROUND(G316*(1-SUMIFS('İndirimler'!$C$2:$C$210,'İndirimler'!$A$2:$A$210,B316,'İndirimler'!$B$2:$B$210,C316)),2),"")</x:f>
        <x:v>233.75</x:v>
      </x:c>
      <x:c r="I316" s="24" t="n">
        <x:f>IF(SUMIFS('İndirimler'!$D$2:$D$210,'İndirimler'!$A$2:$A$210,B316,'İndirimler'!$B$2:$B$210,C316)&gt;0,ROUND(G316*(1-SUMIFS('İndirimler'!$D$2:$D$210,'İndirimler'!$A$2:$A$210,B316,'İndirimler'!$B$2:$B$210,C316)),2),"")</x:f>
        <x:v>192.5</x:v>
      </x:c>
      <x:c r="J316" s="12"/>
      <x:c r="K316" s="31"/>
    </x:row>
    <x:row r="317" ht="21.950000762939453" customHeight="1">
      <x:c r="A317" s="15" t="s">
        <x:v>519</x:v>
      </x:c>
      <x:c r="B317" s="12" t="s">
        <x:v>138</x:v>
      </x:c>
      <x:c r="C317" s="12" t="s">
        <x:v>13</x:v>
      </x:c>
      <x:c r="D317" s="12" t="s">
        <x:v>423</x:v>
      </x:c>
      <x:c r="E317" s="12"/>
      <x:c r="F317" s="12" t="s">
        <x:v>16</x:v>
      </x:c>
      <x:c r="G317" s="18">
        <x:v>655</x:v>
      </x:c>
      <x:c r="H317" s="21" t="n">
        <x:f>IF(SUMIFS('İndirimler'!$C$2:$C$210,'İndirimler'!$A$2:$A$210,B317,'İndirimler'!$B$2:$B$210,C317)&gt;0,ROUND(G317*(1-SUMIFS('İndirimler'!$C$2:$C$210,'İndirimler'!$A$2:$A$210,B317,'İndirimler'!$B$2:$B$210,C317)),2),"")</x:f>
        <x:v>556.75</x:v>
      </x:c>
      <x:c r="I317" s="24" t="n">
        <x:f>IF(SUMIFS('İndirimler'!$D$2:$D$210,'İndirimler'!$A$2:$A$210,B317,'İndirimler'!$B$2:$B$210,C317)&gt;0,ROUND(G317*(1-SUMIFS('İndirimler'!$D$2:$D$210,'İndirimler'!$A$2:$A$210,B317,'İndirimler'!$B$2:$B$210,C317)),2),"")</x:f>
        <x:v>458.5</x:v>
      </x:c>
      <x:c r="J317" s="12"/>
      <x:c r="K317" s="31"/>
    </x:row>
    <x:row r="318" ht="21.950000762939453" customHeight="1">
      <x:c r="A318" s="15" t="s">
        <x:v>520</x:v>
      </x:c>
      <x:c r="B318" s="12" t="s">
        <x:v>18</x:v>
      </x:c>
      <x:c r="C318" s="12" t="s">
        <x:v>13</x:v>
      </x:c>
      <x:c r="D318" s="12" t="s">
        <x:v>423</x:v>
      </x:c>
      <x:c r="E318" s="12"/>
      <x:c r="F318" s="12" t="s">
        <x:v>16</x:v>
      </x:c>
      <x:c r="G318" s="18">
        <x:v>479</x:v>
      </x:c>
      <x:c r="H318" s="21" t="n">
        <x:f>IF(SUMIFS('İndirimler'!$C$2:$C$210,'İndirimler'!$A$2:$A$210,B318,'İndirimler'!$B$2:$B$210,C318)&gt;0,ROUND(G318*(1-SUMIFS('İndirimler'!$C$2:$C$210,'İndirimler'!$A$2:$A$210,B318,'İndirimler'!$B$2:$B$210,C318)),2),"")</x:f>
        <x:v>407.15</x:v>
      </x:c>
      <x:c r="I318" s="24" t="n">
        <x:f>IF(SUMIFS('İndirimler'!$D$2:$D$210,'İndirimler'!$A$2:$A$210,B318,'İndirimler'!$B$2:$B$210,C318)&gt;0,ROUND(G318*(1-SUMIFS('İndirimler'!$D$2:$D$210,'İndirimler'!$A$2:$A$210,B318,'İndirimler'!$B$2:$B$210,C318)),2),"")</x:f>
        <x:v>335.3</x:v>
      </x:c>
      <x:c r="J318" s="12" t="s">
        <x:v>521</x:v>
      </x:c>
      <x:c r="K318" s="31"/>
    </x:row>
    <x:row r="319" ht="21.950000762939453" customHeight="1">
      <x:c r="A319" s="15" t="s">
        <x:v>522</x:v>
      </x:c>
      <x:c r="B319" s="12" t="s">
        <x:v>23</x:v>
      </x:c>
      <x:c r="C319" s="12" t="s">
        <x:v>13</x:v>
      </x:c>
      <x:c r="D319" s="12" t="s">
        <x:v>423</x:v>
      </x:c>
      <x:c r="E319" s="12"/>
      <x:c r="F319" s="12" t="s">
        <x:v>16</x:v>
      </x:c>
      <x:c r="G319" s="18">
        <x:v>465</x:v>
      </x:c>
      <x:c r="H319" s="21" t="n">
        <x:f>IF(SUMIFS('İndirimler'!$C$2:$C$210,'İndirimler'!$A$2:$A$210,B319,'İndirimler'!$B$2:$B$210,C319)&gt;0,ROUND(G319*(1-SUMIFS('İndirimler'!$C$2:$C$210,'İndirimler'!$A$2:$A$210,B319,'İndirimler'!$B$2:$B$210,C319)),2),"")</x:f>
        <x:v>395.25</x:v>
      </x:c>
      <x:c r="I319" s="24" t="n">
        <x:f>IF(SUMIFS('İndirimler'!$D$2:$D$210,'İndirimler'!$A$2:$A$210,B319,'İndirimler'!$B$2:$B$210,C319)&gt;0,ROUND(G319*(1-SUMIFS('İndirimler'!$D$2:$D$210,'İndirimler'!$A$2:$A$210,B319,'İndirimler'!$B$2:$B$210,C319)),2),"")</x:f>
        <x:v>325.5</x:v>
      </x:c>
      <x:c r="J319" s="12"/>
      <x:c r="K319" s="31"/>
    </x:row>
    <x:row r="320" ht="21.950000762939453" customHeight="1">
      <x:c r="A320" s="15" t="s">
        <x:v>523</x:v>
      </x:c>
      <x:c r="B320" s="12" t="s">
        <x:v>50</x:v>
      </x:c>
      <x:c r="C320" s="12" t="s">
        <x:v>13</x:v>
      </x:c>
      <x:c r="D320" s="12" t="s">
        <x:v>423</x:v>
      </x:c>
      <x:c r="E320" s="12"/>
      <x:c r="F320" s="12" t="s">
        <x:v>16</x:v>
      </x:c>
      <x:c r="G320" s="18">
        <x:v>538</x:v>
      </x:c>
      <x:c r="H320" s="21" t="n">
        <x:f>IF(SUMIFS('İndirimler'!$C$2:$C$210,'İndirimler'!$A$2:$A$210,B320,'İndirimler'!$B$2:$B$210,C320)&gt;0,ROUND(G320*(1-SUMIFS('İndirimler'!$C$2:$C$210,'İndirimler'!$A$2:$A$210,B320,'İndirimler'!$B$2:$B$210,C320)),2),"")</x:f>
        <x:v>457.3</x:v>
      </x:c>
      <x:c r="I320" s="24" t="n">
        <x:f>IF(SUMIFS('İndirimler'!$D$2:$D$210,'İndirimler'!$A$2:$A$210,B320,'İndirimler'!$B$2:$B$210,C320)&gt;0,ROUND(G320*(1-SUMIFS('İndirimler'!$D$2:$D$210,'İndirimler'!$A$2:$A$210,B320,'İndirimler'!$B$2:$B$210,C320)),2),"")</x:f>
        <x:v>376.6</x:v>
      </x:c>
      <x:c r="J320" s="12"/>
      <x:c r="K320" s="31"/>
    </x:row>
    <x:row r="321" ht="21.950000762939453" customHeight="1">
      <x:c r="A321" s="15" t="s">
        <x:v>524</x:v>
      </x:c>
      <x:c r="B321" s="12" t="s">
        <x:v>439</x:v>
      </x:c>
      <x:c r="C321" s="12" t="s">
        <x:v>13</x:v>
      </x:c>
      <x:c r="D321" s="12" t="s">
        <x:v>423</x:v>
      </x:c>
      <x:c r="E321" s="12"/>
      <x:c r="F321" s="12" t="s">
        <x:v>16</x:v>
      </x:c>
      <x:c r="G321" s="18"/>
      <x:c r="H321" s="21" t="n">
        <x:f>IF(SUMIFS('İndirimler'!$C$2:$C$210,'İndirimler'!$A$2:$A$210,B321,'İndirimler'!$B$2:$B$210,C321)&gt;0,ROUND(G321*(1-SUMIFS('İndirimler'!$C$2:$C$210,'İndirimler'!$A$2:$A$210,B321,'İndirimler'!$B$2:$B$210,C321)),2),"")</x:f>
        <x:v>0</x:v>
      </x:c>
      <x:c r="I321" s="24" t="n">
        <x:f>IF(SUMIFS('İndirimler'!$D$2:$D$210,'İndirimler'!$A$2:$A$210,B321,'İndirimler'!$B$2:$B$210,C321)&gt;0,ROUND(G321*(1-SUMIFS('İndirimler'!$D$2:$D$210,'İndirimler'!$A$2:$A$210,B321,'İndirimler'!$B$2:$B$210,C321)),2),"")</x:f>
        <x:v>0</x:v>
      </x:c>
      <x:c r="J321" s="12"/>
      <x:c r="K321" s="31"/>
    </x:row>
    <x:row r="322" ht="21.950000762939453" customHeight="1">
      <x:c r="A322" s="15" t="s">
        <x:v>525</x:v>
      </x:c>
      <x:c r="B322" s="12" t="s">
        <x:v>422</x:v>
      </x:c>
      <x:c r="C322" s="12" t="s">
        <x:v>13</x:v>
      </x:c>
      <x:c r="D322" s="12" t="s">
        <x:v>423</x:v>
      </x:c>
      <x:c r="E322" s="12"/>
      <x:c r="F322" s="12" t="s">
        <x:v>16</x:v>
      </x:c>
      <x:c r="G322" s="18">
        <x:v>599</x:v>
      </x:c>
      <x:c r="H322" s="21" t="n">
        <x:f>IF(SUMIFS('İndirimler'!$C$2:$C$210,'İndirimler'!$A$2:$A$210,B322,'İndirimler'!$B$2:$B$210,C322)&gt;0,ROUND(G322*(1-SUMIFS('İndirimler'!$C$2:$C$210,'İndirimler'!$A$2:$A$210,B322,'İndirimler'!$B$2:$B$210,C322)),2),"")</x:f>
        <x:v>509.15</x:v>
      </x:c>
      <x:c r="I322" s="24" t="n">
        <x:f>IF(SUMIFS('İndirimler'!$D$2:$D$210,'İndirimler'!$A$2:$A$210,B322,'İndirimler'!$B$2:$B$210,C322)&gt;0,ROUND(G322*(1-SUMIFS('İndirimler'!$D$2:$D$210,'İndirimler'!$A$2:$A$210,B322,'İndirimler'!$B$2:$B$210,C322)),2),"")</x:f>
        <x:v>419.3</x:v>
      </x:c>
      <x:c r="J322" s="12"/>
      <x:c r="K322" s="31"/>
    </x:row>
    <x:row r="323" ht="21.950000762939453" customHeight="1">
      <x:c r="A323" s="15" t="s">
        <x:v>526</x:v>
      </x:c>
      <x:c r="B323" s="12" t="s">
        <x:v>38</x:v>
      </x:c>
      <x:c r="C323" s="12" t="s">
        <x:v>13</x:v>
      </x:c>
      <x:c r="D323" s="12" t="s">
        <x:v>423</x:v>
      </x:c>
      <x:c r="E323" s="12" t="s">
        <x:v>69</x:v>
      </x:c>
      <x:c r="F323" s="12" t="s">
        <x:v>16</x:v>
      </x:c>
      <x:c r="G323" s="18">
        <x:v>395</x:v>
      </x:c>
      <x:c r="H323" s="21" t="n">
        <x:f>IF(SUMIFS('İndirimler'!$C$2:$C$210,'İndirimler'!$A$2:$A$210,B323,'İndirimler'!$B$2:$B$210,C323)&gt;0,ROUND(G323*(1-SUMIFS('İndirimler'!$C$2:$C$210,'İndirimler'!$A$2:$A$210,B323,'İndirimler'!$B$2:$B$210,C323)),2),"")</x:f>
        <x:v>335.75</x:v>
      </x:c>
      <x:c r="I323" s="24" t="n">
        <x:f>IF(SUMIFS('İndirimler'!$D$2:$D$210,'İndirimler'!$A$2:$A$210,B323,'İndirimler'!$B$2:$B$210,C323)&gt;0,ROUND(G323*(1-SUMIFS('İndirimler'!$D$2:$D$210,'İndirimler'!$A$2:$A$210,B323,'İndirimler'!$B$2:$B$210,C323)),2),"")</x:f>
        <x:v>276.5</x:v>
      </x:c>
      <x:c r="J323" s="12"/>
      <x:c r="K323" s="31"/>
    </x:row>
    <x:row r="324" ht="21.950000762939453" customHeight="1">
      <x:c r="A324" s="15" t="s">
        <x:v>527</x:v>
      </x:c>
      <x:c r="B324" s="12" t="s">
        <x:v>32</x:v>
      </x:c>
      <x:c r="C324" s="12" t="s">
        <x:v>33</x:v>
      </x:c>
      <x:c r="D324" s="12" t="s">
        <x:v>528</x:v>
      </x:c>
      <x:c r="E324" s="12"/>
      <x:c r="F324" s="12" t="s">
        <x:v>35</x:v>
      </x:c>
      <x:c r="G324" s="18">
        <x:v>549</x:v>
      </x:c>
      <x:c r="H324" s="21" t="n">
        <x:f>IF(SUMIFS('İndirimler'!$C$2:$C$210,'İndirimler'!$A$2:$A$210,B324,'İndirimler'!$B$2:$B$210,C324)&gt;0,ROUND(G324*(1-SUMIFS('İndirimler'!$C$2:$C$210,'İndirimler'!$A$2:$A$210,B324,'İndirimler'!$B$2:$B$210,C324)),2),"")</x:f>
        <x:v>466.65</x:v>
      </x:c>
      <x:c r="I324" s="24" t="n">
        <x:f>IF(SUMIFS('İndirimler'!$D$2:$D$210,'İndirimler'!$A$2:$A$210,B324,'İndirimler'!$B$2:$B$210,C324)&gt;0,ROUND(G324*(1-SUMIFS('İndirimler'!$D$2:$D$210,'İndirimler'!$A$2:$A$210,B324,'İndirimler'!$B$2:$B$210,C324)),2),"")</x:f>
        <x:v>384.3</x:v>
      </x:c>
      <x:c r="J324" s="30" t="s">
        <x:v>529</x:v>
      </x:c>
      <x:c r="K324" s="31"/>
    </x:row>
    <x:row r="325" ht="21.950000762939453" customHeight="1">
      <x:c r="A325" s="15" t="s">
        <x:v>530</x:v>
      </x:c>
      <x:c r="B325" s="12" t="s">
        <x:v>38</x:v>
      </x:c>
      <x:c r="C325" s="12" t="s">
        <x:v>33</x:v>
      </x:c>
      <x:c r="D325" s="12" t="s">
        <x:v>528</x:v>
      </x:c>
      <x:c r="E325" s="12"/>
      <x:c r="F325" s="12" t="s">
        <x:v>35</x:v>
      </x:c>
      <x:c r="G325" s="18">
        <x:v>755</x:v>
      </x:c>
      <x:c r="H325" s="21" t="n">
        <x:f>IF(SUMIFS('İndirimler'!$C$2:$C$210,'İndirimler'!$A$2:$A$210,B325,'İndirimler'!$B$2:$B$210,C325)&gt;0,ROUND(G325*(1-SUMIFS('İndirimler'!$C$2:$C$210,'İndirimler'!$A$2:$A$210,B325,'İndirimler'!$B$2:$B$210,C325)),2),"")</x:f>
        <x:v>641.75</x:v>
      </x:c>
      <x:c r="I325" s="24" t="n">
        <x:f>IF(SUMIFS('İndirimler'!$D$2:$D$210,'İndirimler'!$A$2:$A$210,B325,'İndirimler'!$B$2:$B$210,C325)&gt;0,ROUND(G325*(1-SUMIFS('İndirimler'!$D$2:$D$210,'İndirimler'!$A$2:$A$210,B325,'İndirimler'!$B$2:$B$210,C325)),2),"")</x:f>
        <x:v>528.5</x:v>
      </x:c>
      <x:c r="J325" s="12" t="s">
        <x:v>531</x:v>
      </x:c>
      <x:c r="K325" s="31"/>
    </x:row>
    <x:row r="326" ht="21.950000762939453" customHeight="1">
      <x:c r="A326" s="15" t="s">
        <x:v>532</x:v>
      </x:c>
      <x:c r="B326" s="12" t="s">
        <x:v>18</x:v>
      </x:c>
      <x:c r="C326" s="12" t="s">
        <x:v>33</x:v>
      </x:c>
      <x:c r="D326" s="12" t="s">
        <x:v>528</x:v>
      </x:c>
      <x:c r="E326" s="12" t="s">
        <x:v>41</x:v>
      </x:c>
      <x:c r="F326" s="12" t="s">
        <x:v>42</x:v>
      </x:c>
      <x:c r="G326" s="18"/>
      <x:c r="H326" s="21" t="n">
        <x:f>IF(SUMIFS('İndirimler'!$C$2:$C$210,'İndirimler'!$A$2:$A$210,B326,'İndirimler'!$B$2:$B$210,C326)&gt;0,ROUND(G326*(1-SUMIFS('İndirimler'!$C$2:$C$210,'İndirimler'!$A$2:$A$210,B326,'İndirimler'!$B$2:$B$210,C326)),2),"")</x:f>
        <x:v>0</x:v>
      </x:c>
      <x:c r="I326" s="24" t="n">
        <x:f>IF(SUMIFS('İndirimler'!$D$2:$D$210,'İndirimler'!$A$2:$A$210,B326,'İndirimler'!$B$2:$B$210,C326)&gt;0,ROUND(G326*(1-SUMIFS('İndirimler'!$D$2:$D$210,'İndirimler'!$A$2:$A$210,B326,'İndirimler'!$B$2:$B$210,C326)),2),"")</x:f>
        <x:v>0</x:v>
      </x:c>
      <x:c r="J326" s="12"/>
      <x:c r="K326" s="31"/>
    </x:row>
    <x:row r="327" ht="21.950000762939453" customHeight="1">
      <x:c r="A327" s="15" t="s">
        <x:v>533</x:v>
      </x:c>
      <x:c r="B327" s="12" t="s">
        <x:v>534</x:v>
      </x:c>
      <x:c r="C327" s="12" t="s">
        <x:v>33</x:v>
      </x:c>
      <x:c r="D327" s="12" t="s">
        <x:v>528</x:v>
      </x:c>
      <x:c r="E327" s="12" t="s">
        <x:v>535</x:v>
      </x:c>
      <x:c r="F327" s="12" t="s">
        <x:v>42</x:v>
      </x:c>
      <x:c r="G327" s="18">
        <x:v>499</x:v>
      </x:c>
      <x:c r="H327" s="21" t="n">
        <x:f>IF(SUMIFS('İndirimler'!$C$2:$C$210,'İndirimler'!$A$2:$A$210,B327,'İndirimler'!$B$2:$B$210,C327)&gt;0,ROUND(G327*(1-SUMIFS('İndirimler'!$C$2:$C$210,'İndirimler'!$A$2:$A$210,B327,'İndirimler'!$B$2:$B$210,C327)),2),"")</x:f>
        <x:v>424.15</x:v>
      </x:c>
      <x:c r="I327" s="24" t="n">
        <x:f>IF(SUMIFS('İndirimler'!$D$2:$D$210,'İndirimler'!$A$2:$A$210,B327,'İndirimler'!$B$2:$B$210,C327)&gt;0,ROUND(G327*(1-SUMIFS('İndirimler'!$D$2:$D$210,'İndirimler'!$A$2:$A$210,B327,'İndirimler'!$B$2:$B$210,C327)),2),"")</x:f>
        <x:v>349.3</x:v>
      </x:c>
      <x:c r="J327" s="12" t="s">
        <x:v>536</x:v>
      </x:c>
      <x:c r="K327" s="31" t="s">
        <x:v>537</x:v>
      </x:c>
    </x:row>
    <x:row r="328" ht="21.950000762939453" customHeight="1">
      <x:c r="A328" s="15" t="s">
        <x:v>538</x:v>
      </x:c>
      <x:c r="B328" s="12" t="s">
        <x:v>44</x:v>
      </x:c>
      <x:c r="C328" s="12" t="s">
        <x:v>33</x:v>
      </x:c>
      <x:c r="D328" s="12" t="s">
        <x:v>528</x:v>
      </x:c>
      <x:c r="E328" s="12" t="s">
        <x:v>45</x:v>
      </x:c>
      <x:c r="F328" s="12" t="s">
        <x:v>42</x:v>
      </x:c>
      <x:c r="G328" s="18">
        <x:v>376</x:v>
      </x:c>
      <x:c r="H328" s="21" t="n">
        <x:f>IF(SUMIFS('İndirimler'!$C$2:$C$210,'İndirimler'!$A$2:$A$210,B328,'İndirimler'!$B$2:$B$210,C328)&gt;0,ROUND(G328*(1-SUMIFS('İndirimler'!$C$2:$C$210,'İndirimler'!$A$2:$A$210,B328,'İndirimler'!$B$2:$B$210,C328)),2),"")</x:f>
        <x:v>319.6</x:v>
      </x:c>
      <x:c r="I328" s="24" t="n">
        <x:f>IF(SUMIFS('İndirimler'!$D$2:$D$210,'İndirimler'!$A$2:$A$210,B328,'İndirimler'!$B$2:$B$210,C328)&gt;0,ROUND(G328*(1-SUMIFS('İndirimler'!$D$2:$D$210,'İndirimler'!$A$2:$A$210,B328,'İndirimler'!$B$2:$B$210,C328)),2),"")</x:f>
        <x:v>263.2</x:v>
      </x:c>
      <x:c r="J328" s="12" t="s">
        <x:v>539</x:v>
      </x:c>
      <x:c r="K328" s="31"/>
    </x:row>
    <x:row r="329" ht="21.950000762939453" customHeight="1">
      <x:c r="A329" s="15" t="s">
        <x:v>540</x:v>
      </x:c>
      <x:c r="B329" s="12" t="s">
        <x:v>23</x:v>
      </x:c>
      <x:c r="C329" s="12" t="s">
        <x:v>33</x:v>
      </x:c>
      <x:c r="D329" s="12" t="s">
        <x:v>528</x:v>
      </x:c>
      <x:c r="E329" s="12"/>
      <x:c r="F329" s="12" t="s">
        <x:v>42</x:v>
      </x:c>
      <x:c r="G329" s="18">
        <x:v>520</x:v>
      </x:c>
      <x:c r="H329" s="21" t="n">
        <x:f>IF(SUMIFS('İndirimler'!$C$2:$C$210,'İndirimler'!$A$2:$A$210,B329,'İndirimler'!$B$2:$B$210,C329)&gt;0,ROUND(G329*(1-SUMIFS('İndirimler'!$C$2:$C$210,'İndirimler'!$A$2:$A$210,B329,'İndirimler'!$B$2:$B$210,C329)),2),"")</x:f>
        <x:v>442</x:v>
      </x:c>
      <x:c r="I329" s="24" t="n">
        <x:f>IF(SUMIFS('İndirimler'!$D$2:$D$210,'İndirimler'!$A$2:$A$210,B329,'İndirimler'!$B$2:$B$210,C329)&gt;0,ROUND(G329*(1-SUMIFS('İndirimler'!$D$2:$D$210,'İndirimler'!$A$2:$A$210,B329,'İndirimler'!$B$2:$B$210,C329)),2),"")</x:f>
        <x:v>364</x:v>
      </x:c>
      <x:c r="J329" s="30" t="s">
        <x:v>541</x:v>
      </x:c>
      <x:c r="K329" s="31"/>
    </x:row>
    <x:row r="330" ht="21.950000762939453" customHeight="1">
      <x:c r="A330" s="15" t="s">
        <x:v>542</x:v>
      </x:c>
      <x:c r="B330" s="12" t="s">
        <x:v>50</x:v>
      </x:c>
      <x:c r="C330" s="12" t="s">
        <x:v>33</x:v>
      </x:c>
      <x:c r="D330" s="12" t="s">
        <x:v>528</x:v>
      </x:c>
      <x:c r="E330" s="12" t="s">
        <x:v>51</x:v>
      </x:c>
      <x:c r="F330" s="12" t="s">
        <x:v>42</x:v>
      </x:c>
      <x:c r="G330" s="18">
        <x:v>500</x:v>
      </x:c>
      <x:c r="H330" s="21" t="n">
        <x:f>IF(SUMIFS('İndirimler'!$C$2:$C$210,'İndirimler'!$A$2:$A$210,B330,'İndirimler'!$B$2:$B$210,C330)&gt;0,ROUND(G330*(1-SUMIFS('İndirimler'!$C$2:$C$210,'İndirimler'!$A$2:$A$210,B330,'İndirimler'!$B$2:$B$210,C330)),2),"")</x:f>
        <x:v>425</x:v>
      </x:c>
      <x:c r="I330" s="24" t="n">
        <x:f>IF(SUMIFS('İndirimler'!$D$2:$D$210,'İndirimler'!$A$2:$A$210,B330,'İndirimler'!$B$2:$B$210,C330)&gt;0,ROUND(G330*(1-SUMIFS('İndirimler'!$D$2:$D$210,'İndirimler'!$A$2:$A$210,B330,'İndirimler'!$B$2:$B$210,C330)),2),"")</x:f>
        <x:v>350</x:v>
      </x:c>
      <x:c r="J330" s="12"/>
      <x:c r="K330" s="31"/>
    </x:row>
    <x:row r="331" ht="21.950000762939453" customHeight="1">
      <x:c r="A331" s="15" t="s">
        <x:v>543</x:v>
      </x:c>
      <x:c r="B331" s="12" t="s">
        <x:v>55</x:v>
      </x:c>
      <x:c r="C331" s="12" t="s">
        <x:v>33</x:v>
      </x:c>
      <x:c r="D331" s="12" t="s">
        <x:v>528</x:v>
      </x:c>
      <x:c r="E331" s="12"/>
      <x:c r="F331" s="12" t="s">
        <x:v>16</x:v>
      </x:c>
      <x:c r="G331" s="18">
        <x:v>366</x:v>
      </x:c>
      <x:c r="H331" s="21" t="n">
        <x:f>IF(SUMIFS('İndirimler'!$C$2:$C$210,'İndirimler'!$A$2:$A$210,B331,'İndirimler'!$B$2:$B$210,C331)&gt;0,ROUND(G331*(1-SUMIFS('İndirimler'!$C$2:$C$210,'İndirimler'!$A$2:$A$210,B331,'İndirimler'!$B$2:$B$210,C331)),2),"")</x:f>
        <x:v>311.1</x:v>
      </x:c>
      <x:c r="I331" s="24" t="n">
        <x:f>IF(SUMIFS('İndirimler'!$D$2:$D$210,'İndirimler'!$A$2:$A$210,B331,'İndirimler'!$B$2:$B$210,C331)&gt;0,ROUND(G331*(1-SUMIFS('İndirimler'!$D$2:$D$210,'İndirimler'!$A$2:$A$210,B331,'İndirimler'!$B$2:$B$210,C331)),2),"")</x:f>
        <x:v>256.2</x:v>
      </x:c>
      <x:c r="J331" s="12" t="s">
        <x:v>544</x:v>
      </x:c>
      <x:c r="K331" s="31"/>
    </x:row>
    <x:row r="332" ht="21.950000762939453" customHeight="1">
      <x:c r="A332" s="15" t="s">
        <x:v>545</x:v>
      </x:c>
      <x:c r="B332" s="12" t="s">
        <x:v>138</x:v>
      </x:c>
      <x:c r="C332" s="12" t="s">
        <x:v>33</x:v>
      </x:c>
      <x:c r="D332" s="12" t="s">
        <x:v>528</x:v>
      </x:c>
      <x:c r="E332" s="12"/>
      <x:c r="F332" s="12" t="s">
        <x:v>16</x:v>
      </x:c>
      <x:c r="G332" s="18">
        <x:v>480</x:v>
      </x:c>
      <x:c r="H332" s="21" t="n">
        <x:f>IF(SUMIFS('İndirimler'!$C$2:$C$210,'İndirimler'!$A$2:$A$210,B332,'İndirimler'!$B$2:$B$210,C332)&gt;0,ROUND(G332*(1-SUMIFS('İndirimler'!$C$2:$C$210,'İndirimler'!$A$2:$A$210,B332,'İndirimler'!$B$2:$B$210,C332)),2),"")</x:f>
        <x:v>408</x:v>
      </x:c>
      <x:c r="I332" s="24" t="n">
        <x:f>IF(SUMIFS('İndirimler'!$D$2:$D$210,'İndirimler'!$A$2:$A$210,B332,'İndirimler'!$B$2:$B$210,C332)&gt;0,ROUND(G332*(1-SUMIFS('İndirimler'!$D$2:$D$210,'İndirimler'!$A$2:$A$210,B332,'İndirimler'!$B$2:$B$210,C332)),2),"")</x:f>
        <x:v>336</x:v>
      </x:c>
      <x:c r="J332" s="30" t="s">
        <x:v>546</x:v>
      </x:c>
      <x:c r="K332" s="31"/>
    </x:row>
    <x:row r="333" ht="21.950000762939453" customHeight="1">
      <x:c r="A333" s="15" t="s">
        <x:v>547</x:v>
      </x:c>
      <x:c r="B333" s="12" t="s">
        <x:v>18</x:v>
      </x:c>
      <x:c r="C333" s="12" t="s">
        <x:v>33</x:v>
      </x:c>
      <x:c r="D333" s="12" t="s">
        <x:v>528</x:v>
      </x:c>
      <x:c r="E333" s="12"/>
      <x:c r="F333" s="12" t="s">
        <x:v>16</x:v>
      </x:c>
      <x:c r="G333" s="18">
        <x:v>359</x:v>
      </x:c>
      <x:c r="H333" s="21" t="n">
        <x:f>IF(SUMIFS('İndirimler'!$C$2:$C$210,'İndirimler'!$A$2:$A$210,B333,'İndirimler'!$B$2:$B$210,C333)&gt;0,ROUND(G333*(1-SUMIFS('İndirimler'!$C$2:$C$210,'İndirimler'!$A$2:$A$210,B333,'İndirimler'!$B$2:$B$210,C333)),2),"")</x:f>
        <x:v>305.15</x:v>
      </x:c>
      <x:c r="I333" s="24" t="n">
        <x:f>IF(SUMIFS('İndirimler'!$D$2:$D$210,'İndirimler'!$A$2:$A$210,B333,'İndirimler'!$B$2:$B$210,C333)&gt;0,ROUND(G333*(1-SUMIFS('İndirimler'!$D$2:$D$210,'İndirimler'!$A$2:$A$210,B333,'İndirimler'!$B$2:$B$210,C333)),2),"")</x:f>
        <x:v>251.3</x:v>
      </x:c>
      <x:c r="J333" s="30" t="s">
        <x:v>548</x:v>
      </x:c>
      <x:c r="K333" s="31"/>
    </x:row>
    <x:row r="334" ht="21.950000762939453" customHeight="1">
      <x:c r="A334" s="15" t="s">
        <x:v>549</x:v>
      </x:c>
      <x:c r="B334" s="12" t="s">
        <x:v>534</x:v>
      </x:c>
      <x:c r="C334" s="12" t="s">
        <x:v>33</x:v>
      </x:c>
      <x:c r="D334" s="12" t="s">
        <x:v>528</x:v>
      </x:c>
      <x:c r="E334" s="12"/>
      <x:c r="F334" s="12" t="s">
        <x:v>16</x:v>
      </x:c>
      <x:c r="G334" s="18">
        <x:v>449</x:v>
      </x:c>
      <x:c r="H334" s="21" t="n">
        <x:f>IF(SUMIFS('İndirimler'!$C$2:$C$210,'İndirimler'!$A$2:$A$210,B334,'İndirimler'!$B$2:$B$210,C334)&gt;0,ROUND(G334*(1-SUMIFS('İndirimler'!$C$2:$C$210,'İndirimler'!$A$2:$A$210,B334,'İndirimler'!$B$2:$B$210,C334)),2),"")</x:f>
        <x:v>381.65</x:v>
      </x:c>
      <x:c r="I334" s="24" t="n">
        <x:f>IF(SUMIFS('İndirimler'!$D$2:$D$210,'İndirimler'!$A$2:$A$210,B334,'İndirimler'!$B$2:$B$210,C334)&gt;0,ROUND(G334*(1-SUMIFS('İndirimler'!$D$2:$D$210,'İndirimler'!$A$2:$A$210,B334,'İndirimler'!$B$2:$B$210,C334)),2),"")</x:f>
        <x:v>314.3</x:v>
      </x:c>
      <x:c r="J334" s="12" t="s">
        <x:v>550</x:v>
      </x:c>
      <x:c r="K334" s="31" t="s">
        <x:v>551</x:v>
      </x:c>
    </x:row>
    <x:row r="335" ht="21.950000762939453" customHeight="1">
      <x:c r="A335" s="15" t="s">
        <x:v>552</x:v>
      </x:c>
      <x:c r="B335" s="12" t="s">
        <x:v>534</x:v>
      </x:c>
      <x:c r="C335" s="12" t="s">
        <x:v>33</x:v>
      </x:c>
      <x:c r="D335" s="12" t="s">
        <x:v>528</x:v>
      </x:c>
      <x:c r="E335" s="12" t="s">
        <x:v>553</x:v>
      </x:c>
      <x:c r="F335" s="12" t="s">
        <x:v>16</x:v>
      </x:c>
      <x:c r="G335" s="18">
        <x:v>449</x:v>
      </x:c>
      <x:c r="H335" s="21" t="n">
        <x:f>IF(SUMIFS('İndirimler'!$C$2:$C$210,'İndirimler'!$A$2:$A$210,B335,'İndirimler'!$B$2:$B$210,C335)&gt;0,ROUND(G335*(1-SUMIFS('İndirimler'!$C$2:$C$210,'İndirimler'!$A$2:$A$210,B335,'İndirimler'!$B$2:$B$210,C335)),2),"")</x:f>
        <x:v>381.65</x:v>
      </x:c>
      <x:c r="I335" s="24" t="n">
        <x:f>IF(SUMIFS('İndirimler'!$D$2:$D$210,'İndirimler'!$A$2:$A$210,B335,'İndirimler'!$B$2:$B$210,C335)&gt;0,ROUND(G335*(1-SUMIFS('İndirimler'!$D$2:$D$210,'İndirimler'!$A$2:$A$210,B335,'İndirimler'!$B$2:$B$210,C335)),2),"")</x:f>
        <x:v>314.3</x:v>
      </x:c>
      <x:c r="J335" s="12" t="s">
        <x:v>554</x:v>
      </x:c>
      <x:c r="K335" s="31" t="s">
        <x:v>555</x:v>
      </x:c>
    </x:row>
    <x:row r="336" ht="21.950000762939453" customHeight="1">
      <x:c r="A336" s="15" t="s">
        <x:v>556</x:v>
      </x:c>
      <x:c r="B336" s="12" t="s">
        <x:v>44</x:v>
      </x:c>
      <x:c r="C336" s="12" t="s">
        <x:v>33</x:v>
      </x:c>
      <x:c r="D336" s="12" t="s">
        <x:v>528</x:v>
      </x:c>
      <x:c r="E336" s="12" t="s">
        <x:v>60</x:v>
      </x:c>
      <x:c r="F336" s="12" t="s">
        <x:v>16</x:v>
      </x:c>
      <x:c r="G336" s="18">
        <x:v>274</x:v>
      </x:c>
      <x:c r="H336" s="21" t="n">
        <x:f>IF(SUMIFS('İndirimler'!$C$2:$C$210,'İndirimler'!$A$2:$A$210,B336,'İndirimler'!$B$2:$B$210,C336)&gt;0,ROUND(G336*(1-SUMIFS('İndirimler'!$C$2:$C$210,'İndirimler'!$A$2:$A$210,B336,'İndirimler'!$B$2:$B$210,C336)),2),"")</x:f>
        <x:v>232.9</x:v>
      </x:c>
      <x:c r="I336" s="24" t="n">
        <x:f>IF(SUMIFS('İndirimler'!$D$2:$D$210,'İndirimler'!$A$2:$A$210,B336,'İndirimler'!$B$2:$B$210,C336)&gt;0,ROUND(G336*(1-SUMIFS('İndirimler'!$D$2:$D$210,'İndirimler'!$A$2:$A$210,B336,'İndirimler'!$B$2:$B$210,C336)),2),"")</x:f>
        <x:v>191.8</x:v>
      </x:c>
      <x:c r="J336" s="12" t="s">
        <x:v>557</x:v>
      </x:c>
      <x:c r="K336" s="31"/>
    </x:row>
    <x:row r="337" ht="21.950000762939453" customHeight="1">
      <x:c r="A337" s="15" t="s">
        <x:v>558</x:v>
      </x:c>
      <x:c r="B337" s="12" t="s">
        <x:v>63</x:v>
      </x:c>
      <x:c r="C337" s="12" t="s">
        <x:v>33</x:v>
      </x:c>
      <x:c r="D337" s="12" t="s">
        <x:v>528</x:v>
      </x:c>
      <x:c r="E337" s="12" t="s">
        <x:v>64</x:v>
      </x:c>
      <x:c r="F337" s="12" t="s">
        <x:v>16</x:v>
      </x:c>
      <x:c r="G337" s="18">
        <x:v>449</x:v>
      </x:c>
      <x:c r="H337" s="21" t="n">
        <x:f>IF(SUMIFS('İndirimler'!$C$2:$C$210,'İndirimler'!$A$2:$A$210,B337,'İndirimler'!$B$2:$B$210,C337)&gt;0,ROUND(G337*(1-SUMIFS('İndirimler'!$C$2:$C$210,'İndirimler'!$A$2:$A$210,B337,'İndirimler'!$B$2:$B$210,C337)),2),"")</x:f>
        <x:v>381.65</x:v>
      </x:c>
      <x:c r="I337" s="24" t="n">
        <x:f>IF(SUMIFS('İndirimler'!$D$2:$D$210,'İndirimler'!$A$2:$A$210,B337,'İndirimler'!$B$2:$B$210,C337)&gt;0,ROUND(G337*(1-SUMIFS('İndirimler'!$D$2:$D$210,'İndirimler'!$A$2:$A$210,B337,'İndirimler'!$B$2:$B$210,C337)),2),"")</x:f>
        <x:v>314.3</x:v>
      </x:c>
      <x:c r="J337" s="12" t="s">
        <x:v>559</x:v>
      </x:c>
      <x:c r="K337" s="31"/>
    </x:row>
    <x:row r="338" ht="21.950000762939453" customHeight="1">
      <x:c r="A338" s="15" t="s">
        <x:v>560</x:v>
      </x:c>
      <x:c r="B338" s="12" t="s">
        <x:v>23</x:v>
      </x:c>
      <x:c r="C338" s="12" t="s">
        <x:v>33</x:v>
      </x:c>
      <x:c r="D338" s="12" t="s">
        <x:v>528</x:v>
      </x:c>
      <x:c r="E338" s="12"/>
      <x:c r="F338" s="12" t="s">
        <x:v>16</x:v>
      </x:c>
      <x:c r="G338" s="18">
        <x:v>580</x:v>
      </x:c>
      <x:c r="H338" s="21" t="n">
        <x:f>IF(SUMIFS('İndirimler'!$C$2:$C$210,'İndirimler'!$A$2:$A$210,B338,'İndirimler'!$B$2:$B$210,C338)&gt;0,ROUND(G338*(1-SUMIFS('İndirimler'!$C$2:$C$210,'İndirimler'!$A$2:$A$210,B338,'İndirimler'!$B$2:$B$210,C338)),2),"")</x:f>
        <x:v>493</x:v>
      </x:c>
      <x:c r="I338" s="24" t="n">
        <x:f>IF(SUMIFS('İndirimler'!$D$2:$D$210,'İndirimler'!$A$2:$A$210,B338,'İndirimler'!$B$2:$B$210,C338)&gt;0,ROUND(G338*(1-SUMIFS('İndirimler'!$D$2:$D$210,'İndirimler'!$A$2:$A$210,B338,'İndirimler'!$B$2:$B$210,C338)),2),"")</x:f>
        <x:v>406</x:v>
      </x:c>
      <x:c r="J338" s="30" t="s">
        <x:v>561</x:v>
      </x:c>
      <x:c r="K338" s="31"/>
    </x:row>
    <x:row r="339" ht="21.950000762939453" customHeight="1">
      <x:c r="A339" s="15" t="s">
        <x:v>562</x:v>
      </x:c>
      <x:c r="B339" s="12" t="s">
        <x:v>50</x:v>
      </x:c>
      <x:c r="C339" s="12" t="s">
        <x:v>33</x:v>
      </x:c>
      <x:c r="D339" s="12" t="s">
        <x:v>528</x:v>
      </x:c>
      <x:c r="E339" s="12" t="s">
        <x:v>69</x:v>
      </x:c>
      <x:c r="F339" s="12" t="s">
        <x:v>16</x:v>
      </x:c>
      <x:c r="G339" s="18">
        <x:v>475</x:v>
      </x:c>
      <x:c r="H339" s="21" t="n">
        <x:f>IF(SUMIFS('İndirimler'!$C$2:$C$210,'İndirimler'!$A$2:$A$210,B339,'İndirimler'!$B$2:$B$210,C339)&gt;0,ROUND(G339*(1-SUMIFS('İndirimler'!$C$2:$C$210,'İndirimler'!$A$2:$A$210,B339,'İndirimler'!$B$2:$B$210,C339)),2),"")</x:f>
        <x:v>403.75</x:v>
      </x:c>
      <x:c r="I339" s="24" t="n">
        <x:f>IF(SUMIFS('İndirimler'!$D$2:$D$210,'İndirimler'!$A$2:$A$210,B339,'İndirimler'!$B$2:$B$210,C339)&gt;0,ROUND(G339*(1-SUMIFS('İndirimler'!$D$2:$D$210,'İndirimler'!$A$2:$A$210,B339,'İndirimler'!$B$2:$B$210,C339)),2),"")</x:f>
        <x:v>332.5</x:v>
      </x:c>
      <x:c r="J339" s="12"/>
      <x:c r="K339" s="31"/>
    </x:row>
    <x:row r="340" ht="21.950000762939453" customHeight="1">
      <x:c r="A340" s="15" t="s">
        <x:v>563</x:v>
      </x:c>
      <x:c r="B340" s="12" t="s">
        <x:v>564</x:v>
      </x:c>
      <x:c r="C340" s="12" t="s">
        <x:v>33</x:v>
      </x:c>
      <x:c r="D340" s="12" t="s">
        <x:v>528</x:v>
      </x:c>
      <x:c r="E340" s="12"/>
      <x:c r="F340" s="12" t="s">
        <x:v>16</x:v>
      </x:c>
      <x:c r="G340" s="18">
        <x:v>329</x:v>
      </x:c>
      <x:c r="H340" s="21" t="n">
        <x:f>IF(SUMIFS('İndirimler'!$C$2:$C$210,'İndirimler'!$A$2:$A$210,B340,'İndirimler'!$B$2:$B$210,C340)&gt;0,ROUND(G340*(1-SUMIFS('İndirimler'!$C$2:$C$210,'İndirimler'!$A$2:$A$210,B340,'İndirimler'!$B$2:$B$210,C340)),2),"")</x:f>
        <x:v>279.65</x:v>
      </x:c>
      <x:c r="I340" s="24" t="n">
        <x:f>IF(SUMIFS('İndirimler'!$D$2:$D$210,'İndirimler'!$A$2:$A$210,B340,'İndirimler'!$B$2:$B$210,C340)&gt;0,ROUND(G340*(1-SUMIFS('İndirimler'!$D$2:$D$210,'İndirimler'!$A$2:$A$210,B340,'İndirimler'!$B$2:$B$210,C340)),2),"")</x:f>
        <x:v>230.3</x:v>
      </x:c>
      <x:c r="J340" s="12"/>
      <x:c r="K340" s="31"/>
    </x:row>
    <x:row r="341" ht="21.950000762939453" customHeight="1">
      <x:c r="A341" s="15" t="s">
        <x:v>565</x:v>
      </x:c>
      <x:c r="B341" s="12" t="s">
        <x:v>38</x:v>
      </x:c>
      <x:c r="C341" s="12" t="s">
        <x:v>33</x:v>
      </x:c>
      <x:c r="D341" s="12" t="s">
        <x:v>528</x:v>
      </x:c>
      <x:c r="E341" s="12" t="s">
        <x:v>69</x:v>
      </x:c>
      <x:c r="F341" s="12" t="s">
        <x:v>16</x:v>
      </x:c>
      <x:c r="G341" s="18">
        <x:v>359</x:v>
      </x:c>
      <x:c r="H341" s="21" t="n">
        <x:f>IF(SUMIFS('İndirimler'!$C$2:$C$210,'İndirimler'!$A$2:$A$210,B341,'İndirimler'!$B$2:$B$210,C341)&gt;0,ROUND(G341*(1-SUMIFS('İndirimler'!$C$2:$C$210,'İndirimler'!$A$2:$A$210,B341,'İndirimler'!$B$2:$B$210,C341)),2),"")</x:f>
        <x:v>305.15</x:v>
      </x:c>
      <x:c r="I341" s="24" t="n">
        <x:f>IF(SUMIFS('İndirimler'!$D$2:$D$210,'İndirimler'!$A$2:$A$210,B341,'İndirimler'!$B$2:$B$210,C341)&gt;0,ROUND(G341*(1-SUMIFS('İndirimler'!$D$2:$D$210,'İndirimler'!$A$2:$A$210,B341,'İndirimler'!$B$2:$B$210,C341)),2),"")</x:f>
        <x:v>251.3</x:v>
      </x:c>
      <x:c r="J341" s="12" t="s">
        <x:v>566</x:v>
      </x:c>
      <x:c r="K341" s="31"/>
    </x:row>
    <x:row r="342" ht="21.950000762939453" customHeight="1">
      <x:c r="A342" s="15" t="s">
        <x:v>567</x:v>
      </x:c>
      <x:c r="B342" s="12" t="s">
        <x:v>72</x:v>
      </x:c>
      <x:c r="C342" s="12" t="s">
        <x:v>33</x:v>
      </x:c>
      <x:c r="D342" s="12" t="s">
        <x:v>528</x:v>
      </x:c>
      <x:c r="E342" s="12"/>
      <x:c r="F342" s="12" t="s">
        <x:v>73</x:v>
      </x:c>
      <x:c r="G342" s="18">
        <x:v>359</x:v>
      </x:c>
      <x:c r="H342" s="21" t="n">
        <x:f>IF(SUMIFS('İndirimler'!$C$2:$C$210,'İndirimler'!$A$2:$A$210,B342,'İndirimler'!$B$2:$B$210,C342)&gt;0,ROUND(G342*(1-SUMIFS('İndirimler'!$C$2:$C$210,'İndirimler'!$A$2:$A$210,B342,'İndirimler'!$B$2:$B$210,C342)),2),"")</x:f>
        <x:v>305.15</x:v>
      </x:c>
      <x:c r="I342" s="24" t="n">
        <x:f>IF(SUMIFS('İndirimler'!$D$2:$D$210,'İndirimler'!$A$2:$A$210,B342,'İndirimler'!$B$2:$B$210,C342)&gt;0,ROUND(G342*(1-SUMIFS('İndirimler'!$D$2:$D$210,'İndirimler'!$A$2:$A$210,B342,'İndirimler'!$B$2:$B$210,C342)),2),"")</x:f>
        <x:v>251.3</x:v>
      </x:c>
      <x:c r="J342" s="12"/>
      <x:c r="K342" s="31"/>
    </x:row>
    <x:row r="343" ht="21.950000762939453" customHeight="1">
      <x:c r="A343" s="15" t="s">
        <x:v>568</x:v>
      </x:c>
      <x:c r="B343" s="12" t="s">
        <x:v>32</x:v>
      </x:c>
      <x:c r="C343" s="12" t="s">
        <x:v>76</x:v>
      </x:c>
      <x:c r="D343" s="12" t="s">
        <x:v>528</x:v>
      </x:c>
      <x:c r="E343" s="12"/>
      <x:c r="F343" s="12" t="s">
        <x:v>35</x:v>
      </x:c>
      <x:c r="G343" s="18">
        <x:v>629</x:v>
      </x:c>
      <x:c r="H343" s="21" t="n">
        <x:f>IF(SUMIFS('İndirimler'!$C$2:$C$210,'İndirimler'!$A$2:$A$210,B343,'İndirimler'!$B$2:$B$210,C343)&gt;0,ROUND(G343*(1-SUMIFS('İndirimler'!$C$2:$C$210,'İndirimler'!$A$2:$A$210,B343,'İndirimler'!$B$2:$B$210,C343)),2),"")</x:f>
        <x:v>534.65</x:v>
      </x:c>
      <x:c r="I343" s="24" t="n">
        <x:f>IF(SUMIFS('İndirimler'!$D$2:$D$210,'İndirimler'!$A$2:$A$210,B343,'İndirimler'!$B$2:$B$210,C343)&gt;0,ROUND(G343*(1-SUMIFS('İndirimler'!$D$2:$D$210,'İndirimler'!$A$2:$A$210,B343,'İndirimler'!$B$2:$B$210,C343)),2),"")</x:f>
        <x:v>440.3</x:v>
      </x:c>
      <x:c r="J343" s="30" t="s">
        <x:v>569</x:v>
      </x:c>
      <x:c r="K343" s="31"/>
    </x:row>
    <x:row r="344" ht="21.950000762939453" customHeight="1">
      <x:c r="A344" s="15" t="s">
        <x:v>570</x:v>
      </x:c>
      <x:c r="B344" s="12" t="s">
        <x:v>38</x:v>
      </x:c>
      <x:c r="C344" s="12" t="s">
        <x:v>76</x:v>
      </x:c>
      <x:c r="D344" s="12" t="s">
        <x:v>528</x:v>
      </x:c>
      <x:c r="E344" s="12"/>
      <x:c r="F344" s="12" t="s">
        <x:v>35</x:v>
      </x:c>
      <x:c r="G344" s="18">
        <x:v>729</x:v>
      </x:c>
      <x:c r="H344" s="21" t="n">
        <x:f>IF(SUMIFS('İndirimler'!$C$2:$C$210,'İndirimler'!$A$2:$A$210,B344,'İndirimler'!$B$2:$B$210,C344)&gt;0,ROUND(G344*(1-SUMIFS('İndirimler'!$C$2:$C$210,'İndirimler'!$A$2:$A$210,B344,'İndirimler'!$B$2:$B$210,C344)),2),"")</x:f>
        <x:v>619.65</x:v>
      </x:c>
      <x:c r="I344" s="24" t="n">
        <x:f>IF(SUMIFS('İndirimler'!$D$2:$D$210,'İndirimler'!$A$2:$A$210,B344,'İndirimler'!$B$2:$B$210,C344)&gt;0,ROUND(G344*(1-SUMIFS('İndirimler'!$D$2:$D$210,'İndirimler'!$A$2:$A$210,B344,'İndirimler'!$B$2:$B$210,C344)),2),"")</x:f>
        <x:v>510.3</x:v>
      </x:c>
      <x:c r="J344" s="12" t="s">
        <x:v>571</x:v>
      </x:c>
      <x:c r="K344" s="31"/>
    </x:row>
    <x:row r="345" ht="21.950000762939453" customHeight="1">
      <x:c r="A345" s="15" t="s">
        <x:v>572</x:v>
      </x:c>
      <x:c r="B345" s="12" t="s">
        <x:v>18</x:v>
      </x:c>
      <x:c r="C345" s="12" t="s">
        <x:v>76</x:v>
      </x:c>
      <x:c r="D345" s="12" t="s">
        <x:v>528</x:v>
      </x:c>
      <x:c r="E345" s="12" t="s">
        <x:v>41</x:v>
      </x:c>
      <x:c r="F345" s="12" t="s">
        <x:v>42</x:v>
      </x:c>
      <x:c r="G345" s="18"/>
      <x:c r="H345" s="21" t="n">
        <x:f>IF(SUMIFS('İndirimler'!$C$2:$C$210,'İndirimler'!$A$2:$A$210,B345,'İndirimler'!$B$2:$B$210,C345)&gt;0,ROUND(G345*(1-SUMIFS('İndirimler'!$C$2:$C$210,'İndirimler'!$A$2:$A$210,B345,'İndirimler'!$B$2:$B$210,C345)),2),"")</x:f>
        <x:v>0</x:v>
      </x:c>
      <x:c r="I345" s="24" t="n">
        <x:f>IF(SUMIFS('İndirimler'!$D$2:$D$210,'İndirimler'!$A$2:$A$210,B345,'İndirimler'!$B$2:$B$210,C345)&gt;0,ROUND(G345*(1-SUMIFS('İndirimler'!$D$2:$D$210,'İndirimler'!$A$2:$A$210,B345,'İndirimler'!$B$2:$B$210,C345)),2),"")</x:f>
        <x:v>0</x:v>
      </x:c>
      <x:c r="J345" s="12"/>
      <x:c r="K345" s="31"/>
    </x:row>
    <x:row r="346" ht="21.950000762939453" customHeight="1">
      <x:c r="A346" s="15" t="s">
        <x:v>573</x:v>
      </x:c>
      <x:c r="B346" s="12" t="s">
        <x:v>534</x:v>
      </x:c>
      <x:c r="C346" s="12" t="s">
        <x:v>76</x:v>
      </x:c>
      <x:c r="D346" s="12" t="s">
        <x:v>528</x:v>
      </x:c>
      <x:c r="E346" s="12" t="s">
        <x:v>535</x:v>
      </x:c>
      <x:c r="F346" s="12" t="s">
        <x:v>42</x:v>
      </x:c>
      <x:c r="G346" s="18">
        <x:v>499</x:v>
      </x:c>
      <x:c r="H346" s="21" t="n">
        <x:f>IF(SUMIFS('İndirimler'!$C$2:$C$210,'İndirimler'!$A$2:$A$210,B346,'İndirimler'!$B$2:$B$210,C346)&gt;0,ROUND(G346*(1-SUMIFS('İndirimler'!$C$2:$C$210,'İndirimler'!$A$2:$A$210,B346,'İndirimler'!$B$2:$B$210,C346)),2),"")</x:f>
        <x:v>424.15</x:v>
      </x:c>
      <x:c r="I346" s="24" t="n">
        <x:f>IF(SUMIFS('İndirimler'!$D$2:$D$210,'İndirimler'!$A$2:$A$210,B346,'İndirimler'!$B$2:$B$210,C346)&gt;0,ROUND(G346*(1-SUMIFS('İndirimler'!$D$2:$D$210,'İndirimler'!$A$2:$A$210,B346,'İndirimler'!$B$2:$B$210,C346)),2),"")</x:f>
        <x:v>349.3</x:v>
      </x:c>
      <x:c r="J346" s="12" t="s">
        <x:v>574</x:v>
      </x:c>
      <x:c r="K346" s="31" t="s">
        <x:v>575</x:v>
      </x:c>
    </x:row>
    <x:row r="347" ht="21.950000762939453" customHeight="1">
      <x:c r="A347" s="15" t="s">
        <x:v>576</x:v>
      </x:c>
      <x:c r="B347" s="12" t="s">
        <x:v>44</x:v>
      </x:c>
      <x:c r="C347" s="12" t="s">
        <x:v>76</x:v>
      </x:c>
      <x:c r="D347" s="12" t="s">
        <x:v>528</x:v>
      </x:c>
      <x:c r="E347" s="12" t="s">
        <x:v>45</x:v>
      </x:c>
      <x:c r="F347" s="12" t="s">
        <x:v>42</x:v>
      </x:c>
      <x:c r="G347" s="18">
        <x:v>346</x:v>
      </x:c>
      <x:c r="H347" s="21" t="n">
        <x:f>IF(SUMIFS('İndirimler'!$C$2:$C$210,'İndirimler'!$A$2:$A$210,B347,'İndirimler'!$B$2:$B$210,C347)&gt;0,ROUND(G347*(1-SUMIFS('İndirimler'!$C$2:$C$210,'İndirimler'!$A$2:$A$210,B347,'İndirimler'!$B$2:$B$210,C347)),2),"")</x:f>
        <x:v>294.1</x:v>
      </x:c>
      <x:c r="I347" s="24" t="n">
        <x:f>IF(SUMIFS('İndirimler'!$D$2:$D$210,'İndirimler'!$A$2:$A$210,B347,'İndirimler'!$B$2:$B$210,C347)&gt;0,ROUND(G347*(1-SUMIFS('İndirimler'!$D$2:$D$210,'İndirimler'!$A$2:$A$210,B347,'İndirimler'!$B$2:$B$210,C347)),2),"")</x:f>
        <x:v>242.2</x:v>
      </x:c>
      <x:c r="J347" s="12" t="s">
        <x:v>577</x:v>
      </x:c>
      <x:c r="K347" s="31"/>
    </x:row>
    <x:row r="348" ht="21.950000762939453" customHeight="1">
      <x:c r="A348" s="15" t="s">
        <x:v>578</x:v>
      </x:c>
      <x:c r="B348" s="12" t="s">
        <x:v>23</x:v>
      </x:c>
      <x:c r="C348" s="12" t="s">
        <x:v>76</x:v>
      </x:c>
      <x:c r="D348" s="12" t="s">
        <x:v>528</x:v>
      </x:c>
      <x:c r="E348" s="12"/>
      <x:c r="F348" s="12" t="s">
        <x:v>42</x:v>
      </x:c>
      <x:c r="G348" s="18">
        <x:v>608</x:v>
      </x:c>
      <x:c r="H348" s="21" t="n">
        <x:f>IF(SUMIFS('İndirimler'!$C$2:$C$210,'İndirimler'!$A$2:$A$210,B348,'İndirimler'!$B$2:$B$210,C348)&gt;0,ROUND(G348*(1-SUMIFS('İndirimler'!$C$2:$C$210,'İndirimler'!$A$2:$A$210,B348,'İndirimler'!$B$2:$B$210,C348)),2),"")</x:f>
        <x:v>516.8</x:v>
      </x:c>
      <x:c r="I348" s="24" t="n">
        <x:f>IF(SUMIFS('İndirimler'!$D$2:$D$210,'İndirimler'!$A$2:$A$210,B348,'İndirimler'!$B$2:$B$210,C348)&gt;0,ROUND(G348*(1-SUMIFS('İndirimler'!$D$2:$D$210,'İndirimler'!$A$2:$A$210,B348,'İndirimler'!$B$2:$B$210,C348)),2),"")</x:f>
        <x:v>425.6</x:v>
      </x:c>
      <x:c r="J348" s="12" t="s">
        <x:v>579</x:v>
      </x:c>
      <x:c r="K348" s="31"/>
    </x:row>
    <x:row r="349" ht="21.950000762939453" customHeight="1">
      <x:c r="A349" s="15" t="s">
        <x:v>580</x:v>
      </x:c>
      <x:c r="B349" s="12" t="s">
        <x:v>50</x:v>
      </x:c>
      <x:c r="C349" s="12" t="s">
        <x:v>76</x:v>
      </x:c>
      <x:c r="D349" s="12" t="s">
        <x:v>528</x:v>
      </x:c>
      <x:c r="E349" s="12" t="s">
        <x:v>51</x:v>
      </x:c>
      <x:c r="F349" s="12" t="s">
        <x:v>42</x:v>
      </x:c>
      <x:c r="G349" s="18">
        <x:v>540</x:v>
      </x:c>
      <x:c r="H349" s="21" t="n">
        <x:f>IF(SUMIFS('İndirimler'!$C$2:$C$210,'İndirimler'!$A$2:$A$210,B349,'İndirimler'!$B$2:$B$210,C349)&gt;0,ROUND(G349*(1-SUMIFS('İndirimler'!$C$2:$C$210,'İndirimler'!$A$2:$A$210,B349,'İndirimler'!$B$2:$B$210,C349)),2),"")</x:f>
        <x:v>459</x:v>
      </x:c>
      <x:c r="I349" s="24" t="n">
        <x:f>IF(SUMIFS('İndirimler'!$D$2:$D$210,'İndirimler'!$A$2:$A$210,B349,'İndirimler'!$B$2:$B$210,C349)&gt;0,ROUND(G349*(1-SUMIFS('İndirimler'!$D$2:$D$210,'İndirimler'!$A$2:$A$210,B349,'İndirimler'!$B$2:$B$210,C349)),2),"")</x:f>
        <x:v>378</x:v>
      </x:c>
      <x:c r="J349" s="12"/>
      <x:c r="K349" s="31"/>
    </x:row>
    <x:row r="350" ht="21.950000762939453" customHeight="1">
      <x:c r="A350" s="15" t="s">
        <x:v>581</x:v>
      </x:c>
      <x:c r="B350" s="12" t="s">
        <x:v>55</x:v>
      </x:c>
      <x:c r="C350" s="12" t="s">
        <x:v>76</x:v>
      </x:c>
      <x:c r="D350" s="12" t="s">
        <x:v>528</x:v>
      </x:c>
      <x:c r="E350" s="12"/>
      <x:c r="F350" s="12" t="s">
        <x:v>16</x:v>
      </x:c>
      <x:c r="G350" s="18">
        <x:v>366</x:v>
      </x:c>
      <x:c r="H350" s="21" t="n">
        <x:f>IF(SUMIFS('İndirimler'!$C$2:$C$210,'İndirimler'!$A$2:$A$210,B350,'İndirimler'!$B$2:$B$210,C350)&gt;0,ROUND(G350*(1-SUMIFS('İndirimler'!$C$2:$C$210,'İndirimler'!$A$2:$A$210,B350,'İndirimler'!$B$2:$B$210,C350)),2),"")</x:f>
        <x:v>311.1</x:v>
      </x:c>
      <x:c r="I350" s="24" t="n">
        <x:f>IF(SUMIFS('İndirimler'!$D$2:$D$210,'İndirimler'!$A$2:$A$210,B350,'İndirimler'!$B$2:$B$210,C350)&gt;0,ROUND(G350*(1-SUMIFS('İndirimler'!$D$2:$D$210,'İndirimler'!$A$2:$A$210,B350,'İndirimler'!$B$2:$B$210,C350)),2),"")</x:f>
        <x:v>256.2</x:v>
      </x:c>
      <x:c r="J350" s="12" t="s">
        <x:v>582</x:v>
      </x:c>
      <x:c r="K350" s="31"/>
    </x:row>
    <x:row r="351" ht="21.950000762939453" customHeight="1">
      <x:c r="A351" s="15" t="s">
        <x:v>583</x:v>
      </x:c>
      <x:c r="B351" s="12" t="s">
        <x:v>138</x:v>
      </x:c>
      <x:c r="C351" s="12" t="s">
        <x:v>76</x:v>
      </x:c>
      <x:c r="D351" s="12" t="s">
        <x:v>528</x:v>
      </x:c>
      <x:c r="E351" s="12"/>
      <x:c r="F351" s="12" t="s">
        <x:v>16</x:v>
      </x:c>
      <x:c r="G351" s="18">
        <x:v>496</x:v>
      </x:c>
      <x:c r="H351" s="21" t="n">
        <x:f>IF(SUMIFS('İndirimler'!$C$2:$C$210,'İndirimler'!$A$2:$A$210,B351,'İndirimler'!$B$2:$B$210,C351)&gt;0,ROUND(G351*(1-SUMIFS('İndirimler'!$C$2:$C$210,'İndirimler'!$A$2:$A$210,B351,'İndirimler'!$B$2:$B$210,C351)),2),"")</x:f>
        <x:v>421.6</x:v>
      </x:c>
      <x:c r="I351" s="24" t="n">
        <x:f>IF(SUMIFS('İndirimler'!$D$2:$D$210,'İndirimler'!$A$2:$A$210,B351,'İndirimler'!$B$2:$B$210,C351)&gt;0,ROUND(G351*(1-SUMIFS('İndirimler'!$D$2:$D$210,'İndirimler'!$A$2:$A$210,B351,'İndirimler'!$B$2:$B$210,C351)),2),"")</x:f>
        <x:v>347.2</x:v>
      </x:c>
      <x:c r="J351" s="12" t="s">
        <x:v>584</x:v>
      </x:c>
      <x:c r="K351" s="31"/>
    </x:row>
    <x:row r="352" ht="21.950000762939453" customHeight="1">
      <x:c r="A352" s="15" t="s">
        <x:v>585</x:v>
      </x:c>
      <x:c r="B352" s="12" t="s">
        <x:v>18</x:v>
      </x:c>
      <x:c r="C352" s="12" t="s">
        <x:v>76</x:v>
      </x:c>
      <x:c r="D352" s="12" t="s">
        <x:v>528</x:v>
      </x:c>
      <x:c r="E352" s="12"/>
      <x:c r="F352" s="12" t="s">
        <x:v>16</x:v>
      </x:c>
      <x:c r="G352" s="18">
        <x:v>359</x:v>
      </x:c>
      <x:c r="H352" s="21" t="n">
        <x:f>IF(SUMIFS('İndirimler'!$C$2:$C$210,'İndirimler'!$A$2:$A$210,B352,'İndirimler'!$B$2:$B$210,C352)&gt;0,ROUND(G352*(1-SUMIFS('İndirimler'!$C$2:$C$210,'İndirimler'!$A$2:$A$210,B352,'İndirimler'!$B$2:$B$210,C352)),2),"")</x:f>
        <x:v>305.15</x:v>
      </x:c>
      <x:c r="I352" s="24" t="n">
        <x:f>IF(SUMIFS('İndirimler'!$D$2:$D$210,'İndirimler'!$A$2:$A$210,B352,'İndirimler'!$B$2:$B$210,C352)&gt;0,ROUND(G352*(1-SUMIFS('İndirimler'!$D$2:$D$210,'İndirimler'!$A$2:$A$210,B352,'İndirimler'!$B$2:$B$210,C352)),2),"")</x:f>
        <x:v>251.3</x:v>
      </x:c>
      <x:c r="J352" s="30" t="s">
        <x:v>586</x:v>
      </x:c>
      <x:c r="K352" s="31"/>
    </x:row>
    <x:row r="353" ht="21.950000762939453" customHeight="1">
      <x:c r="A353" s="15" t="s">
        <x:v>587</x:v>
      </x:c>
      <x:c r="B353" s="12" t="s">
        <x:v>534</x:v>
      </x:c>
      <x:c r="C353" s="12" t="s">
        <x:v>76</x:v>
      </x:c>
      <x:c r="D353" s="12" t="s">
        <x:v>528</x:v>
      </x:c>
      <x:c r="E353" s="12"/>
      <x:c r="F353" s="12" t="s">
        <x:v>16</x:v>
      </x:c>
      <x:c r="G353" s="18">
        <x:v>449</x:v>
      </x:c>
      <x:c r="H353" s="21" t="n">
        <x:f>IF(SUMIFS('İndirimler'!$C$2:$C$210,'İndirimler'!$A$2:$A$210,B353,'İndirimler'!$B$2:$B$210,C353)&gt;0,ROUND(G353*(1-SUMIFS('İndirimler'!$C$2:$C$210,'İndirimler'!$A$2:$A$210,B353,'İndirimler'!$B$2:$B$210,C353)),2),"")</x:f>
        <x:v>381.65</x:v>
      </x:c>
      <x:c r="I353" s="24" t="n">
        <x:f>IF(SUMIFS('İndirimler'!$D$2:$D$210,'İndirimler'!$A$2:$A$210,B353,'İndirimler'!$B$2:$B$210,C353)&gt;0,ROUND(G353*(1-SUMIFS('İndirimler'!$D$2:$D$210,'İndirimler'!$A$2:$A$210,B353,'İndirimler'!$B$2:$B$210,C353)),2),"")</x:f>
        <x:v>314.3</x:v>
      </x:c>
      <x:c r="J353" s="12" t="s">
        <x:v>588</x:v>
      </x:c>
      <x:c r="K353" s="31" t="s">
        <x:v>589</x:v>
      </x:c>
    </x:row>
    <x:row r="354" ht="21.950000762939453" customHeight="1">
      <x:c r="A354" s="15" t="s">
        <x:v>590</x:v>
      </x:c>
      <x:c r="B354" s="12" t="s">
        <x:v>534</x:v>
      </x:c>
      <x:c r="C354" s="12" t="s">
        <x:v>76</x:v>
      </x:c>
      <x:c r="D354" s="12" t="s">
        <x:v>528</x:v>
      </x:c>
      <x:c r="E354" s="12" t="s">
        <x:v>553</x:v>
      </x:c>
      <x:c r="F354" s="12" t="s">
        <x:v>16</x:v>
      </x:c>
      <x:c r="G354" s="18">
        <x:v>449</x:v>
      </x:c>
      <x:c r="H354" s="21" t="n">
        <x:f>IF(SUMIFS('İndirimler'!$C$2:$C$210,'İndirimler'!$A$2:$A$210,B354,'İndirimler'!$B$2:$B$210,C354)&gt;0,ROUND(G354*(1-SUMIFS('İndirimler'!$C$2:$C$210,'İndirimler'!$A$2:$A$210,B354,'İndirimler'!$B$2:$B$210,C354)),2),"")</x:f>
        <x:v>381.65</x:v>
      </x:c>
      <x:c r="I354" s="24" t="n">
        <x:f>IF(SUMIFS('İndirimler'!$D$2:$D$210,'İndirimler'!$A$2:$A$210,B354,'İndirimler'!$B$2:$B$210,C354)&gt;0,ROUND(G354*(1-SUMIFS('İndirimler'!$D$2:$D$210,'İndirimler'!$A$2:$A$210,B354,'İndirimler'!$B$2:$B$210,C354)),2),"")</x:f>
        <x:v>314.3</x:v>
      </x:c>
      <x:c r="J354" s="12" t="s">
        <x:v>591</x:v>
      </x:c>
      <x:c r="K354" s="31" t="s">
        <x:v>592</x:v>
      </x:c>
    </x:row>
    <x:row r="355" ht="21.950000762939453" customHeight="1">
      <x:c r="A355" s="15" t="s">
        <x:v>593</x:v>
      </x:c>
      <x:c r="B355" s="12" t="s">
        <x:v>44</x:v>
      </x:c>
      <x:c r="C355" s="12" t="s">
        <x:v>76</x:v>
      </x:c>
      <x:c r="D355" s="12" t="s">
        <x:v>528</x:v>
      </x:c>
      <x:c r="E355" s="12" t="s">
        <x:v>60</x:v>
      </x:c>
      <x:c r="F355" s="12" t="s">
        <x:v>16</x:v>
      </x:c>
      <x:c r="G355" s="18">
        <x:v>274</x:v>
      </x:c>
      <x:c r="H355" s="21" t="n">
        <x:f>IF(SUMIFS('İndirimler'!$C$2:$C$210,'İndirimler'!$A$2:$A$210,B355,'İndirimler'!$B$2:$B$210,C355)&gt;0,ROUND(G355*(1-SUMIFS('İndirimler'!$C$2:$C$210,'İndirimler'!$A$2:$A$210,B355,'İndirimler'!$B$2:$B$210,C355)),2),"")</x:f>
        <x:v>232.9</x:v>
      </x:c>
      <x:c r="I355" s="24" t="n">
        <x:f>IF(SUMIFS('İndirimler'!$D$2:$D$210,'İndirimler'!$A$2:$A$210,B355,'İndirimler'!$B$2:$B$210,C355)&gt;0,ROUND(G355*(1-SUMIFS('İndirimler'!$D$2:$D$210,'İndirimler'!$A$2:$A$210,B355,'İndirimler'!$B$2:$B$210,C355)),2),"")</x:f>
        <x:v>191.8</x:v>
      </x:c>
      <x:c r="J355" s="12" t="s">
        <x:v>594</x:v>
      </x:c>
      <x:c r="K355" s="31"/>
    </x:row>
    <x:row r="356" ht="21.950000762939453" customHeight="1">
      <x:c r="A356" s="15" t="s">
        <x:v>595</x:v>
      </x:c>
      <x:c r="B356" s="12" t="s">
        <x:v>63</x:v>
      </x:c>
      <x:c r="C356" s="12" t="s">
        <x:v>76</x:v>
      </x:c>
      <x:c r="D356" s="12" t="s">
        <x:v>528</x:v>
      </x:c>
      <x:c r="E356" s="12" t="s">
        <x:v>64</x:v>
      </x:c>
      <x:c r="F356" s="12" t="s">
        <x:v>16</x:v>
      </x:c>
      <x:c r="G356" s="18">
        <x:v>449</x:v>
      </x:c>
      <x:c r="H356" s="21" t="n">
        <x:f>IF(SUMIFS('İndirimler'!$C$2:$C$210,'İndirimler'!$A$2:$A$210,B356,'İndirimler'!$B$2:$B$210,C356)&gt;0,ROUND(G356*(1-SUMIFS('İndirimler'!$C$2:$C$210,'İndirimler'!$A$2:$A$210,B356,'İndirimler'!$B$2:$B$210,C356)),2),"")</x:f>
        <x:v>381.65</x:v>
      </x:c>
      <x:c r="I356" s="24" t="n">
        <x:f>IF(SUMIFS('İndirimler'!$D$2:$D$210,'İndirimler'!$A$2:$A$210,B356,'İndirimler'!$B$2:$B$210,C356)&gt;0,ROUND(G356*(1-SUMIFS('İndirimler'!$D$2:$D$210,'İndirimler'!$A$2:$A$210,B356,'İndirimler'!$B$2:$B$210,C356)),2),"")</x:f>
        <x:v>314.3</x:v>
      </x:c>
      <x:c r="J356" s="12" t="s">
        <x:v>482</x:v>
      </x:c>
      <x:c r="K356" s="31"/>
    </x:row>
    <x:row r="357" ht="21.950000762939453" customHeight="1">
      <x:c r="A357" s="15" t="s">
        <x:v>596</x:v>
      </x:c>
      <x:c r="B357" s="12" t="s">
        <x:v>23</x:v>
      </x:c>
      <x:c r="C357" s="12" t="s">
        <x:v>76</x:v>
      </x:c>
      <x:c r="D357" s="12" t="s">
        <x:v>528</x:v>
      </x:c>
      <x:c r="E357" s="12"/>
      <x:c r="F357" s="12" t="s">
        <x:v>16</x:v>
      </x:c>
      <x:c r="G357" s="18">
        <x:v>490</x:v>
      </x:c>
      <x:c r="H357" s="21" t="n">
        <x:f>IF(SUMIFS('İndirimler'!$C$2:$C$210,'İndirimler'!$A$2:$A$210,B357,'İndirimler'!$B$2:$B$210,C357)&gt;0,ROUND(G357*(1-SUMIFS('İndirimler'!$C$2:$C$210,'İndirimler'!$A$2:$A$210,B357,'İndirimler'!$B$2:$B$210,C357)),2),"")</x:f>
        <x:v>416.5</x:v>
      </x:c>
      <x:c r="I357" s="24" t="n">
        <x:f>IF(SUMIFS('İndirimler'!$D$2:$D$210,'İndirimler'!$A$2:$A$210,B357,'İndirimler'!$B$2:$B$210,C357)&gt;0,ROUND(G357*(1-SUMIFS('İndirimler'!$D$2:$D$210,'İndirimler'!$A$2:$A$210,B357,'İndirimler'!$B$2:$B$210,C357)),2),"")</x:f>
        <x:v>343</x:v>
      </x:c>
      <x:c r="J357" s="12" t="s">
        <x:v>597</x:v>
      </x:c>
      <x:c r="K357" s="31"/>
    </x:row>
    <x:row r="358" ht="21.950000762939453" customHeight="1">
      <x:c r="A358" s="15" t="s">
        <x:v>598</x:v>
      </x:c>
      <x:c r="B358" s="12" t="s">
        <x:v>50</x:v>
      </x:c>
      <x:c r="C358" s="12" t="s">
        <x:v>76</x:v>
      </x:c>
      <x:c r="D358" s="12" t="s">
        <x:v>528</x:v>
      </x:c>
      <x:c r="E358" s="12" t="s">
        <x:v>69</x:v>
      </x:c>
      <x:c r="F358" s="12" t="s">
        <x:v>16</x:v>
      </x:c>
      <x:c r="G358" s="18">
        <x:v>422</x:v>
      </x:c>
      <x:c r="H358" s="21" t="n">
        <x:f>IF(SUMIFS('İndirimler'!$C$2:$C$210,'İndirimler'!$A$2:$A$210,B358,'İndirimler'!$B$2:$B$210,C358)&gt;0,ROUND(G358*(1-SUMIFS('İndirimler'!$C$2:$C$210,'İndirimler'!$A$2:$A$210,B358,'İndirimler'!$B$2:$B$210,C358)),2),"")</x:f>
        <x:v>358.7</x:v>
      </x:c>
      <x:c r="I358" s="24" t="n">
        <x:f>IF(SUMIFS('İndirimler'!$D$2:$D$210,'İndirimler'!$A$2:$A$210,B358,'İndirimler'!$B$2:$B$210,C358)&gt;0,ROUND(G358*(1-SUMIFS('İndirimler'!$D$2:$D$210,'İndirimler'!$A$2:$A$210,B358,'İndirimler'!$B$2:$B$210,C358)),2),"")</x:f>
        <x:v>295.4</x:v>
      </x:c>
      <x:c r="J358" s="12"/>
      <x:c r="K358" s="31"/>
    </x:row>
    <x:row r="359" ht="21.950000762939453" customHeight="1">
      <x:c r="A359" s="15" t="s">
        <x:v>599</x:v>
      </x:c>
      <x:c r="B359" s="12" t="s">
        <x:v>564</x:v>
      </x:c>
      <x:c r="C359" s="12" t="s">
        <x:v>76</x:v>
      </x:c>
      <x:c r="D359" s="12" t="s">
        <x:v>528</x:v>
      </x:c>
      <x:c r="E359" s="12"/>
      <x:c r="F359" s="12" t="s">
        <x:v>16</x:v>
      </x:c>
      <x:c r="G359" s="18">
        <x:v>355</x:v>
      </x:c>
      <x:c r="H359" s="21" t="n">
        <x:f>IF(SUMIFS('İndirimler'!$C$2:$C$210,'İndirimler'!$A$2:$A$210,B359,'İndirimler'!$B$2:$B$210,C359)&gt;0,ROUND(G359*(1-SUMIFS('İndirimler'!$C$2:$C$210,'İndirimler'!$A$2:$A$210,B359,'İndirimler'!$B$2:$B$210,C359)),2),"")</x:f>
        <x:v>301.75</x:v>
      </x:c>
      <x:c r="I359" s="24" t="n">
        <x:f>IF(SUMIFS('İndirimler'!$D$2:$D$210,'İndirimler'!$A$2:$A$210,B359,'İndirimler'!$B$2:$B$210,C359)&gt;0,ROUND(G359*(1-SUMIFS('İndirimler'!$D$2:$D$210,'İndirimler'!$A$2:$A$210,B359,'İndirimler'!$B$2:$B$210,C359)),2),"")</x:f>
        <x:v>248.5</x:v>
      </x:c>
      <x:c r="J359" s="12"/>
      <x:c r="K359" s="31"/>
    </x:row>
    <x:row r="360" ht="21.950000762939453" customHeight="1">
      <x:c r="A360" s="15" t="s">
        <x:v>600</x:v>
      </x:c>
      <x:c r="B360" s="12" t="s">
        <x:v>38</x:v>
      </x:c>
      <x:c r="C360" s="12" t="s">
        <x:v>76</x:v>
      </x:c>
      <x:c r="D360" s="12" t="s">
        <x:v>528</x:v>
      </x:c>
      <x:c r="E360" s="12" t="s">
        <x:v>69</x:v>
      </x:c>
      <x:c r="F360" s="12" t="s">
        <x:v>16</x:v>
      </x:c>
      <x:c r="G360" s="18">
        <x:v>269</x:v>
      </x:c>
      <x:c r="H360" s="21" t="n">
        <x:f>IF(SUMIFS('İndirimler'!$C$2:$C$210,'İndirimler'!$A$2:$A$210,B360,'İndirimler'!$B$2:$B$210,C360)&gt;0,ROUND(G360*(1-SUMIFS('İndirimler'!$C$2:$C$210,'İndirimler'!$A$2:$A$210,B360,'İndirimler'!$B$2:$B$210,C360)),2),"")</x:f>
        <x:v>228.65</x:v>
      </x:c>
      <x:c r="I360" s="24" t="n">
        <x:f>IF(SUMIFS('İndirimler'!$D$2:$D$210,'İndirimler'!$A$2:$A$210,B360,'İndirimler'!$B$2:$B$210,C360)&gt;0,ROUND(G360*(1-SUMIFS('İndirimler'!$D$2:$D$210,'İndirimler'!$A$2:$A$210,B360,'İndirimler'!$B$2:$B$210,C360)),2),"")</x:f>
        <x:v>188.3</x:v>
      </x:c>
      <x:c r="J360" s="12" t="s">
        <x:v>566</x:v>
      </x:c>
      <x:c r="K360" s="31"/>
    </x:row>
    <x:row r="361" ht="21.950000762939453" customHeight="1">
      <x:c r="A361" s="15" t="s">
        <x:v>601</x:v>
      </x:c>
      <x:c r="B361" s="12" t="s">
        <x:v>72</x:v>
      </x:c>
      <x:c r="C361" s="12" t="s">
        <x:v>76</x:v>
      </x:c>
      <x:c r="D361" s="12" t="s">
        <x:v>528</x:v>
      </x:c>
      <x:c r="E361" s="12"/>
      <x:c r="F361" s="12" t="s">
        <x:v>73</x:v>
      </x:c>
      <x:c r="G361" s="18">
        <x:v>429</x:v>
      </x:c>
      <x:c r="H361" s="21" t="n">
        <x:f>IF(SUMIFS('İndirimler'!$C$2:$C$210,'İndirimler'!$A$2:$A$210,B361,'İndirimler'!$B$2:$B$210,C361)&gt;0,ROUND(G361*(1-SUMIFS('İndirimler'!$C$2:$C$210,'İndirimler'!$A$2:$A$210,B361,'İndirimler'!$B$2:$B$210,C361)),2),"")</x:f>
        <x:v>364.65</x:v>
      </x:c>
      <x:c r="I361" s="24" t="n">
        <x:f>IF(SUMIFS('İndirimler'!$D$2:$D$210,'İndirimler'!$A$2:$A$210,B361,'İndirimler'!$B$2:$B$210,C361)&gt;0,ROUND(G361*(1-SUMIFS('İndirimler'!$D$2:$D$210,'İndirimler'!$A$2:$A$210,B361,'İndirimler'!$B$2:$B$210,C361)),2),"")</x:f>
        <x:v>300.3</x:v>
      </x:c>
      <x:c r="J361" s="12"/>
      <x:c r="K361" s="31"/>
    </x:row>
    <x:row r="362" ht="21.950000762939453" customHeight="1">
      <x:c r="A362" s="15" t="s">
        <x:v>602</x:v>
      </x:c>
      <x:c r="B362" s="12" t="s">
        <x:v>38</x:v>
      </x:c>
      <x:c r="C362" s="12" t="s">
        <x:v>101</x:v>
      </x:c>
      <x:c r="D362" s="12" t="s">
        <x:v>528</x:v>
      </x:c>
      <x:c r="E362" s="12"/>
      <x:c r="F362" s="12" t="s">
        <x:v>35</x:v>
      </x:c>
      <x:c r="G362" s="18"/>
      <x:c r="H362" s="21" t="n">
        <x:f>IF(SUMIFS('İndirimler'!$C$2:$C$210,'İndirimler'!$A$2:$A$210,B362,'İndirimler'!$B$2:$B$210,C362)&gt;0,ROUND(G362*(1-SUMIFS('İndirimler'!$C$2:$C$210,'İndirimler'!$A$2:$A$210,B362,'İndirimler'!$B$2:$B$210,C362)),2),"")</x:f>
        <x:v>0</x:v>
      </x:c>
      <x:c r="I362" s="24" t="n">
        <x:f>IF(SUMIFS('İndirimler'!$D$2:$D$210,'İndirimler'!$A$2:$A$210,B362,'İndirimler'!$B$2:$B$210,C362)&gt;0,ROUND(G362*(1-SUMIFS('İndirimler'!$D$2:$D$210,'İndirimler'!$A$2:$A$210,B362,'İndirimler'!$B$2:$B$210,C362)),2),"")</x:f>
        <x:v>0</x:v>
      </x:c>
      <x:c r="J362" s="12"/>
      <x:c r="K362" s="31"/>
    </x:row>
    <x:row r="363" ht="21.950000762939453" customHeight="1">
      <x:c r="A363" s="15" t="s">
        <x:v>603</x:v>
      </x:c>
      <x:c r="B363" s="12" t="s">
        <x:v>18</x:v>
      </x:c>
      <x:c r="C363" s="12" t="s">
        <x:v>101</x:v>
      </x:c>
      <x:c r="D363" s="12" t="s">
        <x:v>528</x:v>
      </x:c>
      <x:c r="E363" s="12" t="s">
        <x:v>41</x:v>
      </x:c>
      <x:c r="F363" s="12" t="s">
        <x:v>42</x:v>
      </x:c>
      <x:c r="G363" s="18"/>
      <x:c r="H363" s="21" t="n">
        <x:f>IF(SUMIFS('İndirimler'!$C$2:$C$210,'İndirimler'!$A$2:$A$210,B363,'İndirimler'!$B$2:$B$210,C363)&gt;0,ROUND(G363*(1-SUMIFS('İndirimler'!$C$2:$C$210,'İndirimler'!$A$2:$A$210,B363,'İndirimler'!$B$2:$B$210,C363)),2),"")</x:f>
        <x:v>0</x:v>
      </x:c>
      <x:c r="I363" s="24" t="n">
        <x:f>IF(SUMIFS('İndirimler'!$D$2:$D$210,'İndirimler'!$A$2:$A$210,B363,'İndirimler'!$B$2:$B$210,C363)&gt;0,ROUND(G363*(1-SUMIFS('İndirimler'!$D$2:$D$210,'İndirimler'!$A$2:$A$210,B363,'İndirimler'!$B$2:$B$210,C363)),2),"")</x:f>
        <x:v>0</x:v>
      </x:c>
      <x:c r="J363" s="12"/>
      <x:c r="K363" s="31"/>
    </x:row>
    <x:row r="364" ht="21.950000762939453" customHeight="1">
      <x:c r="A364" s="15" t="s">
        <x:v>604</x:v>
      </x:c>
      <x:c r="B364" s="12" t="s">
        <x:v>72</x:v>
      </x:c>
      <x:c r="C364" s="12" t="s">
        <x:v>101</x:v>
      </x:c>
      <x:c r="D364" s="12" t="s">
        <x:v>528</x:v>
      </x:c>
      <x:c r="E364" s="12" t="s">
        <x:v>104</x:v>
      </x:c>
      <x:c r="F364" s="12" t="s">
        <x:v>42</x:v>
      </x:c>
      <x:c r="G364" s="18"/>
      <x:c r="H364" s="21" t="n">
        <x:f>IF(SUMIFS('İndirimler'!$C$2:$C$210,'İndirimler'!$A$2:$A$210,B364,'İndirimler'!$B$2:$B$210,C364)&gt;0,ROUND(G364*(1-SUMIFS('İndirimler'!$C$2:$C$210,'İndirimler'!$A$2:$A$210,B364,'İndirimler'!$B$2:$B$210,C364)),2),"")</x:f>
        <x:v>0</x:v>
      </x:c>
      <x:c r="I364" s="24" t="n">
        <x:f>IF(SUMIFS('İndirimler'!$D$2:$D$210,'İndirimler'!$A$2:$A$210,B364,'İndirimler'!$B$2:$B$210,C364)&gt;0,ROUND(G364*(1-SUMIFS('İndirimler'!$D$2:$D$210,'İndirimler'!$A$2:$A$210,B364,'İndirimler'!$B$2:$B$210,C364)),2),"")</x:f>
        <x:v>0</x:v>
      </x:c>
      <x:c r="J364" s="12"/>
      <x:c r="K364" s="31"/>
    </x:row>
    <x:row r="365" ht="21.950000762939453" customHeight="1">
      <x:c r="A365" s="15" t="s">
        <x:v>605</x:v>
      </x:c>
      <x:c r="B365" s="12" t="s">
        <x:v>23</x:v>
      </x:c>
      <x:c r="C365" s="12" t="s">
        <x:v>101</x:v>
      </x:c>
      <x:c r="D365" s="12" t="s">
        <x:v>528</x:v>
      </x:c>
      <x:c r="E365" s="12"/>
      <x:c r="F365" s="12" t="s">
        <x:v>42</x:v>
      </x:c>
      <x:c r="G365" s="18">
        <x:v>609</x:v>
      </x:c>
      <x:c r="H365" s="21" t="n">
        <x:f>IF(SUMIFS('İndirimler'!$C$2:$C$210,'İndirimler'!$A$2:$A$210,B365,'İndirimler'!$B$2:$B$210,C365)&gt;0,ROUND(G365*(1-SUMIFS('İndirimler'!$C$2:$C$210,'İndirimler'!$A$2:$A$210,B365,'İndirimler'!$B$2:$B$210,C365)),2),"")</x:f>
        <x:v>517.65</x:v>
      </x:c>
      <x:c r="I365" s="24" t="n">
        <x:f>IF(SUMIFS('İndirimler'!$D$2:$D$210,'İndirimler'!$A$2:$A$210,B365,'İndirimler'!$B$2:$B$210,C365)&gt;0,ROUND(G365*(1-SUMIFS('İndirimler'!$D$2:$D$210,'İndirimler'!$A$2:$A$210,B365,'İndirimler'!$B$2:$B$210,C365)),2),"")</x:f>
        <x:v>426.3</x:v>
      </x:c>
      <x:c r="J365" s="12"/>
      <x:c r="K365" s="31"/>
    </x:row>
    <x:row r="366" ht="21.950000762939453" customHeight="1">
      <x:c r="A366" s="15" t="s">
        <x:v>606</x:v>
      </x:c>
      <x:c r="B366" s="12" t="s">
        <x:v>50</x:v>
      </x:c>
      <x:c r="C366" s="12" t="s">
        <x:v>101</x:v>
      </x:c>
      <x:c r="D366" s="12" t="s">
        <x:v>528</x:v>
      </x:c>
      <x:c r="E366" s="12" t="s">
        <x:v>51</x:v>
      </x:c>
      <x:c r="F366" s="12" t="s">
        <x:v>42</x:v>
      </x:c>
      <x:c r="G366" s="18">
        <x:v>520</x:v>
      </x:c>
      <x:c r="H366" s="21" t="n">
        <x:f>IF(SUMIFS('İndirimler'!$C$2:$C$210,'İndirimler'!$A$2:$A$210,B366,'İndirimler'!$B$2:$B$210,C366)&gt;0,ROUND(G366*(1-SUMIFS('İndirimler'!$C$2:$C$210,'İndirimler'!$A$2:$A$210,B366,'İndirimler'!$B$2:$B$210,C366)),2),"")</x:f>
        <x:v>442</x:v>
      </x:c>
      <x:c r="I366" s="24" t="n">
        <x:f>IF(SUMIFS('İndirimler'!$D$2:$D$210,'İndirimler'!$A$2:$A$210,B366,'İndirimler'!$B$2:$B$210,C366)&gt;0,ROUND(G366*(1-SUMIFS('İndirimler'!$D$2:$D$210,'İndirimler'!$A$2:$A$210,B366,'İndirimler'!$B$2:$B$210,C366)),2),"")</x:f>
        <x:v>364</x:v>
      </x:c>
      <x:c r="J366" s="12"/>
      <x:c r="K366" s="31"/>
    </x:row>
    <x:row r="367" ht="21.950000762939453" customHeight="1">
      <x:c r="A367" s="15" t="s">
        <x:v>607</x:v>
      </x:c>
      <x:c r="B367" s="12" t="s">
        <x:v>55</x:v>
      </x:c>
      <x:c r="C367" s="12" t="s">
        <x:v>101</x:v>
      </x:c>
      <x:c r="D367" s="12" t="s">
        <x:v>528</x:v>
      </x:c>
      <x:c r="E367" s="12"/>
      <x:c r="F367" s="12" t="s">
        <x:v>16</x:v>
      </x:c>
      <x:c r="G367" s="18">
        <x:v>366</x:v>
      </x:c>
      <x:c r="H367" s="21" t="n">
        <x:f>IF(SUMIFS('İndirimler'!$C$2:$C$210,'İndirimler'!$A$2:$A$210,B367,'İndirimler'!$B$2:$B$210,C367)&gt;0,ROUND(G367*(1-SUMIFS('İndirimler'!$C$2:$C$210,'İndirimler'!$A$2:$A$210,B367,'İndirimler'!$B$2:$B$210,C367)),2),"")</x:f>
        <x:v>311.1</x:v>
      </x:c>
      <x:c r="I367" s="24" t="n">
        <x:f>IF(SUMIFS('İndirimler'!$D$2:$D$210,'İndirimler'!$A$2:$A$210,B367,'İndirimler'!$B$2:$B$210,C367)&gt;0,ROUND(G367*(1-SUMIFS('İndirimler'!$D$2:$D$210,'İndirimler'!$A$2:$A$210,B367,'İndirimler'!$B$2:$B$210,C367)),2),"")</x:f>
        <x:v>256.2</x:v>
      </x:c>
      <x:c r="J367" s="12"/>
      <x:c r="K367" s="31"/>
    </x:row>
    <x:row r="368" ht="21.950000762939453" customHeight="1">
      <x:c r="A368" s="15" t="s">
        <x:v>608</x:v>
      </x:c>
      <x:c r="B368" s="12" t="s">
        <x:v>138</x:v>
      </x:c>
      <x:c r="C368" s="12" t="s">
        <x:v>101</x:v>
      </x:c>
      <x:c r="D368" s="12" t="s">
        <x:v>528</x:v>
      </x:c>
      <x:c r="E368" s="12"/>
      <x:c r="F368" s="12" t="s">
        <x:v>16</x:v>
      </x:c>
      <x:c r="G368" s="18">
        <x:v>608</x:v>
      </x:c>
      <x:c r="H368" s="21" t="n">
        <x:f>IF(SUMIFS('İndirimler'!$C$2:$C$210,'İndirimler'!$A$2:$A$210,B368,'İndirimler'!$B$2:$B$210,C368)&gt;0,ROUND(G368*(1-SUMIFS('İndirimler'!$C$2:$C$210,'İndirimler'!$A$2:$A$210,B368,'İndirimler'!$B$2:$B$210,C368)),2),"")</x:f>
        <x:v>516.8</x:v>
      </x:c>
      <x:c r="I368" s="24" t="n">
        <x:f>IF(SUMIFS('İndirimler'!$D$2:$D$210,'İndirimler'!$A$2:$A$210,B368,'İndirimler'!$B$2:$B$210,C368)&gt;0,ROUND(G368*(1-SUMIFS('İndirimler'!$D$2:$D$210,'İndirimler'!$A$2:$A$210,B368,'İndirimler'!$B$2:$B$210,C368)),2),"")</x:f>
        <x:v>425.6</x:v>
      </x:c>
      <x:c r="J368" s="12"/>
      <x:c r="K368" s="31"/>
    </x:row>
    <x:row r="369" ht="21.950000762939453" customHeight="1">
      <x:c r="A369" s="15" t="s">
        <x:v>609</x:v>
      </x:c>
      <x:c r="B369" s="12" t="s">
        <x:v>18</x:v>
      </x:c>
      <x:c r="C369" s="12" t="s">
        <x:v>101</x:v>
      </x:c>
      <x:c r="D369" s="12" t="s">
        <x:v>528</x:v>
      </x:c>
      <x:c r="E369" s="12" t="s">
        <x:v>109</x:v>
      </x:c>
      <x:c r="F369" s="12" t="s">
        <x:v>16</x:v>
      </x:c>
      <x:c r="G369" s="18"/>
      <x:c r="H369" s="21" t="n">
        <x:f>IF(SUMIFS('İndirimler'!$C$2:$C$210,'İndirimler'!$A$2:$A$210,B369,'İndirimler'!$B$2:$B$210,C369)&gt;0,ROUND(G369*(1-SUMIFS('İndirimler'!$C$2:$C$210,'İndirimler'!$A$2:$A$210,B369,'İndirimler'!$B$2:$B$210,C369)),2),"")</x:f>
        <x:v>0</x:v>
      </x:c>
      <x:c r="I369" s="24" t="n">
        <x:f>IF(SUMIFS('İndirimler'!$D$2:$D$210,'İndirimler'!$A$2:$A$210,B369,'İndirimler'!$B$2:$B$210,C369)&gt;0,ROUND(G369*(1-SUMIFS('İndirimler'!$D$2:$D$210,'İndirimler'!$A$2:$A$210,B369,'İndirimler'!$B$2:$B$210,C369)),2),"")</x:f>
        <x:v>0</x:v>
      </x:c>
      <x:c r="J369" s="12"/>
      <x:c r="K369" s="31"/>
    </x:row>
    <x:row r="370" ht="21.950000762939453" customHeight="1">
      <x:c r="A370" s="15" t="s">
        <x:v>610</x:v>
      </x:c>
      <x:c r="B370" s="12" t="s">
        <x:v>534</x:v>
      </x:c>
      <x:c r="C370" s="12" t="s">
        <x:v>101</x:v>
      </x:c>
      <x:c r="D370" s="12" t="s">
        <x:v>528</x:v>
      </x:c>
      <x:c r="E370" s="12"/>
      <x:c r="F370" s="12" t="s">
        <x:v>16</x:v>
      </x:c>
      <x:c r="G370" s="18">
        <x:v>499</x:v>
      </x:c>
      <x:c r="H370" s="21" t="n">
        <x:f>IF(SUMIFS('İndirimler'!$C$2:$C$210,'İndirimler'!$A$2:$A$210,B370,'İndirimler'!$B$2:$B$210,C370)&gt;0,ROUND(G370*(1-SUMIFS('İndirimler'!$C$2:$C$210,'İndirimler'!$A$2:$A$210,B370,'İndirimler'!$B$2:$B$210,C370)),2),"")</x:f>
        <x:v>424.15</x:v>
      </x:c>
      <x:c r="I370" s="24" t="n">
        <x:f>IF(SUMIFS('İndirimler'!$D$2:$D$210,'İndirimler'!$A$2:$A$210,B370,'İndirimler'!$B$2:$B$210,C370)&gt;0,ROUND(G370*(1-SUMIFS('İndirimler'!$D$2:$D$210,'İndirimler'!$A$2:$A$210,B370,'İndirimler'!$B$2:$B$210,C370)),2),"")</x:f>
        <x:v>349.3</x:v>
      </x:c>
      <x:c r="J370" s="12" t="s">
        <x:v>611</x:v>
      </x:c>
      <x:c r="K370" s="31"/>
    </x:row>
    <x:row r="371" ht="21.950000762939453" customHeight="1">
      <x:c r="A371" s="15" t="s">
        <x:v>612</x:v>
      </x:c>
      <x:c r="B371" s="12" t="s">
        <x:v>63</x:v>
      </x:c>
      <x:c r="C371" s="12" t="s">
        <x:v>101</x:v>
      </x:c>
      <x:c r="D371" s="12" t="s">
        <x:v>528</x:v>
      </x:c>
      <x:c r="E371" s="12" t="s">
        <x:v>64</x:v>
      </x:c>
      <x:c r="F371" s="12" t="s">
        <x:v>16</x:v>
      </x:c>
      <x:c r="G371" s="18"/>
      <x:c r="H371" s="21" t="n">
        <x:f>IF(SUMIFS('İndirimler'!$C$2:$C$210,'İndirimler'!$A$2:$A$210,B371,'İndirimler'!$B$2:$B$210,C371)&gt;0,ROUND(G371*(1-SUMIFS('İndirimler'!$C$2:$C$210,'İndirimler'!$A$2:$A$210,B371,'İndirimler'!$B$2:$B$210,C371)),2),"")</x:f>
        <x:v>0</x:v>
      </x:c>
      <x:c r="I371" s="24" t="n">
        <x:f>IF(SUMIFS('İndirimler'!$D$2:$D$210,'İndirimler'!$A$2:$A$210,B371,'İndirimler'!$B$2:$B$210,C371)&gt;0,ROUND(G371*(1-SUMIFS('İndirimler'!$D$2:$D$210,'İndirimler'!$A$2:$A$210,B371,'İndirimler'!$B$2:$B$210,C371)),2),"")</x:f>
        <x:v>0</x:v>
      </x:c>
      <x:c r="J371" s="12" t="s">
        <x:v>613</x:v>
      </x:c>
      <x:c r="K371" s="31"/>
    </x:row>
    <x:row r="372" ht="21.950000762939453" customHeight="1">
      <x:c r="A372" s="15" t="s">
        <x:v>614</x:v>
      </x:c>
      <x:c r="B372" s="12" t="s">
        <x:v>23</x:v>
      </x:c>
      <x:c r="C372" s="12" t="s">
        <x:v>101</x:v>
      </x:c>
      <x:c r="D372" s="12" t="s">
        <x:v>528</x:v>
      </x:c>
      <x:c r="E372" s="12"/>
      <x:c r="F372" s="12" t="s">
        <x:v>16</x:v>
      </x:c>
      <x:c r="G372" s="18">
        <x:v>548</x:v>
      </x:c>
      <x:c r="H372" s="21" t="n">
        <x:f>IF(SUMIFS('İndirimler'!$C$2:$C$210,'İndirimler'!$A$2:$A$210,B372,'İndirimler'!$B$2:$B$210,C372)&gt;0,ROUND(G372*(1-SUMIFS('İndirimler'!$C$2:$C$210,'İndirimler'!$A$2:$A$210,B372,'İndirimler'!$B$2:$B$210,C372)),2),"")</x:f>
        <x:v>465.8</x:v>
      </x:c>
      <x:c r="I372" s="24" t="n">
        <x:f>IF(SUMIFS('İndirimler'!$D$2:$D$210,'İndirimler'!$A$2:$A$210,B372,'İndirimler'!$B$2:$B$210,C372)&gt;0,ROUND(G372*(1-SUMIFS('İndirimler'!$D$2:$D$210,'İndirimler'!$A$2:$A$210,B372,'İndirimler'!$B$2:$B$210,C372)),2),"")</x:f>
        <x:v>383.6</x:v>
      </x:c>
      <x:c r="J372" s="12"/>
      <x:c r="K372" s="31"/>
    </x:row>
    <x:row r="373" ht="21.950000762939453" customHeight="1">
      <x:c r="A373" s="15" t="s">
        <x:v>615</x:v>
      </x:c>
      <x:c r="B373" s="12" t="s">
        <x:v>50</x:v>
      </x:c>
      <x:c r="C373" s="12" t="s">
        <x:v>101</x:v>
      </x:c>
      <x:c r="D373" s="12" t="s">
        <x:v>528</x:v>
      </x:c>
      <x:c r="E373" s="12" t="s">
        <x:v>69</x:v>
      </x:c>
      <x:c r="F373" s="12" t="s">
        <x:v>16</x:v>
      </x:c>
      <x:c r="G373" s="18">
        <x:v>458</x:v>
      </x:c>
      <x:c r="H373" s="21" t="n">
        <x:f>IF(SUMIFS('İndirimler'!$C$2:$C$210,'İndirimler'!$A$2:$A$210,B373,'İndirimler'!$B$2:$B$210,C373)&gt;0,ROUND(G373*(1-SUMIFS('İndirimler'!$C$2:$C$210,'İndirimler'!$A$2:$A$210,B373,'İndirimler'!$B$2:$B$210,C373)),2),"")</x:f>
        <x:v>389.3</x:v>
      </x:c>
      <x:c r="I373" s="24" t="n">
        <x:f>IF(SUMIFS('İndirimler'!$D$2:$D$210,'İndirimler'!$A$2:$A$210,B373,'İndirimler'!$B$2:$B$210,C373)&gt;0,ROUND(G373*(1-SUMIFS('İndirimler'!$D$2:$D$210,'İndirimler'!$A$2:$A$210,B373,'İndirimler'!$B$2:$B$210,C373)),2),"")</x:f>
        <x:v>320.6</x:v>
      </x:c>
      <x:c r="J373" s="12"/>
      <x:c r="K373" s="31"/>
    </x:row>
    <x:row r="374" ht="21.950000762939453" customHeight="1">
      <x:c r="A374" s="15" t="s">
        <x:v>616</x:v>
      </x:c>
      <x:c r="B374" s="12" t="s">
        <x:v>564</x:v>
      </x:c>
      <x:c r="C374" s="12" t="s">
        <x:v>101</x:v>
      </x:c>
      <x:c r="D374" s="12" t="s">
        <x:v>528</x:v>
      </x:c>
      <x:c r="E374" s="12"/>
      <x:c r="F374" s="12" t="s">
        <x:v>16</x:v>
      </x:c>
      <x:c r="G374" s="18"/>
      <x:c r="H374" s="21" t="n">
        <x:f>IF(SUMIFS('İndirimler'!$C$2:$C$210,'İndirimler'!$A$2:$A$210,B374,'İndirimler'!$B$2:$B$210,C374)&gt;0,ROUND(G374*(1-SUMIFS('İndirimler'!$C$2:$C$210,'İndirimler'!$A$2:$A$210,B374,'İndirimler'!$B$2:$B$210,C374)),2),"")</x:f>
        <x:v>0</x:v>
      </x:c>
      <x:c r="I374" s="24" t="n">
        <x:f>IF(SUMIFS('İndirimler'!$D$2:$D$210,'İndirimler'!$A$2:$A$210,B374,'İndirimler'!$B$2:$B$210,C374)&gt;0,ROUND(G374*(1-SUMIFS('İndirimler'!$D$2:$D$210,'İndirimler'!$A$2:$A$210,B374,'İndirimler'!$B$2:$B$210,C374)),2),"")</x:f>
        <x:v>0</x:v>
      </x:c>
      <x:c r="J374" s="12"/>
      <x:c r="K374" s="31"/>
    </x:row>
    <x:row r="375" ht="21.950000762939453" customHeight="1">
      <x:c r="A375" s="15" t="s">
        <x:v>617</x:v>
      </x:c>
      <x:c r="B375" s="12" t="s">
        <x:v>38</x:v>
      </x:c>
      <x:c r="C375" s="12" t="s">
        <x:v>101</x:v>
      </x:c>
      <x:c r="D375" s="12" t="s">
        <x:v>528</x:v>
      </x:c>
      <x:c r="E375" s="12"/>
      <x:c r="F375" s="12" t="s">
        <x:v>16</x:v>
      </x:c>
      <x:c r="G375" s="18"/>
      <x:c r="H375" s="21" t="n">
        <x:f>IF(SUMIFS('İndirimler'!$C$2:$C$210,'İndirimler'!$A$2:$A$210,B375,'İndirimler'!$B$2:$B$210,C375)&gt;0,ROUND(G375*(1-SUMIFS('İndirimler'!$C$2:$C$210,'İndirimler'!$A$2:$A$210,B375,'İndirimler'!$B$2:$B$210,C375)),2),"")</x:f>
        <x:v>0</x:v>
      </x:c>
      <x:c r="I375" s="24" t="n">
        <x:f>IF(SUMIFS('İndirimler'!$D$2:$D$210,'İndirimler'!$A$2:$A$210,B375,'İndirimler'!$B$2:$B$210,C375)&gt;0,ROUND(G375*(1-SUMIFS('İndirimler'!$D$2:$D$210,'İndirimler'!$A$2:$A$210,B375,'İndirimler'!$B$2:$B$210,C375)),2),"")</x:f>
        <x:v>0</x:v>
      </x:c>
      <x:c r="J375" s="12"/>
      <x:c r="K375" s="31"/>
    </x:row>
    <x:row r="376" ht="21.950000762939453" customHeight="1">
      <x:c r="A376" s="15" t="s">
        <x:v>618</x:v>
      </x:c>
      <x:c r="B376" s="12" t="s">
        <x:v>72</x:v>
      </x:c>
      <x:c r="C376" s="12" t="s">
        <x:v>101</x:v>
      </x:c>
      <x:c r="D376" s="12" t="s">
        <x:v>528</x:v>
      </x:c>
      <x:c r="E376" s="12"/>
      <x:c r="F376" s="12" t="s">
        <x:v>73</x:v>
      </x:c>
      <x:c r="G376" s="18"/>
      <x:c r="H376" s="21" t="n">
        <x:f>IF(SUMIFS('İndirimler'!$C$2:$C$210,'İndirimler'!$A$2:$A$210,B376,'İndirimler'!$B$2:$B$210,C376)&gt;0,ROUND(G376*(1-SUMIFS('İndirimler'!$C$2:$C$210,'İndirimler'!$A$2:$A$210,B376,'İndirimler'!$B$2:$B$210,C376)),2),"")</x:f>
        <x:v>0</x:v>
      </x:c>
      <x:c r="I376" s="24" t="n">
        <x:f>IF(SUMIFS('İndirimler'!$D$2:$D$210,'İndirimler'!$A$2:$A$210,B376,'İndirimler'!$B$2:$B$210,C376)&gt;0,ROUND(G376*(1-SUMIFS('İndirimler'!$D$2:$D$210,'İndirimler'!$A$2:$A$210,B376,'İndirimler'!$B$2:$B$210,C376)),2),"")</x:f>
        <x:v>0</x:v>
      </x:c>
      <x:c r="J376" s="12"/>
      <x:c r="K376" s="31"/>
    </x:row>
    <x:row r="377" ht="21.950000762939453" customHeight="1">
      <x:c r="A377" s="15" t="s">
        <x:v>619</x:v>
      </x:c>
      <x:c r="B377" s="12" t="s">
        <x:v>38</x:v>
      </x:c>
      <x:c r="C377" s="12" t="s">
        <x:v>246</x:v>
      </x:c>
      <x:c r="D377" s="12" t="s">
        <x:v>528</x:v>
      </x:c>
      <x:c r="E377" s="12" t="s">
        <x:v>251</x:v>
      </x:c>
      <x:c r="F377" s="12" t="s">
        <x:v>35</x:v>
      </x:c>
      <x:c r="G377" s="18">
        <x:v>589</x:v>
      </x:c>
      <x:c r="H377" s="21" t="n">
        <x:f>IF(SUMIFS('İndirimler'!$C$2:$C$210,'İndirimler'!$A$2:$A$210,B377,'İndirimler'!$B$2:$B$210,C377)&gt;0,ROUND(G377*(1-SUMIFS('İndirimler'!$C$2:$C$210,'İndirimler'!$A$2:$A$210,B377,'İndirimler'!$B$2:$B$210,C377)),2),"")</x:f>
        <x:v>500.65</x:v>
      </x:c>
      <x:c r="I377" s="24" t="n">
        <x:f>IF(SUMIFS('İndirimler'!$D$2:$D$210,'İndirimler'!$A$2:$A$210,B377,'İndirimler'!$B$2:$B$210,C377)&gt;0,ROUND(G377*(1-SUMIFS('İndirimler'!$D$2:$D$210,'İndirimler'!$A$2:$A$210,B377,'İndirimler'!$B$2:$B$210,C377)),2),"")</x:f>
        <x:v>412.3</x:v>
      </x:c>
      <x:c r="J377" s="12" t="s">
        <x:v>620</x:v>
      </x:c>
      <x:c r="K377" s="31"/>
    </x:row>
    <x:row r="378" ht="21.950000762939453" customHeight="1">
      <x:c r="A378" s="15" t="s">
        <x:v>621</x:v>
      </x:c>
      <x:c r="B378" s="12" t="s">
        <x:v>38</x:v>
      </x:c>
      <x:c r="C378" s="12" t="s">
        <x:v>246</x:v>
      </x:c>
      <x:c r="D378" s="12" t="s">
        <x:v>528</x:v>
      </x:c>
      <x:c r="E378" s="12" t="s">
        <x:v>254</x:v>
      </x:c>
      <x:c r="F378" s="12" t="s">
        <x:v>35</x:v>
      </x:c>
      <x:c r="G378" s="18">
        <x:v>589</x:v>
      </x:c>
      <x:c r="H378" s="21" t="n">
        <x:f>IF(SUMIFS('İndirimler'!$C$2:$C$210,'İndirimler'!$A$2:$A$210,B378,'İndirimler'!$B$2:$B$210,C378)&gt;0,ROUND(G378*(1-SUMIFS('İndirimler'!$C$2:$C$210,'İndirimler'!$A$2:$A$210,B378,'İndirimler'!$B$2:$B$210,C378)),2),"")</x:f>
        <x:v>500.65</x:v>
      </x:c>
      <x:c r="I378" s="24" t="n">
        <x:f>IF(SUMIFS('İndirimler'!$D$2:$D$210,'İndirimler'!$A$2:$A$210,B378,'İndirimler'!$B$2:$B$210,C378)&gt;0,ROUND(G378*(1-SUMIFS('İndirimler'!$D$2:$D$210,'İndirimler'!$A$2:$A$210,B378,'İndirimler'!$B$2:$B$210,C378)),2),"")</x:f>
        <x:v>412.3</x:v>
      </x:c>
      <x:c r="J378" s="12" t="s">
        <x:v>622</x:v>
      </x:c>
      <x:c r="K378" s="31"/>
    </x:row>
    <x:row r="379" ht="21.950000762939453" customHeight="1">
      <x:c r="A379" s="15" t="s">
        <x:v>623</x:v>
      </x:c>
      <x:c r="B379" s="12" t="s">
        <x:v>50</x:v>
      </x:c>
      <x:c r="C379" s="12" t="s">
        <x:v>246</x:v>
      </x:c>
      <x:c r="D379" s="12" t="s">
        <x:v>528</x:v>
      </x:c>
      <x:c r="E379" s="12" t="s">
        <x:v>51</x:v>
      </x:c>
      <x:c r="F379" s="12" t="s">
        <x:v>42</x:v>
      </x:c>
      <x:c r="G379" s="18">
        <x:v>333</x:v>
      </x:c>
      <x:c r="H379" s="21" t="n">
        <x:f>IF(SUMIFS('İndirimler'!$C$2:$C$210,'İndirimler'!$A$2:$A$210,B379,'İndirimler'!$B$2:$B$210,C379)&gt;0,ROUND(G379*(1-SUMIFS('İndirimler'!$C$2:$C$210,'İndirimler'!$A$2:$A$210,B379,'İndirimler'!$B$2:$B$210,C379)),2),"")</x:f>
        <x:v>283.05</x:v>
      </x:c>
      <x:c r="I379" s="24" t="n">
        <x:f>IF(SUMIFS('İndirimler'!$D$2:$D$210,'İndirimler'!$A$2:$A$210,B379,'İndirimler'!$B$2:$B$210,C379)&gt;0,ROUND(G379*(1-SUMIFS('İndirimler'!$D$2:$D$210,'İndirimler'!$A$2:$A$210,B379,'İndirimler'!$B$2:$B$210,C379)),2),"")</x:f>
        <x:v>233.1</x:v>
      </x:c>
      <x:c r="J379" s="12"/>
      <x:c r="K379" s="31"/>
    </x:row>
    <x:row r="380" ht="21.950000762939453" customHeight="1">
      <x:c r="A380" s="15" t="s">
        <x:v>624</x:v>
      </x:c>
      <x:c r="B380" s="12" t="s">
        <x:v>534</x:v>
      </x:c>
      <x:c r="C380" s="12" t="s">
        <x:v>13</x:v>
      </x:c>
      <x:c r="D380" s="12" t="s">
        <x:v>528</x:v>
      </x:c>
      <x:c r="E380" s="12"/>
      <x:c r="F380" s="12" t="s">
        <x:v>42</x:v>
      </x:c>
      <x:c r="G380" s="18">
        <x:v>405</x:v>
      </x:c>
      <x:c r="H380" s="21" t="n">
        <x:f>IF(SUMIFS('İndirimler'!$C$2:$C$210,'İndirimler'!$A$2:$A$210,B380,'İndirimler'!$B$2:$B$210,C380)&gt;0,ROUND(G380*(1-SUMIFS('İndirimler'!$C$2:$C$210,'İndirimler'!$A$2:$A$210,B380,'İndirimler'!$B$2:$B$210,C380)),2),"")</x:f>
        <x:v>344.25</x:v>
      </x:c>
      <x:c r="I380" s="24" t="n">
        <x:f>IF(SUMIFS('İndirimler'!$D$2:$D$210,'İndirimler'!$A$2:$A$210,B380,'İndirimler'!$B$2:$B$210,C380)&gt;0,ROUND(G380*(1-SUMIFS('İndirimler'!$D$2:$D$210,'İndirimler'!$A$2:$A$210,B380,'İndirimler'!$B$2:$B$210,C380)),2),"")</x:f>
        <x:v>283.5</x:v>
      </x:c>
      <x:c r="J380" s="12"/>
      <x:c r="K380" s="31"/>
    </x:row>
    <x:row r="381" ht="21.950000762939453" customHeight="1">
      <x:c r="A381" s="15" t="s">
        <x:v>625</x:v>
      </x:c>
      <x:c r="B381" s="12" t="s">
        <x:v>138</x:v>
      </x:c>
      <x:c r="C381" s="12" t="s">
        <x:v>13</x:v>
      </x:c>
      <x:c r="D381" s="12" t="s">
        <x:v>528</x:v>
      </x:c>
      <x:c r="E381" s="12"/>
      <x:c r="F381" s="12" t="s">
        <x:v>16</x:v>
      </x:c>
      <x:c r="G381" s="18">
        <x:v>638</x:v>
      </x:c>
      <x:c r="H381" s="21" t="n">
        <x:f>IF(SUMIFS('İndirimler'!$C$2:$C$210,'İndirimler'!$A$2:$A$210,B381,'İndirimler'!$B$2:$B$210,C381)&gt;0,ROUND(G381*(1-SUMIFS('İndirimler'!$C$2:$C$210,'İndirimler'!$A$2:$A$210,B381,'İndirimler'!$B$2:$B$210,C381)),2),"")</x:f>
        <x:v>542.3</x:v>
      </x:c>
      <x:c r="I381" s="24" t="n">
        <x:f>IF(SUMIFS('İndirimler'!$D$2:$D$210,'İndirimler'!$A$2:$A$210,B381,'İndirimler'!$B$2:$B$210,C381)&gt;0,ROUND(G381*(1-SUMIFS('İndirimler'!$D$2:$D$210,'İndirimler'!$A$2:$A$210,B381,'İndirimler'!$B$2:$B$210,C381)),2),"")</x:f>
        <x:v>446.6</x:v>
      </x:c>
      <x:c r="J381" s="12"/>
      <x:c r="K381" s="31"/>
    </x:row>
    <x:row r="382" ht="21.950000762939453" customHeight="1">
      <x:c r="A382" s="15" t="s">
        <x:v>626</x:v>
      </x:c>
      <x:c r="B382" s="12" t="s">
        <x:v>18</x:v>
      </x:c>
      <x:c r="C382" s="12" t="s">
        <x:v>13</x:v>
      </x:c>
      <x:c r="D382" s="12" t="s">
        <x:v>528</x:v>
      </x:c>
      <x:c r="E382" s="12"/>
      <x:c r="F382" s="12" t="s">
        <x:v>16</x:v>
      </x:c>
      <x:c r="G382" s="18">
        <x:v>479</x:v>
      </x:c>
      <x:c r="H382" s="21" t="n">
        <x:f>IF(SUMIFS('İndirimler'!$C$2:$C$210,'İndirimler'!$A$2:$A$210,B382,'İndirimler'!$B$2:$B$210,C382)&gt;0,ROUND(G382*(1-SUMIFS('İndirimler'!$C$2:$C$210,'İndirimler'!$A$2:$A$210,B382,'İndirimler'!$B$2:$B$210,C382)),2),"")</x:f>
        <x:v>407.15</x:v>
      </x:c>
      <x:c r="I382" s="24" t="n">
        <x:f>IF(SUMIFS('İndirimler'!$D$2:$D$210,'İndirimler'!$A$2:$A$210,B382,'İndirimler'!$B$2:$B$210,C382)&gt;0,ROUND(G382*(1-SUMIFS('İndirimler'!$D$2:$D$210,'İndirimler'!$A$2:$A$210,B382,'İndirimler'!$B$2:$B$210,C382)),2),"")</x:f>
        <x:v>335.3</x:v>
      </x:c>
      <x:c r="J382" s="12" t="s">
        <x:v>627</x:v>
      </x:c>
      <x:c r="K382" s="31"/>
    </x:row>
    <x:row r="383" ht="21.950000762939453" customHeight="1">
      <x:c r="A383" s="15" t="s">
        <x:v>628</x:v>
      </x:c>
      <x:c r="B383" s="12" t="s">
        <x:v>534</x:v>
      </x:c>
      <x:c r="C383" s="12" t="s">
        <x:v>13</x:v>
      </x:c>
      <x:c r="D383" s="12" t="s">
        <x:v>528</x:v>
      </x:c>
      <x:c r="E383" s="12"/>
      <x:c r="F383" s="12" t="s">
        <x:v>16</x:v>
      </x:c>
      <x:c r="G383" s="18">
        <x:v>359</x:v>
      </x:c>
      <x:c r="H383" s="21" t="n">
        <x:f>IF(SUMIFS('İndirimler'!$C$2:$C$210,'İndirimler'!$A$2:$A$210,B383,'İndirimler'!$B$2:$B$210,C383)&gt;0,ROUND(G383*(1-SUMIFS('İndirimler'!$C$2:$C$210,'İndirimler'!$A$2:$A$210,B383,'İndirimler'!$B$2:$B$210,C383)),2),"")</x:f>
        <x:v>305.15</x:v>
      </x:c>
      <x:c r="I383" s="24" t="n">
        <x:f>IF(SUMIFS('İndirimler'!$D$2:$D$210,'İndirimler'!$A$2:$A$210,B383,'İndirimler'!$B$2:$B$210,C383)&gt;0,ROUND(G383*(1-SUMIFS('İndirimler'!$D$2:$D$210,'İndirimler'!$A$2:$A$210,B383,'İndirimler'!$B$2:$B$210,C383)),2),"")</x:f>
        <x:v>251.3</x:v>
      </x:c>
      <x:c r="J383" s="12"/>
      <x:c r="K383" s="31"/>
    </x:row>
    <x:row r="384" ht="21.950000762939453" customHeight="1">
      <x:c r="A384" s="15" t="s">
        <x:v>629</x:v>
      </x:c>
      <x:c r="B384" s="12" t="s">
        <x:v>23</x:v>
      </x:c>
      <x:c r="C384" s="12" t="s">
        <x:v>13</x:v>
      </x:c>
      <x:c r="D384" s="12" t="s">
        <x:v>528</x:v>
      </x:c>
      <x:c r="E384" s="12"/>
      <x:c r="F384" s="12" t="s">
        <x:v>16</x:v>
      </x:c>
      <x:c r="G384" s="18">
        <x:v>465</x:v>
      </x:c>
      <x:c r="H384" s="21" t="n">
        <x:f>IF(SUMIFS('İndirimler'!$C$2:$C$210,'İndirimler'!$A$2:$A$210,B384,'İndirimler'!$B$2:$B$210,C384)&gt;0,ROUND(G384*(1-SUMIFS('İndirimler'!$C$2:$C$210,'İndirimler'!$A$2:$A$210,B384,'İndirimler'!$B$2:$B$210,C384)),2),"")</x:f>
        <x:v>395.25</x:v>
      </x:c>
      <x:c r="I384" s="24" t="n">
        <x:f>IF(SUMIFS('İndirimler'!$D$2:$D$210,'İndirimler'!$A$2:$A$210,B384,'İndirimler'!$B$2:$B$210,C384)&gt;0,ROUND(G384*(1-SUMIFS('İndirimler'!$D$2:$D$210,'İndirimler'!$A$2:$A$210,B384,'İndirimler'!$B$2:$B$210,C384)),2),"")</x:f>
        <x:v>325.5</x:v>
      </x:c>
      <x:c r="J384" s="12"/>
      <x:c r="K384" s="31"/>
    </x:row>
    <x:row r="385" ht="21.950000762939453" customHeight="1">
      <x:c r="A385" s="15" t="s">
        <x:v>630</x:v>
      </x:c>
      <x:c r="B385" s="12" t="s">
        <x:v>50</x:v>
      </x:c>
      <x:c r="C385" s="12" t="s">
        <x:v>13</x:v>
      </x:c>
      <x:c r="D385" s="12" t="s">
        <x:v>528</x:v>
      </x:c>
      <x:c r="E385" s="12"/>
      <x:c r="F385" s="12" t="s">
        <x:v>16</x:v>
      </x:c>
      <x:c r="G385" s="18">
        <x:v>638</x:v>
      </x:c>
      <x:c r="H385" s="21" t="n">
        <x:f>IF(SUMIFS('İndirimler'!$C$2:$C$210,'İndirimler'!$A$2:$A$210,B385,'İndirimler'!$B$2:$B$210,C385)&gt;0,ROUND(G385*(1-SUMIFS('İndirimler'!$C$2:$C$210,'İndirimler'!$A$2:$A$210,B385,'İndirimler'!$B$2:$B$210,C385)),2),"")</x:f>
        <x:v>542.3</x:v>
      </x:c>
      <x:c r="I385" s="24" t="n">
        <x:f>IF(SUMIFS('İndirimler'!$D$2:$D$210,'İndirimler'!$A$2:$A$210,B385,'İndirimler'!$B$2:$B$210,C385)&gt;0,ROUND(G385*(1-SUMIFS('İndirimler'!$D$2:$D$210,'İndirimler'!$A$2:$A$210,B385,'İndirimler'!$B$2:$B$210,C385)),2),"")</x:f>
        <x:v>446.6</x:v>
      </x:c>
      <x:c r="J385" s="12"/>
      <x:c r="K385" s="31"/>
    </x:row>
    <x:row r="386" ht="21.950000762939453" customHeight="1">
      <x:c r="A386" s="15" t="s">
        <x:v>631</x:v>
      </x:c>
      <x:c r="B386" s="12" t="s">
        <x:v>38</x:v>
      </x:c>
      <x:c r="C386" s="12" t="s">
        <x:v>13</x:v>
      </x:c>
      <x:c r="D386" s="12" t="s">
        <x:v>528</x:v>
      </x:c>
      <x:c r="E386" s="12" t="s">
        <x:v>69</x:v>
      </x:c>
      <x:c r="F386" s="12" t="s">
        <x:v>16</x:v>
      </x:c>
      <x:c r="G386" s="18">
        <x:v>395</x:v>
      </x:c>
      <x:c r="H386" s="21" t="n">
        <x:f>IF(SUMIFS('İndirimler'!$C$2:$C$210,'İndirimler'!$A$2:$A$210,B386,'İndirimler'!$B$2:$B$210,C386)&gt;0,ROUND(G386*(1-SUMIFS('İndirimler'!$C$2:$C$210,'İndirimler'!$A$2:$A$210,B386,'İndirimler'!$B$2:$B$210,C386)),2),"")</x:f>
        <x:v>335.75</x:v>
      </x:c>
      <x:c r="I386" s="24" t="n">
        <x:f>IF(SUMIFS('İndirimler'!$D$2:$D$210,'İndirimler'!$A$2:$A$210,B386,'İndirimler'!$B$2:$B$210,C386)&gt;0,ROUND(G386*(1-SUMIFS('İndirimler'!$D$2:$D$210,'İndirimler'!$A$2:$A$210,B386,'İndirimler'!$B$2:$B$210,C386)),2),"")</x:f>
        <x:v>276.5</x:v>
      </x:c>
      <x:c r="J386" s="12"/>
      <x:c r="K386" s="31"/>
    </x:row>
    <x:row r="387" ht="21.950000762939453" customHeight="1">
      <x:c r="A387" s="15" t="s">
        <x:v>632</x:v>
      </x:c>
      <x:c r="B387" s="12" t="s">
        <x:v>32</x:v>
      </x:c>
      <x:c r="C387" s="12" t="s">
        <x:v>33</x:v>
      </x:c>
      <x:c r="D387" s="12" t="s">
        <x:v>633</x:v>
      </x:c>
      <x:c r="E387" s="12"/>
      <x:c r="F387" s="12" t="s">
        <x:v>35</x:v>
      </x:c>
      <x:c r="G387" s="18">
        <x:v>499</x:v>
      </x:c>
      <x:c r="H387" s="21" t="n">
        <x:f>IF(SUMIFS('İndirimler'!$C$2:$C$210,'İndirimler'!$A$2:$A$210,B387,'İndirimler'!$B$2:$B$210,C387)&gt;0,ROUND(G387*(1-SUMIFS('İndirimler'!$C$2:$C$210,'İndirimler'!$A$2:$A$210,B387,'İndirimler'!$B$2:$B$210,C387)),2),"")</x:f>
        <x:v>424.15</x:v>
      </x:c>
      <x:c r="I387" s="24" t="n">
        <x:f>IF(SUMIFS('İndirimler'!$D$2:$D$210,'İndirimler'!$A$2:$A$210,B387,'İndirimler'!$B$2:$B$210,C387)&gt;0,ROUND(G387*(1-SUMIFS('İndirimler'!$D$2:$D$210,'İndirimler'!$A$2:$A$210,B387,'İndirimler'!$B$2:$B$210,C387)),2),"")</x:f>
        <x:v>349.3</x:v>
      </x:c>
      <x:c r="J387" s="30" t="s">
        <x:v>634</x:v>
      </x:c>
      <x:c r="K387" s="31"/>
    </x:row>
    <x:row r="388" ht="21.950000762939453" customHeight="1">
      <x:c r="A388" s="15" t="s">
        <x:v>635</x:v>
      </x:c>
      <x:c r="B388" s="12" t="s">
        <x:v>38</x:v>
      </x:c>
      <x:c r="C388" s="12" t="s">
        <x:v>33</x:v>
      </x:c>
      <x:c r="D388" s="12" t="s">
        <x:v>633</x:v>
      </x:c>
      <x:c r="E388" s="12"/>
      <x:c r="F388" s="12" t="s">
        <x:v>35</x:v>
      </x:c>
      <x:c r="G388" s="18">
        <x:v>539</x:v>
      </x:c>
      <x:c r="H388" s="21" t="n">
        <x:f>IF(SUMIFS('İndirimler'!$C$2:$C$210,'İndirimler'!$A$2:$A$210,B388,'İndirimler'!$B$2:$B$210,C388)&gt;0,ROUND(G388*(1-SUMIFS('İndirimler'!$C$2:$C$210,'İndirimler'!$A$2:$A$210,B388,'İndirimler'!$B$2:$B$210,C388)),2),"")</x:f>
        <x:v>458.15</x:v>
      </x:c>
      <x:c r="I388" s="24" t="n">
        <x:f>IF(SUMIFS('İndirimler'!$D$2:$D$210,'İndirimler'!$A$2:$A$210,B388,'İndirimler'!$B$2:$B$210,C388)&gt;0,ROUND(G388*(1-SUMIFS('İndirimler'!$D$2:$D$210,'İndirimler'!$A$2:$A$210,B388,'İndirimler'!$B$2:$B$210,C388)),2),"")</x:f>
        <x:v>377.3</x:v>
      </x:c>
      <x:c r="J388" s="12" t="s">
        <x:v>636</x:v>
      </x:c>
      <x:c r="K388" s="31"/>
    </x:row>
    <x:row r="389" ht="21.950000762939453" customHeight="1">
      <x:c r="A389" s="15" t="s">
        <x:v>637</x:v>
      </x:c>
      <x:c r="B389" s="12" t="s">
        <x:v>44</x:v>
      </x:c>
      <x:c r="C389" s="12" t="s">
        <x:v>33</x:v>
      </x:c>
      <x:c r="D389" s="12" t="s">
        <x:v>633</x:v>
      </x:c>
      <x:c r="E389" s="12" t="s">
        <x:v>45</x:v>
      </x:c>
      <x:c r="F389" s="12" t="s">
        <x:v>42</x:v>
      </x:c>
      <x:c r="G389" s="18">
        <x:v>274</x:v>
      </x:c>
      <x:c r="H389" s="21" t="n">
        <x:f>IF(SUMIFS('İndirimler'!$C$2:$C$210,'İndirimler'!$A$2:$A$210,B389,'İndirimler'!$B$2:$B$210,C389)&gt;0,ROUND(G389*(1-SUMIFS('İndirimler'!$C$2:$C$210,'İndirimler'!$A$2:$A$210,B389,'İndirimler'!$B$2:$B$210,C389)),2),"")</x:f>
        <x:v>232.9</x:v>
      </x:c>
      <x:c r="I389" s="24" t="n">
        <x:f>IF(SUMIFS('İndirimler'!$D$2:$D$210,'İndirimler'!$A$2:$A$210,B389,'İndirimler'!$B$2:$B$210,C389)&gt;0,ROUND(G389*(1-SUMIFS('İndirimler'!$D$2:$D$210,'İndirimler'!$A$2:$A$210,B389,'İndirimler'!$B$2:$B$210,C389)),2),"")</x:f>
        <x:v>191.8</x:v>
      </x:c>
      <x:c r="J389" s="12" t="s">
        <x:v>638</x:v>
      </x:c>
      <x:c r="K389" s="31"/>
    </x:row>
    <x:row r="390" ht="21.950000762939453" customHeight="1">
      <x:c r="A390" s="15" t="s">
        <x:v>639</x:v>
      </x:c>
      <x:c r="B390" s="12" t="s">
        <x:v>23</x:v>
      </x:c>
      <x:c r="C390" s="12" t="s">
        <x:v>33</x:v>
      </x:c>
      <x:c r="D390" s="12" t="s">
        <x:v>633</x:v>
      </x:c>
      <x:c r="E390" s="12"/>
      <x:c r="F390" s="12" t="s">
        <x:v>42</x:v>
      </x:c>
      <x:c r="G390" s="18">
        <x:v>548</x:v>
      </x:c>
      <x:c r="H390" s="21" t="n">
        <x:f>IF(SUMIFS('İndirimler'!$C$2:$C$210,'İndirimler'!$A$2:$A$210,B390,'İndirimler'!$B$2:$B$210,C390)&gt;0,ROUND(G390*(1-SUMIFS('İndirimler'!$C$2:$C$210,'İndirimler'!$A$2:$A$210,B390,'İndirimler'!$B$2:$B$210,C390)),2),"")</x:f>
        <x:v>465.8</x:v>
      </x:c>
      <x:c r="I390" s="24" t="n">
        <x:f>IF(SUMIFS('İndirimler'!$D$2:$D$210,'İndirimler'!$A$2:$A$210,B390,'İndirimler'!$B$2:$B$210,C390)&gt;0,ROUND(G390*(1-SUMIFS('İndirimler'!$D$2:$D$210,'İndirimler'!$A$2:$A$210,B390,'İndirimler'!$B$2:$B$210,C390)),2),"")</x:f>
        <x:v>383.6</x:v>
      </x:c>
      <x:c r="J390" s="12" t="s">
        <x:v>640</x:v>
      </x:c>
      <x:c r="K390" s="31"/>
    </x:row>
    <x:row r="391" ht="21.950000762939453" customHeight="1">
      <x:c r="A391" s="15" t="s">
        <x:v>641</x:v>
      </x:c>
      <x:c r="B391" s="12" t="s">
        <x:v>55</x:v>
      </x:c>
      <x:c r="C391" s="12" t="s">
        <x:v>33</x:v>
      </x:c>
      <x:c r="D391" s="12" t="s">
        <x:v>633</x:v>
      </x:c>
      <x:c r="E391" s="12"/>
      <x:c r="F391" s="12" t="s">
        <x:v>16</x:v>
      </x:c>
      <x:c r="G391" s="18">
        <x:v>346</x:v>
      </x:c>
      <x:c r="H391" s="21" t="n">
        <x:f>IF(SUMIFS('İndirimler'!$C$2:$C$210,'İndirimler'!$A$2:$A$210,B391,'İndirimler'!$B$2:$B$210,C391)&gt;0,ROUND(G391*(1-SUMIFS('İndirimler'!$C$2:$C$210,'İndirimler'!$A$2:$A$210,B391,'İndirimler'!$B$2:$B$210,C391)),2),"")</x:f>
        <x:v>294.1</x:v>
      </x:c>
      <x:c r="I391" s="24" t="n">
        <x:f>IF(SUMIFS('İndirimler'!$D$2:$D$210,'İndirimler'!$A$2:$A$210,B391,'İndirimler'!$B$2:$B$210,C391)&gt;0,ROUND(G391*(1-SUMIFS('İndirimler'!$D$2:$D$210,'İndirimler'!$A$2:$A$210,B391,'İndirimler'!$B$2:$B$210,C391)),2),"")</x:f>
        <x:v>242.2</x:v>
      </x:c>
      <x:c r="J391" s="12" t="s">
        <x:v>642</x:v>
      </x:c>
      <x:c r="K391" s="31"/>
    </x:row>
    <x:row r="392" ht="21.950000762939453" customHeight="1">
      <x:c r="A392" s="15" t="s">
        <x:v>643</x:v>
      </x:c>
      <x:c r="B392" s="12" t="s">
        <x:v>644</x:v>
      </x:c>
      <x:c r="C392" s="12" t="s">
        <x:v>33</x:v>
      </x:c>
      <x:c r="D392" s="12" t="s">
        <x:v>633</x:v>
      </x:c>
      <x:c r="E392" s="12"/>
      <x:c r="F392" s="12" t="s">
        <x:v>16</x:v>
      </x:c>
      <x:c r="G392" s="18">
        <x:v>249</x:v>
      </x:c>
      <x:c r="H392" s="21" t="n">
        <x:f>IF(SUMIFS('İndirimler'!$C$2:$C$210,'İndirimler'!$A$2:$A$210,B392,'İndirimler'!$B$2:$B$210,C392)&gt;0,ROUND(G392*(1-SUMIFS('İndirimler'!$C$2:$C$210,'İndirimler'!$A$2:$A$210,B392,'İndirimler'!$B$2:$B$210,C392)),2),"")</x:f>
        <x:v>211.65</x:v>
      </x:c>
      <x:c r="I392" s="24" t="n">
        <x:f>IF(SUMIFS('İndirimler'!$D$2:$D$210,'İndirimler'!$A$2:$A$210,B392,'İndirimler'!$B$2:$B$210,C392)&gt;0,ROUND(G392*(1-SUMIFS('İndirimler'!$D$2:$D$210,'İndirimler'!$A$2:$A$210,B392,'İndirimler'!$B$2:$B$210,C392)),2),"")</x:f>
        <x:v>174.3</x:v>
      </x:c>
      <x:c r="J392" s="12"/>
      <x:c r="K392" s="31"/>
    </x:row>
    <x:row r="393" ht="21.950000762939453" customHeight="1">
      <x:c r="A393" s="15" t="s">
        <x:v>645</x:v>
      </x:c>
      <x:c r="B393" s="12" t="s">
        <x:v>18</x:v>
      </x:c>
      <x:c r="C393" s="12" t="s">
        <x:v>33</x:v>
      </x:c>
      <x:c r="D393" s="12" t="s">
        <x:v>633</x:v>
      </x:c>
      <x:c r="E393" s="12"/>
      <x:c r="F393" s="12" t="s">
        <x:v>16</x:v>
      </x:c>
      <x:c r="G393" s="18">
        <x:v>359</x:v>
      </x:c>
      <x:c r="H393" s="21" t="n">
        <x:f>IF(SUMIFS('İndirimler'!$C$2:$C$210,'İndirimler'!$A$2:$A$210,B393,'İndirimler'!$B$2:$B$210,C393)&gt;0,ROUND(G393*(1-SUMIFS('İndirimler'!$C$2:$C$210,'İndirimler'!$A$2:$A$210,B393,'İndirimler'!$B$2:$B$210,C393)),2),"")</x:f>
        <x:v>305.15</x:v>
      </x:c>
      <x:c r="I393" s="24" t="n">
        <x:f>IF(SUMIFS('İndirimler'!$D$2:$D$210,'İndirimler'!$A$2:$A$210,B393,'İndirimler'!$B$2:$B$210,C393)&gt;0,ROUND(G393*(1-SUMIFS('İndirimler'!$D$2:$D$210,'İndirimler'!$A$2:$A$210,B393,'İndirimler'!$B$2:$B$210,C393)),2),"")</x:f>
        <x:v>251.3</x:v>
      </x:c>
      <x:c r="J393" s="30" t="s">
        <x:v>646</x:v>
      </x:c>
      <x:c r="K393" s="31"/>
    </x:row>
    <x:row r="394" ht="21.950000762939453" customHeight="1">
      <x:c r="A394" s="15" t="s">
        <x:v>647</x:v>
      </x:c>
      <x:c r="B394" s="12" t="s">
        <x:v>44</x:v>
      </x:c>
      <x:c r="C394" s="12" t="s">
        <x:v>33</x:v>
      </x:c>
      <x:c r="D394" s="12" t="s">
        <x:v>633</x:v>
      </x:c>
      <x:c r="E394" s="12" t="s">
        <x:v>60</x:v>
      </x:c>
      <x:c r="F394" s="12" t="s">
        <x:v>16</x:v>
      </x:c>
      <x:c r="G394" s="18">
        <x:v>274</x:v>
      </x:c>
      <x:c r="H394" s="21" t="n">
        <x:f>IF(SUMIFS('İndirimler'!$C$2:$C$210,'İndirimler'!$A$2:$A$210,B394,'İndirimler'!$B$2:$B$210,C394)&gt;0,ROUND(G394*(1-SUMIFS('İndirimler'!$C$2:$C$210,'İndirimler'!$A$2:$A$210,B394,'İndirimler'!$B$2:$B$210,C394)),2),"")</x:f>
        <x:v>232.9</x:v>
      </x:c>
      <x:c r="I394" s="24" t="n">
        <x:f>IF(SUMIFS('İndirimler'!$D$2:$D$210,'İndirimler'!$A$2:$A$210,B394,'İndirimler'!$B$2:$B$210,C394)&gt;0,ROUND(G394*(1-SUMIFS('İndirimler'!$D$2:$D$210,'İndirimler'!$A$2:$A$210,B394,'İndirimler'!$B$2:$B$210,C394)),2),"")</x:f>
        <x:v>191.8</x:v>
      </x:c>
      <x:c r="J394" s="12" t="s">
        <x:v>648</x:v>
      </x:c>
      <x:c r="K394" s="31"/>
    </x:row>
    <x:row r="395" ht="21.950000762939453" customHeight="1">
      <x:c r="A395" s="15" t="s">
        <x:v>649</x:v>
      </x:c>
      <x:c r="B395" s="12" t="s">
        <x:v>63</x:v>
      </x:c>
      <x:c r="C395" s="12" t="s">
        <x:v>33</x:v>
      </x:c>
      <x:c r="D395" s="12" t="s">
        <x:v>633</x:v>
      </x:c>
      <x:c r="E395" s="12" t="s">
        <x:v>64</x:v>
      </x:c>
      <x:c r="F395" s="12" t="s">
        <x:v>16</x:v>
      </x:c>
      <x:c r="G395" s="18">
        <x:v>429</x:v>
      </x:c>
      <x:c r="H395" s="21" t="n">
        <x:f>IF(SUMIFS('İndirimler'!$C$2:$C$210,'İndirimler'!$A$2:$A$210,B395,'İndirimler'!$B$2:$B$210,C395)&gt;0,ROUND(G395*(1-SUMIFS('İndirimler'!$C$2:$C$210,'İndirimler'!$A$2:$A$210,B395,'İndirimler'!$B$2:$B$210,C395)),2),"")</x:f>
        <x:v>364.65</x:v>
      </x:c>
      <x:c r="I395" s="24" t="n">
        <x:f>IF(SUMIFS('İndirimler'!$D$2:$D$210,'İndirimler'!$A$2:$A$210,B395,'İndirimler'!$B$2:$B$210,C395)&gt;0,ROUND(G395*(1-SUMIFS('İndirimler'!$D$2:$D$210,'İndirimler'!$A$2:$A$210,B395,'İndirimler'!$B$2:$B$210,C395)),2),"")</x:f>
        <x:v>300.3</x:v>
      </x:c>
      <x:c r="J395" s="12" t="s">
        <x:v>650</x:v>
      </x:c>
      <x:c r="K395" s="31"/>
    </x:row>
    <x:row r="396" ht="21.950000762939453" customHeight="1">
      <x:c r="A396" s="15" t="s">
        <x:v>651</x:v>
      </x:c>
      <x:c r="B396" s="12" t="s">
        <x:v>23</x:v>
      </x:c>
      <x:c r="C396" s="12" t="s">
        <x:v>33</x:v>
      </x:c>
      <x:c r="D396" s="12" t="s">
        <x:v>633</x:v>
      </x:c>
      <x:c r="E396" s="12"/>
      <x:c r="F396" s="12" t="s">
        <x:v>16</x:v>
      </x:c>
      <x:c r="G396" s="18">
        <x:v>548</x:v>
      </x:c>
      <x:c r="H396" s="21" t="n">
        <x:f>IF(SUMIFS('İndirimler'!$C$2:$C$210,'İndirimler'!$A$2:$A$210,B396,'İndirimler'!$B$2:$B$210,C396)&gt;0,ROUND(G396*(1-SUMIFS('İndirimler'!$C$2:$C$210,'İndirimler'!$A$2:$A$210,B396,'İndirimler'!$B$2:$B$210,C396)),2),"")</x:f>
        <x:v>465.8</x:v>
      </x:c>
      <x:c r="I396" s="24" t="n">
        <x:f>IF(SUMIFS('İndirimler'!$D$2:$D$210,'İndirimler'!$A$2:$A$210,B396,'İndirimler'!$B$2:$B$210,C396)&gt;0,ROUND(G396*(1-SUMIFS('İndirimler'!$D$2:$D$210,'İndirimler'!$A$2:$A$210,B396,'İndirimler'!$B$2:$B$210,C396)),2),"")</x:f>
        <x:v>383.6</x:v>
      </x:c>
      <x:c r="J396" s="12" t="s">
        <x:v>652</x:v>
      </x:c>
      <x:c r="K396" s="31"/>
    </x:row>
    <x:row r="397" ht="21.950000762939453" customHeight="1">
      <x:c r="A397" s="15" t="s">
        <x:v>653</x:v>
      </x:c>
      <x:c r="B397" s="12" t="s">
        <x:v>50</x:v>
      </x:c>
      <x:c r="C397" s="12" t="s">
        <x:v>33</x:v>
      </x:c>
      <x:c r="D397" s="12" t="s">
        <x:v>633</x:v>
      </x:c>
      <x:c r="E397" s="12" t="s">
        <x:v>69</x:v>
      </x:c>
      <x:c r="F397" s="12" t="s">
        <x:v>16</x:v>
      </x:c>
      <x:c r="G397" s="18">
        <x:v>440</x:v>
      </x:c>
      <x:c r="H397" s="21" t="n">
        <x:f>IF(SUMIFS('İndirimler'!$C$2:$C$210,'İndirimler'!$A$2:$A$210,B397,'İndirimler'!$B$2:$B$210,C397)&gt;0,ROUND(G397*(1-SUMIFS('İndirimler'!$C$2:$C$210,'İndirimler'!$A$2:$A$210,B397,'İndirimler'!$B$2:$B$210,C397)),2),"")</x:f>
        <x:v>374</x:v>
      </x:c>
      <x:c r="I397" s="24" t="n">
        <x:f>IF(SUMIFS('İndirimler'!$D$2:$D$210,'İndirimler'!$A$2:$A$210,B397,'İndirimler'!$B$2:$B$210,C397)&gt;0,ROUND(G397*(1-SUMIFS('İndirimler'!$D$2:$D$210,'İndirimler'!$A$2:$A$210,B397,'İndirimler'!$B$2:$B$210,C397)),2),"")</x:f>
        <x:v>308</x:v>
      </x:c>
      <x:c r="J397" s="12"/>
      <x:c r="K397" s="31"/>
    </x:row>
    <x:row r="398" ht="21.950000762939453" customHeight="1">
      <x:c r="A398" s="15" t="s">
        <x:v>654</x:v>
      </x:c>
      <x:c r="B398" s="12" t="s">
        <x:v>38</x:v>
      </x:c>
      <x:c r="C398" s="12" t="s">
        <x:v>33</x:v>
      </x:c>
      <x:c r="D398" s="12" t="s">
        <x:v>633</x:v>
      </x:c>
      <x:c r="E398" s="12" t="s">
        <x:v>69</x:v>
      </x:c>
      <x:c r="F398" s="12" t="s">
        <x:v>16</x:v>
      </x:c>
      <x:c r="G398" s="18">
        <x:v>295</x:v>
      </x:c>
      <x:c r="H398" s="21" t="n">
        <x:f>IF(SUMIFS('İndirimler'!$C$2:$C$210,'İndirimler'!$A$2:$A$210,B398,'İndirimler'!$B$2:$B$210,C398)&gt;0,ROUND(G398*(1-SUMIFS('İndirimler'!$C$2:$C$210,'İndirimler'!$A$2:$A$210,B398,'İndirimler'!$B$2:$B$210,C398)),2),"")</x:f>
        <x:v>250.75</x:v>
      </x:c>
      <x:c r="I398" s="24" t="n">
        <x:f>IF(SUMIFS('İndirimler'!$D$2:$D$210,'İndirimler'!$A$2:$A$210,B398,'İndirimler'!$B$2:$B$210,C398)&gt;0,ROUND(G398*(1-SUMIFS('İndirimler'!$D$2:$D$210,'İndirimler'!$A$2:$A$210,B398,'İndirimler'!$B$2:$B$210,C398)),2),"")</x:f>
        <x:v>206.5</x:v>
      </x:c>
      <x:c r="J398" s="12"/>
      <x:c r="K398" s="31"/>
    </x:row>
    <x:row r="399" ht="21.950000762939453" customHeight="1">
      <x:c r="A399" s="15" t="s">
        <x:v>655</x:v>
      </x:c>
      <x:c r="B399" s="12" t="s">
        <x:v>72</x:v>
      </x:c>
      <x:c r="C399" s="12" t="s">
        <x:v>33</x:v>
      </x:c>
      <x:c r="D399" s="12" t="s">
        <x:v>633</x:v>
      </x:c>
      <x:c r="E399" s="12"/>
      <x:c r="F399" s="12" t="s">
        <x:v>73</x:v>
      </x:c>
      <x:c r="G399" s="18">
        <x:v>479</x:v>
      </x:c>
      <x:c r="H399" s="21" t="n">
        <x:f>IF(SUMIFS('İndirimler'!$C$2:$C$210,'İndirimler'!$A$2:$A$210,B399,'İndirimler'!$B$2:$B$210,C399)&gt;0,ROUND(G399*(1-SUMIFS('İndirimler'!$C$2:$C$210,'İndirimler'!$A$2:$A$210,B399,'İndirimler'!$B$2:$B$210,C399)),2),"")</x:f>
        <x:v>407.15</x:v>
      </x:c>
      <x:c r="I399" s="24" t="n">
        <x:f>IF(SUMIFS('İndirimler'!$D$2:$D$210,'İndirimler'!$A$2:$A$210,B399,'İndirimler'!$B$2:$B$210,C399)&gt;0,ROUND(G399*(1-SUMIFS('İndirimler'!$D$2:$D$210,'İndirimler'!$A$2:$A$210,B399,'İndirimler'!$B$2:$B$210,C399)),2),"")</x:f>
        <x:v>335.3</x:v>
      </x:c>
      <x:c r="J399" s="12"/>
      <x:c r="K399" s="31"/>
    </x:row>
    <x:row r="400" ht="21.950000762939453" customHeight="1">
      <x:c r="A400" s="15" t="s">
        <x:v>656</x:v>
      </x:c>
      <x:c r="B400" s="12" t="s">
        <x:v>38</x:v>
      </x:c>
      <x:c r="C400" s="12" t="s">
        <x:v>76</x:v>
      </x:c>
      <x:c r="D400" s="12" t="s">
        <x:v>633</x:v>
      </x:c>
      <x:c r="E400" s="12"/>
      <x:c r="F400" s="12" t="s">
        <x:v>35</x:v>
      </x:c>
      <x:c r="G400" s="18">
        <x:v>779</x:v>
      </x:c>
      <x:c r="H400" s="21" t="n">
        <x:f>IF(SUMIFS('İndirimler'!$C$2:$C$210,'İndirimler'!$A$2:$A$210,B400,'İndirimler'!$B$2:$B$210,C400)&gt;0,ROUND(G400*(1-SUMIFS('İndirimler'!$C$2:$C$210,'İndirimler'!$A$2:$A$210,B400,'İndirimler'!$B$2:$B$210,C400)),2),"")</x:f>
        <x:v>662.15</x:v>
      </x:c>
      <x:c r="I400" s="24" t="n">
        <x:f>IF(SUMIFS('İndirimler'!$D$2:$D$210,'İndirimler'!$A$2:$A$210,B400,'İndirimler'!$B$2:$B$210,C400)&gt;0,ROUND(G400*(1-SUMIFS('İndirimler'!$D$2:$D$210,'İndirimler'!$A$2:$A$210,B400,'İndirimler'!$B$2:$B$210,C400)),2),"")</x:f>
        <x:v>545.3</x:v>
      </x:c>
      <x:c r="J400" s="12" t="s">
        <x:v>657</x:v>
      </x:c>
      <x:c r="K400" s="31"/>
    </x:row>
    <x:row r="401" ht="21.950000762939453" customHeight="1">
      <x:c r="A401" s="15" t="s">
        <x:v>658</x:v>
      </x:c>
      <x:c r="B401" s="12" t="s">
        <x:v>44</x:v>
      </x:c>
      <x:c r="C401" s="12" t="s">
        <x:v>76</x:v>
      </x:c>
      <x:c r="D401" s="12" t="s">
        <x:v>633</x:v>
      </x:c>
      <x:c r="E401" s="12" t="s">
        <x:v>45</x:v>
      </x:c>
      <x:c r="F401" s="12" t="s">
        <x:v>42</x:v>
      </x:c>
      <x:c r="G401" s="18">
        <x:v>274</x:v>
      </x:c>
      <x:c r="H401" s="21" t="n">
        <x:f>IF(SUMIFS('İndirimler'!$C$2:$C$210,'İndirimler'!$A$2:$A$210,B401,'İndirimler'!$B$2:$B$210,C401)&gt;0,ROUND(G401*(1-SUMIFS('İndirimler'!$C$2:$C$210,'İndirimler'!$A$2:$A$210,B401,'İndirimler'!$B$2:$B$210,C401)),2),"")</x:f>
        <x:v>232.9</x:v>
      </x:c>
      <x:c r="I401" s="24" t="n">
        <x:f>IF(SUMIFS('İndirimler'!$D$2:$D$210,'İndirimler'!$A$2:$A$210,B401,'İndirimler'!$B$2:$B$210,C401)&gt;0,ROUND(G401*(1-SUMIFS('İndirimler'!$D$2:$D$210,'İndirimler'!$A$2:$A$210,B401,'İndirimler'!$B$2:$B$210,C401)),2),"")</x:f>
        <x:v>191.8</x:v>
      </x:c>
      <x:c r="J401" s="12" t="s">
        <x:v>659</x:v>
      </x:c>
      <x:c r="K401" s="31"/>
    </x:row>
    <x:row r="402" ht="21.950000762939453" customHeight="1">
      <x:c r="A402" s="15" t="s">
        <x:v>660</x:v>
      </x:c>
      <x:c r="B402" s="12" t="s">
        <x:v>23</x:v>
      </x:c>
      <x:c r="C402" s="12" t="s">
        <x:v>76</x:v>
      </x:c>
      <x:c r="D402" s="12" t="s">
        <x:v>633</x:v>
      </x:c>
      <x:c r="E402" s="12"/>
      <x:c r="F402" s="12" t="s">
        <x:v>42</x:v>
      </x:c>
      <x:c r="G402" s="18">
        <x:v>608</x:v>
      </x:c>
      <x:c r="H402" s="21" t="n">
        <x:f>IF(SUMIFS('İndirimler'!$C$2:$C$210,'İndirimler'!$A$2:$A$210,B402,'İndirimler'!$B$2:$B$210,C402)&gt;0,ROUND(G402*(1-SUMIFS('İndirimler'!$C$2:$C$210,'İndirimler'!$A$2:$A$210,B402,'İndirimler'!$B$2:$B$210,C402)),2),"")</x:f>
        <x:v>516.8</x:v>
      </x:c>
      <x:c r="I402" s="24" t="n">
        <x:f>IF(SUMIFS('İndirimler'!$D$2:$D$210,'İndirimler'!$A$2:$A$210,B402,'İndirimler'!$B$2:$B$210,C402)&gt;0,ROUND(G402*(1-SUMIFS('İndirimler'!$D$2:$D$210,'İndirimler'!$A$2:$A$210,B402,'İndirimler'!$B$2:$B$210,C402)),2),"")</x:f>
        <x:v>425.6</x:v>
      </x:c>
      <x:c r="J402" s="12" t="s">
        <x:v>661</x:v>
      </x:c>
      <x:c r="K402" s="31"/>
    </x:row>
    <x:row r="403" ht="21.950000762939453" customHeight="1">
      <x:c r="A403" s="15" t="s">
        <x:v>662</x:v>
      </x:c>
      <x:c r="B403" s="12" t="s">
        <x:v>55</x:v>
      </x:c>
      <x:c r="C403" s="12" t="s">
        <x:v>76</x:v>
      </x:c>
      <x:c r="D403" s="12" t="s">
        <x:v>633</x:v>
      </x:c>
      <x:c r="E403" s="12"/>
      <x:c r="F403" s="12" t="s">
        <x:v>16</x:v>
      </x:c>
      <x:c r="G403" s="18">
        <x:v>366</x:v>
      </x:c>
      <x:c r="H403" s="21" t="n">
        <x:f>IF(SUMIFS('İndirimler'!$C$2:$C$210,'İndirimler'!$A$2:$A$210,B403,'İndirimler'!$B$2:$B$210,C403)&gt;0,ROUND(G403*(1-SUMIFS('İndirimler'!$C$2:$C$210,'İndirimler'!$A$2:$A$210,B403,'İndirimler'!$B$2:$B$210,C403)),2),"")</x:f>
        <x:v>311.1</x:v>
      </x:c>
      <x:c r="I403" s="24" t="n">
        <x:f>IF(SUMIFS('İndirimler'!$D$2:$D$210,'İndirimler'!$A$2:$A$210,B403,'İndirimler'!$B$2:$B$210,C403)&gt;0,ROUND(G403*(1-SUMIFS('İndirimler'!$D$2:$D$210,'İndirimler'!$A$2:$A$210,B403,'İndirimler'!$B$2:$B$210,C403)),2),"")</x:f>
        <x:v>256.2</x:v>
      </x:c>
      <x:c r="J403" s="12" t="s">
        <x:v>663</x:v>
      </x:c>
      <x:c r="K403" s="31"/>
    </x:row>
    <x:row r="404" ht="21.950000762939453" customHeight="1">
      <x:c r="A404" s="15" t="s">
        <x:v>664</x:v>
      </x:c>
      <x:c r="B404" s="12" t="s">
        <x:v>644</x:v>
      </x:c>
      <x:c r="C404" s="12" t="s">
        <x:v>76</x:v>
      </x:c>
      <x:c r="D404" s="12" t="s">
        <x:v>633</x:v>
      </x:c>
      <x:c r="E404" s="12"/>
      <x:c r="F404" s="12" t="s">
        <x:v>16</x:v>
      </x:c>
      <x:c r="G404" s="18">
        <x:v>295</x:v>
      </x:c>
      <x:c r="H404" s="21" t="n">
        <x:f>IF(SUMIFS('İndirimler'!$C$2:$C$210,'İndirimler'!$A$2:$A$210,B404,'İndirimler'!$B$2:$B$210,C404)&gt;0,ROUND(G404*(1-SUMIFS('İndirimler'!$C$2:$C$210,'İndirimler'!$A$2:$A$210,B404,'İndirimler'!$B$2:$B$210,C404)),2),"")</x:f>
        <x:v>250.75</x:v>
      </x:c>
      <x:c r="I404" s="24" t="n">
        <x:f>IF(SUMIFS('İndirimler'!$D$2:$D$210,'İndirimler'!$A$2:$A$210,B404,'İndirimler'!$B$2:$B$210,C404)&gt;0,ROUND(G404*(1-SUMIFS('İndirimler'!$D$2:$D$210,'İndirimler'!$A$2:$A$210,B404,'İndirimler'!$B$2:$B$210,C404)),2),"")</x:f>
        <x:v>206.5</x:v>
      </x:c>
      <x:c r="J404" s="12"/>
      <x:c r="K404" s="31"/>
    </x:row>
    <x:row r="405" ht="21.950000762939453" customHeight="1">
      <x:c r="A405" s="15" t="s">
        <x:v>665</x:v>
      </x:c>
      <x:c r="B405" s="12" t="s">
        <x:v>18</x:v>
      </x:c>
      <x:c r="C405" s="12" t="s">
        <x:v>76</x:v>
      </x:c>
      <x:c r="D405" s="12" t="s">
        <x:v>633</x:v>
      </x:c>
      <x:c r="E405" s="12"/>
      <x:c r="F405" s="12" t="s">
        <x:v>16</x:v>
      </x:c>
      <x:c r="G405" s="18">
        <x:v>385</x:v>
      </x:c>
      <x:c r="H405" s="21" t="n">
        <x:f>IF(SUMIFS('İndirimler'!$C$2:$C$210,'İndirimler'!$A$2:$A$210,B405,'İndirimler'!$B$2:$B$210,C405)&gt;0,ROUND(G405*(1-SUMIFS('İndirimler'!$C$2:$C$210,'İndirimler'!$A$2:$A$210,B405,'İndirimler'!$B$2:$B$210,C405)),2),"")</x:f>
        <x:v>327.25</x:v>
      </x:c>
      <x:c r="I405" s="24" t="n">
        <x:f>IF(SUMIFS('İndirimler'!$D$2:$D$210,'İndirimler'!$A$2:$A$210,B405,'İndirimler'!$B$2:$B$210,C405)&gt;0,ROUND(G405*(1-SUMIFS('İndirimler'!$D$2:$D$210,'İndirimler'!$A$2:$A$210,B405,'İndirimler'!$B$2:$B$210,C405)),2),"")</x:f>
        <x:v>269.5</x:v>
      </x:c>
      <x:c r="J405" s="30" t="s">
        <x:v>666</x:v>
      </x:c>
      <x:c r="K405" s="31"/>
    </x:row>
    <x:row r="406" ht="21.950000762939453" customHeight="1">
      <x:c r="A406" s="15" t="s">
        <x:v>667</x:v>
      </x:c>
      <x:c r="B406" s="12" t="s">
        <x:v>44</x:v>
      </x:c>
      <x:c r="C406" s="12" t="s">
        <x:v>76</x:v>
      </x:c>
      <x:c r="D406" s="12" t="s">
        <x:v>633</x:v>
      </x:c>
      <x:c r="E406" s="12" t="s">
        <x:v>60</x:v>
      </x:c>
      <x:c r="F406" s="12" t="s">
        <x:v>16</x:v>
      </x:c>
      <x:c r="G406" s="18">
        <x:v>274</x:v>
      </x:c>
      <x:c r="H406" s="21" t="n">
        <x:f>IF(SUMIFS('İndirimler'!$C$2:$C$210,'İndirimler'!$A$2:$A$210,B406,'İndirimler'!$B$2:$B$210,C406)&gt;0,ROUND(G406*(1-SUMIFS('İndirimler'!$C$2:$C$210,'İndirimler'!$A$2:$A$210,B406,'İndirimler'!$B$2:$B$210,C406)),2),"")</x:f>
        <x:v>232.9</x:v>
      </x:c>
      <x:c r="I406" s="24" t="n">
        <x:f>IF(SUMIFS('İndirimler'!$D$2:$D$210,'İndirimler'!$A$2:$A$210,B406,'İndirimler'!$B$2:$B$210,C406)&gt;0,ROUND(G406*(1-SUMIFS('İndirimler'!$D$2:$D$210,'İndirimler'!$A$2:$A$210,B406,'İndirimler'!$B$2:$B$210,C406)),2),"")</x:f>
        <x:v>191.8</x:v>
      </x:c>
      <x:c r="J406" s="12" t="s">
        <x:v>668</x:v>
      </x:c>
      <x:c r="K406" s="31"/>
    </x:row>
    <x:row r="407" ht="21.950000762939453" customHeight="1">
      <x:c r="A407" s="15" t="s">
        <x:v>669</x:v>
      </x:c>
      <x:c r="B407" s="12" t="s">
        <x:v>63</x:v>
      </x:c>
      <x:c r="C407" s="12" t="s">
        <x:v>76</x:v>
      </x:c>
      <x:c r="D407" s="12" t="s">
        <x:v>633</x:v>
      </x:c>
      <x:c r="E407" s="12" t="s">
        <x:v>64</x:v>
      </x:c>
      <x:c r="F407" s="12" t="s">
        <x:v>16</x:v>
      </x:c>
      <x:c r="G407" s="18">
        <x:v>429</x:v>
      </x:c>
      <x:c r="H407" s="21" t="n">
        <x:f>IF(SUMIFS('İndirimler'!$C$2:$C$210,'İndirimler'!$A$2:$A$210,B407,'İndirimler'!$B$2:$B$210,C407)&gt;0,ROUND(G407*(1-SUMIFS('İndirimler'!$C$2:$C$210,'İndirimler'!$A$2:$A$210,B407,'İndirimler'!$B$2:$B$210,C407)),2),"")</x:f>
        <x:v>364.65</x:v>
      </x:c>
      <x:c r="I407" s="24" t="n">
        <x:f>IF(SUMIFS('İndirimler'!$D$2:$D$210,'İndirimler'!$A$2:$A$210,B407,'İndirimler'!$B$2:$B$210,C407)&gt;0,ROUND(G407*(1-SUMIFS('İndirimler'!$D$2:$D$210,'İndirimler'!$A$2:$A$210,B407,'İndirimler'!$B$2:$B$210,C407)),2),"")</x:f>
        <x:v>300.3</x:v>
      </x:c>
      <x:c r="J407" s="12" t="s">
        <x:v>670</x:v>
      </x:c>
      <x:c r="K407" s="31"/>
    </x:row>
    <x:row r="408" ht="21.950000762939453" customHeight="1">
      <x:c r="A408" s="15" t="s">
        <x:v>671</x:v>
      </x:c>
      <x:c r="B408" s="12" t="s">
        <x:v>23</x:v>
      </x:c>
      <x:c r="C408" s="12" t="s">
        <x:v>76</x:v>
      </x:c>
      <x:c r="D408" s="12" t="s">
        <x:v>633</x:v>
      </x:c>
      <x:c r="E408" s="12"/>
      <x:c r="F408" s="12" t="s">
        <x:v>16</x:v>
      </x:c>
      <x:c r="G408" s="18">
        <x:v>619</x:v>
      </x:c>
      <x:c r="H408" s="21" t="n">
        <x:f>IF(SUMIFS('İndirimler'!$C$2:$C$210,'İndirimler'!$A$2:$A$210,B408,'İndirimler'!$B$2:$B$210,C408)&gt;0,ROUND(G408*(1-SUMIFS('İndirimler'!$C$2:$C$210,'İndirimler'!$A$2:$A$210,B408,'İndirimler'!$B$2:$B$210,C408)),2),"")</x:f>
        <x:v>526.15</x:v>
      </x:c>
      <x:c r="I408" s="24" t="n">
        <x:f>IF(SUMIFS('İndirimler'!$D$2:$D$210,'İndirimler'!$A$2:$A$210,B408,'İndirimler'!$B$2:$B$210,C408)&gt;0,ROUND(G408*(1-SUMIFS('İndirimler'!$D$2:$D$210,'İndirimler'!$A$2:$A$210,B408,'İndirimler'!$B$2:$B$210,C408)),2),"")</x:f>
        <x:v>433.3</x:v>
      </x:c>
      <x:c r="J408" s="12" t="s">
        <x:v>672</x:v>
      </x:c>
      <x:c r="K408" s="31"/>
    </x:row>
    <x:row r="409" ht="21.950000762939453" customHeight="1">
      <x:c r="A409" s="15" t="s">
        <x:v>673</x:v>
      </x:c>
      <x:c r="B409" s="12" t="s">
        <x:v>50</x:v>
      </x:c>
      <x:c r="C409" s="12" t="s">
        <x:v>76</x:v>
      </x:c>
      <x:c r="D409" s="12" t="s">
        <x:v>633</x:v>
      </x:c>
      <x:c r="E409" s="12" t="s">
        <x:v>69</x:v>
      </x:c>
      <x:c r="F409" s="12" t="s">
        <x:v>16</x:v>
      </x:c>
      <x:c r="G409" s="18">
        <x:v>634</x:v>
      </x:c>
      <x:c r="H409" s="21" t="n">
        <x:f>IF(SUMIFS('İndirimler'!$C$2:$C$210,'İndirimler'!$A$2:$A$210,B409,'İndirimler'!$B$2:$B$210,C409)&gt;0,ROUND(G409*(1-SUMIFS('İndirimler'!$C$2:$C$210,'İndirimler'!$A$2:$A$210,B409,'İndirimler'!$B$2:$B$210,C409)),2),"")</x:f>
        <x:v>538.9</x:v>
      </x:c>
      <x:c r="I409" s="24" t="n">
        <x:f>IF(SUMIFS('İndirimler'!$D$2:$D$210,'İndirimler'!$A$2:$A$210,B409,'İndirimler'!$B$2:$B$210,C409)&gt;0,ROUND(G409*(1-SUMIFS('İndirimler'!$D$2:$D$210,'İndirimler'!$A$2:$A$210,B409,'İndirimler'!$B$2:$B$210,C409)),2),"")</x:f>
        <x:v>443.8</x:v>
      </x:c>
      <x:c r="J409" s="12"/>
      <x:c r="K409" s="31"/>
    </x:row>
    <x:row r="410" ht="21.950000762939453" customHeight="1">
      <x:c r="A410" s="15" t="s">
        <x:v>674</x:v>
      </x:c>
      <x:c r="B410" s="12" t="s">
        <x:v>38</x:v>
      </x:c>
      <x:c r="C410" s="12" t="s">
        <x:v>76</x:v>
      </x:c>
      <x:c r="D410" s="12" t="s">
        <x:v>633</x:v>
      </x:c>
      <x:c r="E410" s="12" t="s">
        <x:v>69</x:v>
      </x:c>
      <x:c r="F410" s="12" t="s">
        <x:v>16</x:v>
      </x:c>
      <x:c r="G410" s="18">
        <x:v>295</x:v>
      </x:c>
      <x:c r="H410" s="21" t="n">
        <x:f>IF(SUMIFS('İndirimler'!$C$2:$C$210,'İndirimler'!$A$2:$A$210,B410,'İndirimler'!$B$2:$B$210,C410)&gt;0,ROUND(G410*(1-SUMIFS('İndirimler'!$C$2:$C$210,'İndirimler'!$A$2:$A$210,B410,'İndirimler'!$B$2:$B$210,C410)),2),"")</x:f>
        <x:v>250.75</x:v>
      </x:c>
      <x:c r="I410" s="24" t="n">
        <x:f>IF(SUMIFS('İndirimler'!$D$2:$D$210,'İndirimler'!$A$2:$A$210,B410,'İndirimler'!$B$2:$B$210,C410)&gt;0,ROUND(G410*(1-SUMIFS('İndirimler'!$D$2:$D$210,'İndirimler'!$A$2:$A$210,B410,'İndirimler'!$B$2:$B$210,C410)),2),"")</x:f>
        <x:v>206.5</x:v>
      </x:c>
      <x:c r="J410" s="12" t="s">
        <x:v>675</x:v>
      </x:c>
      <x:c r="K410" s="31"/>
    </x:row>
    <x:row r="411" ht="21.950000762939453" customHeight="1">
      <x:c r="A411" s="15" t="s">
        <x:v>676</x:v>
      </x:c>
      <x:c r="B411" s="12" t="s">
        <x:v>72</x:v>
      </x:c>
      <x:c r="C411" s="12" t="s">
        <x:v>76</x:v>
      </x:c>
      <x:c r="D411" s="12" t="s">
        <x:v>633</x:v>
      </x:c>
      <x:c r="E411" s="12"/>
      <x:c r="F411" s="12" t="s">
        <x:v>73</x:v>
      </x:c>
      <x:c r="G411" s="18">
        <x:v>385</x:v>
      </x:c>
      <x:c r="H411" s="21" t="n">
        <x:f>IF(SUMIFS('İndirimler'!$C$2:$C$210,'İndirimler'!$A$2:$A$210,B411,'İndirimler'!$B$2:$B$210,C411)&gt;0,ROUND(G411*(1-SUMIFS('İndirimler'!$C$2:$C$210,'İndirimler'!$A$2:$A$210,B411,'İndirimler'!$B$2:$B$210,C411)),2),"")</x:f>
        <x:v>327.25</x:v>
      </x:c>
      <x:c r="I411" s="24" t="n">
        <x:f>IF(SUMIFS('İndirimler'!$D$2:$D$210,'İndirimler'!$A$2:$A$210,B411,'İndirimler'!$B$2:$B$210,C411)&gt;0,ROUND(G411*(1-SUMIFS('İndirimler'!$D$2:$D$210,'İndirimler'!$A$2:$A$210,B411,'İndirimler'!$B$2:$B$210,C411)),2),"")</x:f>
        <x:v>269.5</x:v>
      </x:c>
      <x:c r="J411" s="12"/>
      <x:c r="K411" s="31"/>
    </x:row>
    <x:row r="412" ht="21.950000762939453" customHeight="1">
      <x:c r="A412" s="15" t="s">
        <x:v>677</x:v>
      </x:c>
      <x:c r="B412" s="12" t="s">
        <x:v>38</x:v>
      </x:c>
      <x:c r="C412" s="12" t="s">
        <x:v>101</x:v>
      </x:c>
      <x:c r="D412" s="12" t="s">
        <x:v>633</x:v>
      </x:c>
      <x:c r="E412" s="12"/>
      <x:c r="F412" s="12" t="s">
        <x:v>35</x:v>
      </x:c>
      <x:c r="G412" s="18"/>
      <x:c r="H412" s="21" t="n">
        <x:f>IF(SUMIFS('İndirimler'!$C$2:$C$210,'İndirimler'!$A$2:$A$210,B412,'İndirimler'!$B$2:$B$210,C412)&gt;0,ROUND(G412*(1-SUMIFS('İndirimler'!$C$2:$C$210,'İndirimler'!$A$2:$A$210,B412,'İndirimler'!$B$2:$B$210,C412)),2),"")</x:f>
        <x:v>0</x:v>
      </x:c>
      <x:c r="I412" s="24" t="n">
        <x:f>IF(SUMIFS('İndirimler'!$D$2:$D$210,'İndirimler'!$A$2:$A$210,B412,'İndirimler'!$B$2:$B$210,C412)&gt;0,ROUND(G412*(1-SUMIFS('İndirimler'!$D$2:$D$210,'İndirimler'!$A$2:$A$210,B412,'İndirimler'!$B$2:$B$210,C412)),2),"")</x:f>
        <x:v>0</x:v>
      </x:c>
      <x:c r="J412" s="12"/>
      <x:c r="K412" s="31"/>
    </x:row>
    <x:row r="413" ht="21.950000762939453" customHeight="1">
      <x:c r="A413" s="15" t="s">
        <x:v>678</x:v>
      </x:c>
      <x:c r="B413" s="12" t="s">
        <x:v>72</x:v>
      </x:c>
      <x:c r="C413" s="12" t="s">
        <x:v>101</x:v>
      </x:c>
      <x:c r="D413" s="12" t="s">
        <x:v>633</x:v>
      </x:c>
      <x:c r="E413" s="12" t="s">
        <x:v>104</x:v>
      </x:c>
      <x:c r="F413" s="12" t="s">
        <x:v>42</x:v>
      </x:c>
      <x:c r="G413" s="18"/>
      <x:c r="H413" s="21" t="n">
        <x:f>IF(SUMIFS('İndirimler'!$C$2:$C$210,'İndirimler'!$A$2:$A$210,B413,'İndirimler'!$B$2:$B$210,C413)&gt;0,ROUND(G413*(1-SUMIFS('İndirimler'!$C$2:$C$210,'İndirimler'!$A$2:$A$210,B413,'İndirimler'!$B$2:$B$210,C413)),2),"")</x:f>
        <x:v>0</x:v>
      </x:c>
      <x:c r="I413" s="24" t="n">
        <x:f>IF(SUMIFS('İndirimler'!$D$2:$D$210,'İndirimler'!$A$2:$A$210,B413,'İndirimler'!$B$2:$B$210,C413)&gt;0,ROUND(G413*(1-SUMIFS('İndirimler'!$D$2:$D$210,'İndirimler'!$A$2:$A$210,B413,'İndirimler'!$B$2:$B$210,C413)),2),"")</x:f>
        <x:v>0</x:v>
      </x:c>
      <x:c r="J413" s="12"/>
      <x:c r="K413" s="31"/>
    </x:row>
    <x:row r="414" ht="21.950000762939453" customHeight="1">
      <x:c r="A414" s="15" t="s">
        <x:v>679</x:v>
      </x:c>
      <x:c r="B414" s="12" t="s">
        <x:v>23</x:v>
      </x:c>
      <x:c r="C414" s="12" t="s">
        <x:v>101</x:v>
      </x:c>
      <x:c r="D414" s="12" t="s">
        <x:v>633</x:v>
      </x:c>
      <x:c r="E414" s="12"/>
      <x:c r="F414" s="12" t="s">
        <x:v>42</x:v>
      </x:c>
      <x:c r="G414" s="18">
        <x:v>610</x:v>
      </x:c>
      <x:c r="H414" s="21" t="n">
        <x:f>IF(SUMIFS('İndirimler'!$C$2:$C$210,'İndirimler'!$A$2:$A$210,B414,'İndirimler'!$B$2:$B$210,C414)&gt;0,ROUND(G414*(1-SUMIFS('İndirimler'!$C$2:$C$210,'İndirimler'!$A$2:$A$210,B414,'İndirimler'!$B$2:$B$210,C414)),2),"")</x:f>
        <x:v>518.5</x:v>
      </x:c>
      <x:c r="I414" s="24" t="n">
        <x:f>IF(SUMIFS('İndirimler'!$D$2:$D$210,'İndirimler'!$A$2:$A$210,B414,'İndirimler'!$B$2:$B$210,C414)&gt;0,ROUND(G414*(1-SUMIFS('İndirimler'!$D$2:$D$210,'İndirimler'!$A$2:$A$210,B414,'İndirimler'!$B$2:$B$210,C414)),2),"")</x:f>
        <x:v>427</x:v>
      </x:c>
      <x:c r="J414" s="12"/>
      <x:c r="K414" s="31"/>
    </x:row>
    <x:row r="415" ht="21.950000762939453" customHeight="1">
      <x:c r="A415" s="15" t="s">
        <x:v>680</x:v>
      </x:c>
      <x:c r="B415" s="12" t="s">
        <x:v>55</x:v>
      </x:c>
      <x:c r="C415" s="12" t="s">
        <x:v>101</x:v>
      </x:c>
      <x:c r="D415" s="12" t="s">
        <x:v>633</x:v>
      </x:c>
      <x:c r="E415" s="12"/>
      <x:c r="F415" s="12" t="s">
        <x:v>16</x:v>
      </x:c>
      <x:c r="G415" s="18">
        <x:v>346</x:v>
      </x:c>
      <x:c r="H415" s="21" t="n">
        <x:f>IF(SUMIFS('İndirimler'!$C$2:$C$210,'İndirimler'!$A$2:$A$210,B415,'İndirimler'!$B$2:$B$210,C415)&gt;0,ROUND(G415*(1-SUMIFS('İndirimler'!$C$2:$C$210,'İndirimler'!$A$2:$A$210,B415,'İndirimler'!$B$2:$B$210,C415)),2),"")</x:f>
        <x:v>294.1</x:v>
      </x:c>
      <x:c r="I415" s="24" t="n">
        <x:f>IF(SUMIFS('İndirimler'!$D$2:$D$210,'İndirimler'!$A$2:$A$210,B415,'İndirimler'!$B$2:$B$210,C415)&gt;0,ROUND(G415*(1-SUMIFS('İndirimler'!$D$2:$D$210,'İndirimler'!$A$2:$A$210,B415,'İndirimler'!$B$2:$B$210,C415)),2),"")</x:f>
        <x:v>242.2</x:v>
      </x:c>
      <x:c r="J415" s="12"/>
      <x:c r="K415" s="31"/>
    </x:row>
    <x:row r="416" ht="21.950000762939453" customHeight="1">
      <x:c r="A416" s="15" t="s">
        <x:v>681</x:v>
      </x:c>
      <x:c r="B416" s="12" t="s">
        <x:v>644</x:v>
      </x:c>
      <x:c r="C416" s="12" t="s">
        <x:v>101</x:v>
      </x:c>
      <x:c r="D416" s="12" t="s">
        <x:v>633</x:v>
      </x:c>
      <x:c r="E416" s="12"/>
      <x:c r="F416" s="12" t="s">
        <x:v>16</x:v>
      </x:c>
      <x:c r="G416" s="18"/>
      <x:c r="H416" s="21" t="n">
        <x:f>IF(SUMIFS('İndirimler'!$C$2:$C$210,'İndirimler'!$A$2:$A$210,B416,'İndirimler'!$B$2:$B$210,C416)&gt;0,ROUND(G416*(1-SUMIFS('İndirimler'!$C$2:$C$210,'İndirimler'!$A$2:$A$210,B416,'İndirimler'!$B$2:$B$210,C416)),2),"")</x:f>
        <x:v>0</x:v>
      </x:c>
      <x:c r="I416" s="24" t="n">
        <x:f>IF(SUMIFS('İndirimler'!$D$2:$D$210,'İndirimler'!$A$2:$A$210,B416,'İndirimler'!$B$2:$B$210,C416)&gt;0,ROUND(G416*(1-SUMIFS('İndirimler'!$D$2:$D$210,'İndirimler'!$A$2:$A$210,B416,'İndirimler'!$B$2:$B$210,C416)),2),"")</x:f>
        <x:v>0</x:v>
      </x:c>
      <x:c r="J416" s="12"/>
      <x:c r="K416" s="31"/>
    </x:row>
    <x:row r="417" ht="21.950000762939453" customHeight="1">
      <x:c r="A417" s="15" t="s">
        <x:v>682</x:v>
      </x:c>
      <x:c r="B417" s="12" t="s">
        <x:v>18</x:v>
      </x:c>
      <x:c r="C417" s="12" t="s">
        <x:v>101</x:v>
      </x:c>
      <x:c r="D417" s="12" t="s">
        <x:v>633</x:v>
      </x:c>
      <x:c r="E417" s="12"/>
      <x:c r="F417" s="12" t="s">
        <x:v>16</x:v>
      </x:c>
      <x:c r="G417" s="18"/>
      <x:c r="H417" s="21" t="n">
        <x:f>IF(SUMIFS('İndirimler'!$C$2:$C$210,'İndirimler'!$A$2:$A$210,B417,'İndirimler'!$B$2:$B$210,C417)&gt;0,ROUND(G417*(1-SUMIFS('İndirimler'!$C$2:$C$210,'İndirimler'!$A$2:$A$210,B417,'İndirimler'!$B$2:$B$210,C417)),2),"")</x:f>
        <x:v>0</x:v>
      </x:c>
      <x:c r="I417" s="24" t="n">
        <x:f>IF(SUMIFS('İndirimler'!$D$2:$D$210,'İndirimler'!$A$2:$A$210,B417,'İndirimler'!$B$2:$B$210,C417)&gt;0,ROUND(G417*(1-SUMIFS('İndirimler'!$D$2:$D$210,'İndirimler'!$A$2:$A$210,B417,'İndirimler'!$B$2:$B$210,C417)),2),"")</x:f>
        <x:v>0</x:v>
      </x:c>
      <x:c r="J417" s="12"/>
      <x:c r="K417" s="31"/>
    </x:row>
    <x:row r="418" ht="21.950000762939453" customHeight="1">
      <x:c r="A418" s="15" t="s">
        <x:v>683</x:v>
      </x:c>
      <x:c r="B418" s="12" t="s">
        <x:v>63</x:v>
      </x:c>
      <x:c r="C418" s="12" t="s">
        <x:v>101</x:v>
      </x:c>
      <x:c r="D418" s="12" t="s">
        <x:v>633</x:v>
      </x:c>
      <x:c r="E418" s="12" t="s">
        <x:v>64</x:v>
      </x:c>
      <x:c r="F418" s="12" t="s">
        <x:v>16</x:v>
      </x:c>
      <x:c r="G418" s="18"/>
      <x:c r="H418" s="21" t="n">
        <x:f>IF(SUMIFS('İndirimler'!$C$2:$C$210,'İndirimler'!$A$2:$A$210,B418,'İndirimler'!$B$2:$B$210,C418)&gt;0,ROUND(G418*(1-SUMIFS('İndirimler'!$C$2:$C$210,'İndirimler'!$A$2:$A$210,B418,'İndirimler'!$B$2:$B$210,C418)),2),"")</x:f>
        <x:v>0</x:v>
      </x:c>
      <x:c r="I418" s="24" t="n">
        <x:f>IF(SUMIFS('İndirimler'!$D$2:$D$210,'İndirimler'!$A$2:$A$210,B418,'İndirimler'!$B$2:$B$210,C418)&gt;0,ROUND(G418*(1-SUMIFS('İndirimler'!$D$2:$D$210,'İndirimler'!$A$2:$A$210,B418,'İndirimler'!$B$2:$B$210,C418)),2),"")</x:f>
        <x:v>0</x:v>
      </x:c>
      <x:c r="J418" s="12" t="s">
        <x:v>684</x:v>
      </x:c>
      <x:c r="K418" s="31"/>
    </x:row>
    <x:row r="419" ht="21.950000762939453" customHeight="1">
      <x:c r="A419" s="15" t="s">
        <x:v>685</x:v>
      </x:c>
      <x:c r="B419" s="12" t="s">
        <x:v>23</x:v>
      </x:c>
      <x:c r="C419" s="12" t="s">
        <x:v>101</x:v>
      </x:c>
      <x:c r="D419" s="12" t="s">
        <x:v>633</x:v>
      </x:c>
      <x:c r="E419" s="12"/>
      <x:c r="F419" s="12" t="s">
        <x:v>16</x:v>
      </x:c>
      <x:c r="G419" s="18">
        <x:v>580</x:v>
      </x:c>
      <x:c r="H419" s="21" t="n">
        <x:f>IF(SUMIFS('İndirimler'!$C$2:$C$210,'İndirimler'!$A$2:$A$210,B419,'İndirimler'!$B$2:$B$210,C419)&gt;0,ROUND(G419*(1-SUMIFS('İndirimler'!$C$2:$C$210,'İndirimler'!$A$2:$A$210,B419,'İndirimler'!$B$2:$B$210,C419)),2),"")</x:f>
        <x:v>493</x:v>
      </x:c>
      <x:c r="I419" s="24" t="n">
        <x:f>IF(SUMIFS('İndirimler'!$D$2:$D$210,'İndirimler'!$A$2:$A$210,B419,'İndirimler'!$B$2:$B$210,C419)&gt;0,ROUND(G419*(1-SUMIFS('İndirimler'!$D$2:$D$210,'İndirimler'!$A$2:$A$210,B419,'İndirimler'!$B$2:$B$210,C419)),2),"")</x:f>
        <x:v>406</x:v>
      </x:c>
      <x:c r="J419" s="12"/>
      <x:c r="K419" s="31"/>
    </x:row>
    <x:row r="420" ht="21.950000762939453" customHeight="1">
      <x:c r="A420" s="15" t="s">
        <x:v>686</x:v>
      </x:c>
      <x:c r="B420" s="12" t="s">
        <x:v>50</x:v>
      </x:c>
      <x:c r="C420" s="12" t="s">
        <x:v>101</x:v>
      </x:c>
      <x:c r="D420" s="12" t="s">
        <x:v>633</x:v>
      </x:c>
      <x:c r="E420" s="12" t="s">
        <x:v>69</x:v>
      </x:c>
      <x:c r="F420" s="12" t="s">
        <x:v>16</x:v>
      </x:c>
      <x:c r="G420" s="18">
        <x:v>510</x:v>
      </x:c>
      <x:c r="H420" s="21" t="n">
        <x:f>IF(SUMIFS('İndirimler'!$C$2:$C$210,'İndirimler'!$A$2:$A$210,B420,'İndirimler'!$B$2:$B$210,C420)&gt;0,ROUND(G420*(1-SUMIFS('İndirimler'!$C$2:$C$210,'İndirimler'!$A$2:$A$210,B420,'İndirimler'!$B$2:$B$210,C420)),2),"")</x:f>
        <x:v>433.5</x:v>
      </x:c>
      <x:c r="I420" s="24" t="n">
        <x:f>IF(SUMIFS('İndirimler'!$D$2:$D$210,'İndirimler'!$A$2:$A$210,B420,'İndirimler'!$B$2:$B$210,C420)&gt;0,ROUND(G420*(1-SUMIFS('İndirimler'!$D$2:$D$210,'İndirimler'!$A$2:$A$210,B420,'İndirimler'!$B$2:$B$210,C420)),2),"")</x:f>
        <x:v>357</x:v>
      </x:c>
      <x:c r="J420" s="12"/>
      <x:c r="K420" s="31"/>
    </x:row>
    <x:row r="421" ht="21.950000762939453" customHeight="1">
      <x:c r="A421" s="15" t="s">
        <x:v>687</x:v>
      </x:c>
      <x:c r="B421" s="12" t="s">
        <x:v>38</x:v>
      </x:c>
      <x:c r="C421" s="12" t="s">
        <x:v>101</x:v>
      </x:c>
      <x:c r="D421" s="12" t="s">
        <x:v>633</x:v>
      </x:c>
      <x:c r="E421" s="12"/>
      <x:c r="F421" s="12" t="s">
        <x:v>16</x:v>
      </x:c>
      <x:c r="G421" s="18"/>
      <x:c r="H421" s="21" t="n">
        <x:f>IF(SUMIFS('İndirimler'!$C$2:$C$210,'İndirimler'!$A$2:$A$210,B421,'İndirimler'!$B$2:$B$210,C421)&gt;0,ROUND(G421*(1-SUMIFS('İndirimler'!$C$2:$C$210,'İndirimler'!$A$2:$A$210,B421,'İndirimler'!$B$2:$B$210,C421)),2),"")</x:f>
        <x:v>0</x:v>
      </x:c>
      <x:c r="I421" s="24" t="n">
        <x:f>IF(SUMIFS('İndirimler'!$D$2:$D$210,'İndirimler'!$A$2:$A$210,B421,'İndirimler'!$B$2:$B$210,C421)&gt;0,ROUND(G421*(1-SUMIFS('İndirimler'!$D$2:$D$210,'İndirimler'!$A$2:$A$210,B421,'İndirimler'!$B$2:$B$210,C421)),2),"")</x:f>
        <x:v>0</x:v>
      </x:c>
      <x:c r="J421" s="12"/>
      <x:c r="K421" s="31"/>
    </x:row>
    <x:row r="422" ht="21.950000762939453" customHeight="1">
      <x:c r="A422" s="15" t="s">
        <x:v>688</x:v>
      </x:c>
      <x:c r="B422" s="12" t="s">
        <x:v>72</x:v>
      </x:c>
      <x:c r="C422" s="12" t="s">
        <x:v>101</x:v>
      </x:c>
      <x:c r="D422" s="12" t="s">
        <x:v>633</x:v>
      </x:c>
      <x:c r="E422" s="12"/>
      <x:c r="F422" s="12" t="s">
        <x:v>73</x:v>
      </x:c>
      <x:c r="G422" s="18"/>
      <x:c r="H422" s="21" t="n">
        <x:f>IF(SUMIFS('İndirimler'!$C$2:$C$210,'İndirimler'!$A$2:$A$210,B422,'İndirimler'!$B$2:$B$210,C422)&gt;0,ROUND(G422*(1-SUMIFS('İndirimler'!$C$2:$C$210,'İndirimler'!$A$2:$A$210,B422,'İndirimler'!$B$2:$B$210,C422)),2),"")</x:f>
        <x:v>0</x:v>
      </x:c>
      <x:c r="I422" s="24" t="n">
        <x:f>IF(SUMIFS('İndirimler'!$D$2:$D$210,'İndirimler'!$A$2:$A$210,B422,'İndirimler'!$B$2:$B$210,C422)&gt;0,ROUND(G422*(1-SUMIFS('İndirimler'!$D$2:$D$210,'İndirimler'!$A$2:$A$210,B422,'İndirimler'!$B$2:$B$210,C422)),2),"")</x:f>
        <x:v>0</x:v>
      </x:c>
      <x:c r="J422" s="12"/>
      <x:c r="K422" s="31"/>
    </x:row>
    <x:row r="423" ht="21.950000762939453" customHeight="1">
      <x:c r="A423" s="15" t="s">
        <x:v>689</x:v>
      </x:c>
      <x:c r="B423" s="12" t="s">
        <x:v>18</x:v>
      </x:c>
      <x:c r="C423" s="12" t="s">
        <x:v>13</x:v>
      </x:c>
      <x:c r="D423" s="12" t="s">
        <x:v>633</x:v>
      </x:c>
      <x:c r="E423" s="12"/>
      <x:c r="F423" s="12" t="s">
        <x:v>16</x:v>
      </x:c>
      <x:c r="G423" s="18">
        <x:v>429</x:v>
      </x:c>
      <x:c r="H423" s="21" t="n">
        <x:f>IF(SUMIFS('İndirimler'!$C$2:$C$210,'İndirimler'!$A$2:$A$210,B423,'İndirimler'!$B$2:$B$210,C423)&gt;0,ROUND(G423*(1-SUMIFS('İndirimler'!$C$2:$C$210,'İndirimler'!$A$2:$A$210,B423,'İndirimler'!$B$2:$B$210,C423)),2),"")</x:f>
        <x:v>364.65</x:v>
      </x:c>
      <x:c r="I423" s="24" t="n">
        <x:f>IF(SUMIFS('İndirimler'!$D$2:$D$210,'İndirimler'!$A$2:$A$210,B423,'İndirimler'!$B$2:$B$210,C423)&gt;0,ROUND(G423*(1-SUMIFS('İndirimler'!$D$2:$D$210,'İndirimler'!$A$2:$A$210,B423,'İndirimler'!$B$2:$B$210,C423)),2),"")</x:f>
        <x:v>300.3</x:v>
      </x:c>
      <x:c r="J423" s="12" t="s">
        <x:v>690</x:v>
      </x:c>
      <x:c r="K423" s="31"/>
    </x:row>
    <x:row r="424" ht="21.950000762939453" customHeight="1">
      <x:c r="A424" s="15" t="s">
        <x:v>691</x:v>
      </x:c>
      <x:c r="B424" s="12" t="s">
        <x:v>23</x:v>
      </x:c>
      <x:c r="C424" s="12" t="s">
        <x:v>13</x:v>
      </x:c>
      <x:c r="D424" s="12" t="s">
        <x:v>633</x:v>
      </x:c>
      <x:c r="E424" s="12"/>
      <x:c r="F424" s="12" t="s">
        <x:v>16</x:v>
      </x:c>
      <x:c r="G424" s="18">
        <x:v>470</x:v>
      </x:c>
      <x:c r="H424" s="21" t="n">
        <x:f>IF(SUMIFS('İndirimler'!$C$2:$C$210,'İndirimler'!$A$2:$A$210,B424,'İndirimler'!$B$2:$B$210,C424)&gt;0,ROUND(G424*(1-SUMIFS('İndirimler'!$C$2:$C$210,'İndirimler'!$A$2:$A$210,B424,'İndirimler'!$B$2:$B$210,C424)),2),"")</x:f>
        <x:v>399.5</x:v>
      </x:c>
      <x:c r="I424" s="24" t="n">
        <x:f>IF(SUMIFS('İndirimler'!$D$2:$D$210,'İndirimler'!$A$2:$A$210,B424,'İndirimler'!$B$2:$B$210,C424)&gt;0,ROUND(G424*(1-SUMIFS('İndirimler'!$D$2:$D$210,'İndirimler'!$A$2:$A$210,B424,'İndirimler'!$B$2:$B$210,C424)),2),"")</x:f>
        <x:v>329</x:v>
      </x:c>
      <x:c r="J424" s="12"/>
      <x:c r="K424" s="31"/>
    </x:row>
    <x:row r="425" ht="21.950000762939453" customHeight="1">
      <x:c r="A425" s="15" t="s">
        <x:v>692</x:v>
      </x:c>
      <x:c r="B425" s="12" t="s">
        <x:v>32</x:v>
      </x:c>
      <x:c r="C425" s="12" t="s">
        <x:v>33</x:v>
      </x:c>
      <x:c r="D425" s="12" t="s">
        <x:v>693</x:v>
      </x:c>
      <x:c r="E425" s="12"/>
      <x:c r="F425" s="12" t="s">
        <x:v>35</x:v>
      </x:c>
      <x:c r="G425" s="18">
        <x:v>559</x:v>
      </x:c>
      <x:c r="H425" s="21" t="n">
        <x:f>IF(SUMIFS('İndirimler'!$C$2:$C$210,'İndirimler'!$A$2:$A$210,B425,'İndirimler'!$B$2:$B$210,C425)&gt;0,ROUND(G425*(1-SUMIFS('İndirimler'!$C$2:$C$210,'İndirimler'!$A$2:$A$210,B425,'İndirimler'!$B$2:$B$210,C425)),2),"")</x:f>
        <x:v>475.15</x:v>
      </x:c>
      <x:c r="I425" s="24" t="n">
        <x:f>IF(SUMIFS('İndirimler'!$D$2:$D$210,'İndirimler'!$A$2:$A$210,B425,'İndirimler'!$B$2:$B$210,C425)&gt;0,ROUND(G425*(1-SUMIFS('İndirimler'!$D$2:$D$210,'İndirimler'!$A$2:$A$210,B425,'İndirimler'!$B$2:$B$210,C425)),2),"")</x:f>
        <x:v>391.3</x:v>
      </x:c>
      <x:c r="J425" s="30" t="s">
        <x:v>694</x:v>
      </x:c>
      <x:c r="K425" s="31"/>
    </x:row>
    <x:row r="426" ht="21.950000762939453" customHeight="1">
      <x:c r="A426" s="15" t="s">
        <x:v>695</x:v>
      </x:c>
      <x:c r="B426" s="12" t="s">
        <x:v>38</x:v>
      </x:c>
      <x:c r="C426" s="12" t="s">
        <x:v>33</x:v>
      </x:c>
      <x:c r="D426" s="12" t="s">
        <x:v>693</x:v>
      </x:c>
      <x:c r="E426" s="12"/>
      <x:c r="F426" s="12" t="s">
        <x:v>35</x:v>
      </x:c>
      <x:c r="G426" s="18">
        <x:v>659</x:v>
      </x:c>
      <x:c r="H426" s="21" t="n">
        <x:f>IF(SUMIFS('İndirimler'!$C$2:$C$210,'İndirimler'!$A$2:$A$210,B426,'İndirimler'!$B$2:$B$210,C426)&gt;0,ROUND(G426*(1-SUMIFS('İndirimler'!$C$2:$C$210,'İndirimler'!$A$2:$A$210,B426,'İndirimler'!$B$2:$B$210,C426)),2),"")</x:f>
        <x:v>560.15</x:v>
      </x:c>
      <x:c r="I426" s="24" t="n">
        <x:f>IF(SUMIFS('İndirimler'!$D$2:$D$210,'İndirimler'!$A$2:$A$210,B426,'İndirimler'!$B$2:$B$210,C426)&gt;0,ROUND(G426*(1-SUMIFS('İndirimler'!$D$2:$D$210,'İndirimler'!$A$2:$A$210,B426,'İndirimler'!$B$2:$B$210,C426)),2),"")</x:f>
        <x:v>461.3</x:v>
      </x:c>
      <x:c r="J426" s="12" t="s">
        <x:v>696</x:v>
      </x:c>
      <x:c r="K426" s="31"/>
    </x:row>
    <x:row r="427" ht="21.950000762939453" customHeight="1">
      <x:c r="A427" s="15" t="s">
        <x:v>697</x:v>
      </x:c>
      <x:c r="B427" s="12" t="s">
        <x:v>698</x:v>
      </x:c>
      <x:c r="C427" s="12" t="s">
        <x:v>33</x:v>
      </x:c>
      <x:c r="D427" s="12" t="s">
        <x:v>693</x:v>
      </x:c>
      <x:c r="E427" s="12"/>
      <x:c r="F427" s="12" t="s">
        <x:v>42</x:v>
      </x:c>
      <x:c r="G427" s="18"/>
      <x:c r="H427" s="21" t="n">
        <x:f>IF(SUMIFS('İndirimler'!$C$2:$C$210,'İndirimler'!$A$2:$A$210,B427,'İndirimler'!$B$2:$B$210,C427)&gt;0,ROUND(G427*(1-SUMIFS('İndirimler'!$C$2:$C$210,'İndirimler'!$A$2:$A$210,B427,'İndirimler'!$B$2:$B$210,C427)),2),"")</x:f>
        <x:v>0</x:v>
      </x:c>
      <x:c r="I427" s="24" t="n">
        <x:f>IF(SUMIFS('İndirimler'!$D$2:$D$210,'İndirimler'!$A$2:$A$210,B427,'İndirimler'!$B$2:$B$210,C427)&gt;0,ROUND(G427*(1-SUMIFS('İndirimler'!$D$2:$D$210,'İndirimler'!$A$2:$A$210,B427,'İndirimler'!$B$2:$B$210,C427)),2),"")</x:f>
        <x:v>0</x:v>
      </x:c>
      <x:c r="J427" s="12"/>
      <x:c r="K427" s="31"/>
    </x:row>
    <x:row r="428" ht="21.950000762939453" customHeight="1">
      <x:c r="A428" s="15" t="s">
        <x:v>699</x:v>
      </x:c>
      <x:c r="B428" s="12" t="s">
        <x:v>44</x:v>
      </x:c>
      <x:c r="C428" s="12" t="s">
        <x:v>33</x:v>
      </x:c>
      <x:c r="D428" s="12" t="s">
        <x:v>693</x:v>
      </x:c>
      <x:c r="E428" s="12" t="s">
        <x:v>45</x:v>
      </x:c>
      <x:c r="F428" s="12" t="s">
        <x:v>42</x:v>
      </x:c>
      <x:c r="G428" s="18">
        <x:v>376</x:v>
      </x:c>
      <x:c r="H428" s="21" t="n">
        <x:f>IF(SUMIFS('İndirimler'!$C$2:$C$210,'İndirimler'!$A$2:$A$210,B428,'İndirimler'!$B$2:$B$210,C428)&gt;0,ROUND(G428*(1-SUMIFS('İndirimler'!$C$2:$C$210,'İndirimler'!$A$2:$A$210,B428,'İndirimler'!$B$2:$B$210,C428)),2),"")</x:f>
        <x:v>319.6</x:v>
      </x:c>
      <x:c r="I428" s="24" t="n">
        <x:f>IF(SUMIFS('İndirimler'!$D$2:$D$210,'İndirimler'!$A$2:$A$210,B428,'İndirimler'!$B$2:$B$210,C428)&gt;0,ROUND(G428*(1-SUMIFS('İndirimler'!$D$2:$D$210,'İndirimler'!$A$2:$A$210,B428,'İndirimler'!$B$2:$B$210,C428)),2),"")</x:f>
        <x:v>263.2</x:v>
      </x:c>
      <x:c r="J428" s="12" t="s">
        <x:v>700</x:v>
      </x:c>
      <x:c r="K428" s="31"/>
    </x:row>
    <x:row r="429" ht="21.950000762939453" customHeight="1">
      <x:c r="A429" s="15" t="s">
        <x:v>701</x:v>
      </x:c>
      <x:c r="B429" s="12" t="s">
        <x:v>23</x:v>
      </x:c>
      <x:c r="C429" s="12" t="s">
        <x:v>33</x:v>
      </x:c>
      <x:c r="D429" s="12" t="s">
        <x:v>693</x:v>
      </x:c>
      <x:c r="E429" s="12"/>
      <x:c r="F429" s="12" t="s">
        <x:v>42</x:v>
      </x:c>
      <x:c r="G429" s="18">
        <x:v>619</x:v>
      </x:c>
      <x:c r="H429" s="21" t="n">
        <x:f>IF(SUMIFS('İndirimler'!$C$2:$C$210,'İndirimler'!$A$2:$A$210,B429,'İndirimler'!$B$2:$B$210,C429)&gt;0,ROUND(G429*(1-SUMIFS('İndirimler'!$C$2:$C$210,'İndirimler'!$A$2:$A$210,B429,'İndirimler'!$B$2:$B$210,C429)),2),"")</x:f>
        <x:v>526.15</x:v>
      </x:c>
      <x:c r="I429" s="24" t="n">
        <x:f>IF(SUMIFS('İndirimler'!$D$2:$D$210,'İndirimler'!$A$2:$A$210,B429,'İndirimler'!$B$2:$B$210,C429)&gt;0,ROUND(G429*(1-SUMIFS('İndirimler'!$D$2:$D$210,'İndirimler'!$A$2:$A$210,B429,'İndirimler'!$B$2:$B$210,C429)),2),"")</x:f>
        <x:v>433.3</x:v>
      </x:c>
      <x:c r="J429" s="30" t="s">
        <x:v>702</x:v>
      </x:c>
      <x:c r="K429" s="31"/>
    </x:row>
    <x:row r="430" ht="21.950000762939453" customHeight="1">
      <x:c r="A430" s="15" t="s">
        <x:v>703</x:v>
      </x:c>
      <x:c r="B430" s="12" t="s">
        <x:v>55</x:v>
      </x:c>
      <x:c r="C430" s="12" t="s">
        <x:v>33</x:v>
      </x:c>
      <x:c r="D430" s="12" t="s">
        <x:v>693</x:v>
      </x:c>
      <x:c r="E430" s="12"/>
      <x:c r="F430" s="12" t="s">
        <x:v>16</x:v>
      </x:c>
      <x:c r="G430" s="18">
        <x:v>346</x:v>
      </x:c>
      <x:c r="H430" s="21" t="n">
        <x:f>IF(SUMIFS('İndirimler'!$C$2:$C$210,'İndirimler'!$A$2:$A$210,B430,'İndirimler'!$B$2:$B$210,C430)&gt;0,ROUND(G430*(1-SUMIFS('İndirimler'!$C$2:$C$210,'İndirimler'!$A$2:$A$210,B430,'İndirimler'!$B$2:$B$210,C430)),2),"")</x:f>
        <x:v>294.1</x:v>
      </x:c>
      <x:c r="I430" s="24" t="n">
        <x:f>IF(SUMIFS('İndirimler'!$D$2:$D$210,'İndirimler'!$A$2:$A$210,B430,'İndirimler'!$B$2:$B$210,C430)&gt;0,ROUND(G430*(1-SUMIFS('İndirimler'!$D$2:$D$210,'İndirimler'!$A$2:$A$210,B430,'İndirimler'!$B$2:$B$210,C430)),2),"")</x:f>
        <x:v>242.2</x:v>
      </x:c>
      <x:c r="J430" s="12" t="s">
        <x:v>704</x:v>
      </x:c>
      <x:c r="K430" s="31"/>
    </x:row>
    <x:row r="431" ht="21.950000762939453" customHeight="1">
      <x:c r="A431" s="15" t="s">
        <x:v>705</x:v>
      </x:c>
      <x:c r="B431" s="12" t="s">
        <x:v>18</x:v>
      </x:c>
      <x:c r="C431" s="12" t="s">
        <x:v>33</x:v>
      </x:c>
      <x:c r="D431" s="12" t="s">
        <x:v>693</x:v>
      </x:c>
      <x:c r="E431" s="12"/>
      <x:c r="F431" s="12" t="s">
        <x:v>16</x:v>
      </x:c>
      <x:c r="G431" s="18">
        <x:v>345</x:v>
      </x:c>
      <x:c r="H431" s="21" t="n">
        <x:f>IF(SUMIFS('İndirimler'!$C$2:$C$210,'İndirimler'!$A$2:$A$210,B431,'İndirimler'!$B$2:$B$210,C431)&gt;0,ROUND(G431*(1-SUMIFS('İndirimler'!$C$2:$C$210,'İndirimler'!$A$2:$A$210,B431,'İndirimler'!$B$2:$B$210,C431)),2),"")</x:f>
        <x:v>293.25</x:v>
      </x:c>
      <x:c r="I431" s="24" t="n">
        <x:f>IF(SUMIFS('İndirimler'!$D$2:$D$210,'İndirimler'!$A$2:$A$210,B431,'İndirimler'!$B$2:$B$210,C431)&gt;0,ROUND(G431*(1-SUMIFS('İndirimler'!$D$2:$D$210,'İndirimler'!$A$2:$A$210,B431,'İndirimler'!$B$2:$B$210,C431)),2),"")</x:f>
        <x:v>241.5</x:v>
      </x:c>
      <x:c r="J431" s="30" t="s">
        <x:v>706</x:v>
      </x:c>
      <x:c r="K431" s="31"/>
    </x:row>
    <x:row r="432" ht="21.950000762939453" customHeight="1">
      <x:c r="A432" s="15" t="s">
        <x:v>707</x:v>
      </x:c>
      <x:c r="B432" s="12" t="s">
        <x:v>698</x:v>
      </x:c>
      <x:c r="C432" s="12" t="s">
        <x:v>33</x:v>
      </x:c>
      <x:c r="D432" s="12" t="s">
        <x:v>693</x:v>
      </x:c>
      <x:c r="E432" s="12"/>
      <x:c r="F432" s="12" t="s">
        <x:v>16</x:v>
      </x:c>
      <x:c r="G432" s="18">
        <x:v>345</x:v>
      </x:c>
      <x:c r="H432" s="21" t="n">
        <x:f>IF(SUMIFS('İndirimler'!$C$2:$C$210,'İndirimler'!$A$2:$A$210,B432,'İndirimler'!$B$2:$B$210,C432)&gt;0,ROUND(G432*(1-SUMIFS('İndirimler'!$C$2:$C$210,'İndirimler'!$A$2:$A$210,B432,'İndirimler'!$B$2:$B$210,C432)),2),"")</x:f>
        <x:v>293.25</x:v>
      </x:c>
      <x:c r="I432" s="24" t="n">
        <x:f>IF(SUMIFS('İndirimler'!$D$2:$D$210,'İndirimler'!$A$2:$A$210,B432,'İndirimler'!$B$2:$B$210,C432)&gt;0,ROUND(G432*(1-SUMIFS('İndirimler'!$D$2:$D$210,'İndirimler'!$A$2:$A$210,B432,'İndirimler'!$B$2:$B$210,C432)),2),"")</x:f>
        <x:v>241.5</x:v>
      </x:c>
      <x:c r="J432" s="12"/>
      <x:c r="K432" s="31"/>
    </x:row>
    <x:row r="433" ht="21.950000762939453" customHeight="1">
      <x:c r="A433" s="15" t="s">
        <x:v>708</x:v>
      </x:c>
      <x:c r="B433" s="12" t="s">
        <x:v>44</x:v>
      </x:c>
      <x:c r="C433" s="12" t="s">
        <x:v>33</x:v>
      </x:c>
      <x:c r="D433" s="12" t="s">
        <x:v>693</x:v>
      </x:c>
      <x:c r="E433" s="12" t="s">
        <x:v>60</x:v>
      </x:c>
      <x:c r="F433" s="12" t="s">
        <x:v>16</x:v>
      </x:c>
      <x:c r="G433" s="18">
        <x:v>274</x:v>
      </x:c>
      <x:c r="H433" s="21" t="n">
        <x:f>IF(SUMIFS('İndirimler'!$C$2:$C$210,'İndirimler'!$A$2:$A$210,B433,'İndirimler'!$B$2:$B$210,C433)&gt;0,ROUND(G433*(1-SUMIFS('İndirimler'!$C$2:$C$210,'İndirimler'!$A$2:$A$210,B433,'İndirimler'!$B$2:$B$210,C433)),2),"")</x:f>
        <x:v>232.9</x:v>
      </x:c>
      <x:c r="I433" s="24" t="n">
        <x:f>IF(SUMIFS('İndirimler'!$D$2:$D$210,'İndirimler'!$A$2:$A$210,B433,'İndirimler'!$B$2:$B$210,C433)&gt;0,ROUND(G433*(1-SUMIFS('İndirimler'!$D$2:$D$210,'İndirimler'!$A$2:$A$210,B433,'İndirimler'!$B$2:$B$210,C433)),2),"")</x:f>
        <x:v>191.8</x:v>
      </x:c>
      <x:c r="J433" s="12" t="s">
        <x:v>709</x:v>
      </x:c>
      <x:c r="K433" s="31"/>
    </x:row>
    <x:row r="434" ht="21.950000762939453" customHeight="1">
      <x:c r="A434" s="15" t="s">
        <x:v>710</x:v>
      </x:c>
      <x:c r="B434" s="12" t="s">
        <x:v>63</x:v>
      </x:c>
      <x:c r="C434" s="12" t="s">
        <x:v>33</x:v>
      </x:c>
      <x:c r="D434" s="12" t="s">
        <x:v>693</x:v>
      </x:c>
      <x:c r="E434" s="12" t="s">
        <x:v>64</x:v>
      </x:c>
      <x:c r="F434" s="12" t="s">
        <x:v>16</x:v>
      </x:c>
      <x:c r="G434" s="18">
        <x:v>449</x:v>
      </x:c>
      <x:c r="H434" s="21" t="n">
        <x:f>IF(SUMIFS('İndirimler'!$C$2:$C$210,'İndirimler'!$A$2:$A$210,B434,'İndirimler'!$B$2:$B$210,C434)&gt;0,ROUND(G434*(1-SUMIFS('İndirimler'!$C$2:$C$210,'İndirimler'!$A$2:$A$210,B434,'İndirimler'!$B$2:$B$210,C434)),2),"")</x:f>
        <x:v>381.65</x:v>
      </x:c>
      <x:c r="I434" s="24" t="n">
        <x:f>IF(SUMIFS('İndirimler'!$D$2:$D$210,'İndirimler'!$A$2:$A$210,B434,'İndirimler'!$B$2:$B$210,C434)&gt;0,ROUND(G434*(1-SUMIFS('İndirimler'!$D$2:$D$210,'İndirimler'!$A$2:$A$210,B434,'İndirimler'!$B$2:$B$210,C434)),2),"")</x:f>
        <x:v>314.3</x:v>
      </x:c>
      <x:c r="J434" s="12" t="s">
        <x:v>93</x:v>
      </x:c>
      <x:c r="K434" s="31"/>
    </x:row>
    <x:row r="435" ht="21.950000762939453" customHeight="1">
      <x:c r="A435" s="15" t="s">
        <x:v>711</x:v>
      </x:c>
      <x:c r="B435" s="12" t="s">
        <x:v>23</x:v>
      </x:c>
      <x:c r="C435" s="12" t="s">
        <x:v>33</x:v>
      </x:c>
      <x:c r="D435" s="12" t="s">
        <x:v>693</x:v>
      </x:c>
      <x:c r="E435" s="12"/>
      <x:c r="F435" s="12" t="s">
        <x:v>16</x:v>
      </x:c>
      <x:c r="G435" s="18">
        <x:v>580</x:v>
      </x:c>
      <x:c r="H435" s="21" t="n">
        <x:f>IF(SUMIFS('İndirimler'!$C$2:$C$210,'İndirimler'!$A$2:$A$210,B435,'İndirimler'!$B$2:$B$210,C435)&gt;0,ROUND(G435*(1-SUMIFS('İndirimler'!$C$2:$C$210,'İndirimler'!$A$2:$A$210,B435,'İndirimler'!$B$2:$B$210,C435)),2),"")</x:f>
        <x:v>493</x:v>
      </x:c>
      <x:c r="I435" s="24" t="n">
        <x:f>IF(SUMIFS('İndirimler'!$D$2:$D$210,'İndirimler'!$A$2:$A$210,B435,'İndirimler'!$B$2:$B$210,C435)&gt;0,ROUND(G435*(1-SUMIFS('İndirimler'!$D$2:$D$210,'İndirimler'!$A$2:$A$210,B435,'İndirimler'!$B$2:$B$210,C435)),2),"")</x:f>
        <x:v>406</x:v>
      </x:c>
      <x:c r="J435" s="12" t="s">
        <x:v>712</x:v>
      </x:c>
      <x:c r="K435" s="31"/>
    </x:row>
    <x:row r="436" ht="21.950000762939453" customHeight="1">
      <x:c r="A436" s="15" t="s">
        <x:v>713</x:v>
      </x:c>
      <x:c r="B436" s="12" t="s">
        <x:v>50</x:v>
      </x:c>
      <x:c r="C436" s="12" t="s">
        <x:v>33</x:v>
      </x:c>
      <x:c r="D436" s="12" t="s">
        <x:v>693</x:v>
      </x:c>
      <x:c r="E436" s="12" t="s">
        <x:v>69</x:v>
      </x:c>
      <x:c r="F436" s="12" t="s">
        <x:v>16</x:v>
      </x:c>
      <x:c r="G436" s="18">
        <x:v>563</x:v>
      </x:c>
      <x:c r="H436" s="21" t="n">
        <x:f>IF(SUMIFS('İndirimler'!$C$2:$C$210,'İndirimler'!$A$2:$A$210,B436,'İndirimler'!$B$2:$B$210,C436)&gt;0,ROUND(G436*(1-SUMIFS('İndirimler'!$C$2:$C$210,'İndirimler'!$A$2:$A$210,B436,'İndirimler'!$B$2:$B$210,C436)),2),"")</x:f>
        <x:v>478.55</x:v>
      </x:c>
      <x:c r="I436" s="24" t="n">
        <x:f>IF(SUMIFS('İndirimler'!$D$2:$D$210,'İndirimler'!$A$2:$A$210,B436,'İndirimler'!$B$2:$B$210,C436)&gt;0,ROUND(G436*(1-SUMIFS('İndirimler'!$D$2:$D$210,'İndirimler'!$A$2:$A$210,B436,'İndirimler'!$B$2:$B$210,C436)),2),"")</x:f>
        <x:v>394.1</x:v>
      </x:c>
      <x:c r="J436" s="12"/>
      <x:c r="K436" s="31"/>
    </x:row>
    <x:row r="437" ht="21.950000762939453" customHeight="1">
      <x:c r="A437" s="15" t="s">
        <x:v>714</x:v>
      </x:c>
      <x:c r="B437" s="12" t="s">
        <x:v>38</x:v>
      </x:c>
      <x:c r="C437" s="12" t="s">
        <x:v>33</x:v>
      </x:c>
      <x:c r="D437" s="12" t="s">
        <x:v>693</x:v>
      </x:c>
      <x:c r="E437" s="12" t="s">
        <x:v>69</x:v>
      </x:c>
      <x:c r="F437" s="12" t="s">
        <x:v>16</x:v>
      </x:c>
      <x:c r="G437" s="18">
        <x:v>385</x:v>
      </x:c>
      <x:c r="H437" s="21" t="n">
        <x:f>IF(SUMIFS('İndirimler'!$C$2:$C$210,'İndirimler'!$A$2:$A$210,B437,'İndirimler'!$B$2:$B$210,C437)&gt;0,ROUND(G437*(1-SUMIFS('İndirimler'!$C$2:$C$210,'İndirimler'!$A$2:$A$210,B437,'İndirimler'!$B$2:$B$210,C437)),2),"")</x:f>
        <x:v>327.25</x:v>
      </x:c>
      <x:c r="I437" s="24" t="n">
        <x:f>IF(SUMIFS('İndirimler'!$D$2:$D$210,'İndirimler'!$A$2:$A$210,B437,'İndirimler'!$B$2:$B$210,C437)&gt;0,ROUND(G437*(1-SUMIFS('İndirimler'!$D$2:$D$210,'İndirimler'!$A$2:$A$210,B437,'İndirimler'!$B$2:$B$210,C437)),2),"")</x:f>
        <x:v>269.5</x:v>
      </x:c>
      <x:c r="J437" s="12" t="s">
        <x:v>715</x:v>
      </x:c>
      <x:c r="K437" s="31"/>
    </x:row>
    <x:row r="438" ht="21.950000762939453" customHeight="1">
      <x:c r="A438" s="15" t="s">
        <x:v>716</x:v>
      </x:c>
      <x:c r="B438" s="12" t="s">
        <x:v>72</x:v>
      </x:c>
      <x:c r="C438" s="12" t="s">
        <x:v>33</x:v>
      </x:c>
      <x:c r="D438" s="12" t="s">
        <x:v>693</x:v>
      </x:c>
      <x:c r="E438" s="12"/>
      <x:c r="F438" s="12" t="s">
        <x:v>73</x:v>
      </x:c>
      <x:c r="G438" s="18">
        <x:v>455</x:v>
      </x:c>
      <x:c r="H438" s="21" t="n">
        <x:f>IF(SUMIFS('İndirimler'!$C$2:$C$210,'İndirimler'!$A$2:$A$210,B438,'İndirimler'!$B$2:$B$210,C438)&gt;0,ROUND(G438*(1-SUMIFS('İndirimler'!$C$2:$C$210,'İndirimler'!$A$2:$A$210,B438,'İndirimler'!$B$2:$B$210,C438)),2),"")</x:f>
        <x:v>386.75</x:v>
      </x:c>
      <x:c r="I438" s="24" t="n">
        <x:f>IF(SUMIFS('İndirimler'!$D$2:$D$210,'İndirimler'!$A$2:$A$210,B438,'İndirimler'!$B$2:$B$210,C438)&gt;0,ROUND(G438*(1-SUMIFS('İndirimler'!$D$2:$D$210,'İndirimler'!$A$2:$A$210,B438,'İndirimler'!$B$2:$B$210,C438)),2),"")</x:f>
        <x:v>318.5</x:v>
      </x:c>
      <x:c r="J438" s="12"/>
      <x:c r="K438" s="31"/>
    </x:row>
    <x:row r="439" ht="21.950000762939453" customHeight="1">
      <x:c r="A439" s="15" t="s">
        <x:v>717</x:v>
      </x:c>
      <x:c r="B439" s="12" t="s">
        <x:v>32</x:v>
      </x:c>
      <x:c r="C439" s="12" t="s">
        <x:v>76</x:v>
      </x:c>
      <x:c r="D439" s="12" t="s">
        <x:v>693</x:v>
      </x:c>
      <x:c r="E439" s="12"/>
      <x:c r="F439" s="12" t="s">
        <x:v>35</x:v>
      </x:c>
      <x:c r="G439" s="18">
        <x:v>415</x:v>
      </x:c>
      <x:c r="H439" s="21" t="n">
        <x:f>IF(SUMIFS('İndirimler'!$C$2:$C$210,'İndirimler'!$A$2:$A$210,B439,'İndirimler'!$B$2:$B$210,C439)&gt;0,ROUND(G439*(1-SUMIFS('İndirimler'!$C$2:$C$210,'İndirimler'!$A$2:$A$210,B439,'İndirimler'!$B$2:$B$210,C439)),2),"")</x:f>
        <x:v>352.75</x:v>
      </x:c>
      <x:c r="I439" s="24" t="n">
        <x:f>IF(SUMIFS('İndirimler'!$D$2:$D$210,'İndirimler'!$A$2:$A$210,B439,'İndirimler'!$B$2:$B$210,C439)&gt;0,ROUND(G439*(1-SUMIFS('İndirimler'!$D$2:$D$210,'İndirimler'!$A$2:$A$210,B439,'İndirimler'!$B$2:$B$210,C439)),2),"")</x:f>
        <x:v>290.5</x:v>
      </x:c>
      <x:c r="J439" s="30" t="s">
        <x:v>718</x:v>
      </x:c>
      <x:c r="K439" s="31"/>
    </x:row>
    <x:row r="440" ht="21.950000762939453" customHeight="1">
      <x:c r="A440" s="15" t="s">
        <x:v>719</x:v>
      </x:c>
      <x:c r="B440" s="12" t="s">
        <x:v>38</x:v>
      </x:c>
      <x:c r="C440" s="12" t="s">
        <x:v>76</x:v>
      </x:c>
      <x:c r="D440" s="12" t="s">
        <x:v>693</x:v>
      </x:c>
      <x:c r="E440" s="12"/>
      <x:c r="F440" s="12" t="s">
        <x:v>35</x:v>
      </x:c>
      <x:c r="G440" s="18">
        <x:v>589</x:v>
      </x:c>
      <x:c r="H440" s="21" t="n">
        <x:f>IF(SUMIFS('İndirimler'!$C$2:$C$210,'İndirimler'!$A$2:$A$210,B440,'İndirimler'!$B$2:$B$210,C440)&gt;0,ROUND(G440*(1-SUMIFS('İndirimler'!$C$2:$C$210,'İndirimler'!$A$2:$A$210,B440,'İndirimler'!$B$2:$B$210,C440)),2),"")</x:f>
        <x:v>500.65</x:v>
      </x:c>
      <x:c r="I440" s="24" t="n">
        <x:f>IF(SUMIFS('İndirimler'!$D$2:$D$210,'İndirimler'!$A$2:$A$210,B440,'İndirimler'!$B$2:$B$210,C440)&gt;0,ROUND(G440*(1-SUMIFS('İndirimler'!$D$2:$D$210,'İndirimler'!$A$2:$A$210,B440,'İndirimler'!$B$2:$B$210,C440)),2),"")</x:f>
        <x:v>412.3</x:v>
      </x:c>
      <x:c r="J440" s="12" t="s">
        <x:v>720</x:v>
      </x:c>
      <x:c r="K440" s="31"/>
    </x:row>
    <x:row r="441" ht="21.950000762939453" customHeight="1">
      <x:c r="A441" s="15" t="s">
        <x:v>721</x:v>
      </x:c>
      <x:c r="B441" s="12" t="s">
        <x:v>698</x:v>
      </x:c>
      <x:c r="C441" s="12" t="s">
        <x:v>76</x:v>
      </x:c>
      <x:c r="D441" s="12" t="s">
        <x:v>693</x:v>
      </x:c>
      <x:c r="E441" s="12"/>
      <x:c r="F441" s="12" t="s">
        <x:v>42</x:v>
      </x:c>
      <x:c r="G441" s="18"/>
      <x:c r="H441" s="21" t="n">
        <x:f>IF(SUMIFS('İndirimler'!$C$2:$C$210,'İndirimler'!$A$2:$A$210,B441,'İndirimler'!$B$2:$B$210,C441)&gt;0,ROUND(G441*(1-SUMIFS('İndirimler'!$C$2:$C$210,'İndirimler'!$A$2:$A$210,B441,'İndirimler'!$B$2:$B$210,C441)),2),"")</x:f>
        <x:v>0</x:v>
      </x:c>
      <x:c r="I441" s="24" t="n">
        <x:f>IF(SUMIFS('İndirimler'!$D$2:$D$210,'İndirimler'!$A$2:$A$210,B441,'İndirimler'!$B$2:$B$210,C441)&gt;0,ROUND(G441*(1-SUMIFS('İndirimler'!$D$2:$D$210,'İndirimler'!$A$2:$A$210,B441,'İndirimler'!$B$2:$B$210,C441)),2),"")</x:f>
        <x:v>0</x:v>
      </x:c>
      <x:c r="J441" s="12"/>
      <x:c r="K441" s="31"/>
    </x:row>
    <x:row r="442" ht="21.950000762939453" customHeight="1">
      <x:c r="A442" s="15" t="s">
        <x:v>722</x:v>
      </x:c>
      <x:c r="B442" s="12" t="s">
        <x:v>44</x:v>
      </x:c>
      <x:c r="C442" s="12" t="s">
        <x:v>76</x:v>
      </x:c>
      <x:c r="D442" s="12" t="s">
        <x:v>693</x:v>
      </x:c>
      <x:c r="E442" s="12" t="s">
        <x:v>45</x:v>
      </x:c>
      <x:c r="F442" s="12" t="s">
        <x:v>42</x:v>
      </x:c>
      <x:c r="G442" s="18">
        <x:v>322</x:v>
      </x:c>
      <x:c r="H442" s="21" t="n">
        <x:f>IF(SUMIFS('İndirimler'!$C$2:$C$210,'İndirimler'!$A$2:$A$210,B442,'İndirimler'!$B$2:$B$210,C442)&gt;0,ROUND(G442*(1-SUMIFS('İndirimler'!$C$2:$C$210,'İndirimler'!$A$2:$A$210,B442,'İndirimler'!$B$2:$B$210,C442)),2),"")</x:f>
        <x:v>273.7</x:v>
      </x:c>
      <x:c r="I442" s="24" t="n">
        <x:f>IF(SUMIFS('İndirimler'!$D$2:$D$210,'İndirimler'!$A$2:$A$210,B442,'İndirimler'!$B$2:$B$210,C442)&gt;0,ROUND(G442*(1-SUMIFS('İndirimler'!$D$2:$D$210,'İndirimler'!$A$2:$A$210,B442,'İndirimler'!$B$2:$B$210,C442)),2),"")</x:f>
        <x:v>225.4</x:v>
      </x:c>
      <x:c r="J442" s="12" t="s">
        <x:v>723</x:v>
      </x:c>
      <x:c r="K442" s="31"/>
    </x:row>
    <x:row r="443" ht="21.950000762939453" customHeight="1">
      <x:c r="A443" s="15" t="s">
        <x:v>724</x:v>
      </x:c>
      <x:c r="B443" s="12" t="s">
        <x:v>23</x:v>
      </x:c>
      <x:c r="C443" s="12" t="s">
        <x:v>76</x:v>
      </x:c>
      <x:c r="D443" s="12" t="s">
        <x:v>693</x:v>
      </x:c>
      <x:c r="E443" s="12"/>
      <x:c r="F443" s="12" t="s">
        <x:v>42</x:v>
      </x:c>
      <x:c r="G443" s="18">
        <x:v>628</x:v>
      </x:c>
      <x:c r="H443" s="21" t="n">
        <x:f>IF(SUMIFS('İndirimler'!$C$2:$C$210,'İndirimler'!$A$2:$A$210,B443,'İndirimler'!$B$2:$B$210,C443)&gt;0,ROUND(G443*(1-SUMIFS('İndirimler'!$C$2:$C$210,'İndirimler'!$A$2:$A$210,B443,'İndirimler'!$B$2:$B$210,C443)),2),"")</x:f>
        <x:v>533.8</x:v>
      </x:c>
      <x:c r="I443" s="24" t="n">
        <x:f>IF(SUMIFS('İndirimler'!$D$2:$D$210,'İndirimler'!$A$2:$A$210,B443,'İndirimler'!$B$2:$B$210,C443)&gt;0,ROUND(G443*(1-SUMIFS('İndirimler'!$D$2:$D$210,'İndirimler'!$A$2:$A$210,B443,'İndirimler'!$B$2:$B$210,C443)),2),"")</x:f>
        <x:v>439.6</x:v>
      </x:c>
      <x:c r="J443" s="12" t="s">
        <x:v>725</x:v>
      </x:c>
      <x:c r="K443" s="31"/>
    </x:row>
    <x:row r="444" ht="21.950000762939453" customHeight="1">
      <x:c r="A444" s="15" t="s">
        <x:v>726</x:v>
      </x:c>
      <x:c r="B444" s="12" t="s">
        <x:v>55</x:v>
      </x:c>
      <x:c r="C444" s="12" t="s">
        <x:v>76</x:v>
      </x:c>
      <x:c r="D444" s="12" t="s">
        <x:v>693</x:v>
      </x:c>
      <x:c r="E444" s="12"/>
      <x:c r="F444" s="12" t="s">
        <x:v>16</x:v>
      </x:c>
      <x:c r="G444" s="18">
        <x:v>328</x:v>
      </x:c>
      <x:c r="H444" s="21" t="n">
        <x:f>IF(SUMIFS('İndirimler'!$C$2:$C$210,'İndirimler'!$A$2:$A$210,B444,'İndirimler'!$B$2:$B$210,C444)&gt;0,ROUND(G444*(1-SUMIFS('İndirimler'!$C$2:$C$210,'İndirimler'!$A$2:$A$210,B444,'İndirimler'!$B$2:$B$210,C444)),2),"")</x:f>
        <x:v>278.8</x:v>
      </x:c>
      <x:c r="I444" s="24" t="n">
        <x:f>IF(SUMIFS('İndirimler'!$D$2:$D$210,'İndirimler'!$A$2:$A$210,B444,'İndirimler'!$B$2:$B$210,C444)&gt;0,ROUND(G444*(1-SUMIFS('İndirimler'!$D$2:$D$210,'İndirimler'!$A$2:$A$210,B444,'İndirimler'!$B$2:$B$210,C444)),2),"")</x:f>
        <x:v>229.6</x:v>
      </x:c>
      <x:c r="J444" s="12" t="s">
        <x:v>727</x:v>
      </x:c>
      <x:c r="K444" s="31"/>
    </x:row>
    <x:row r="445" ht="21.950000762939453" customHeight="1">
      <x:c r="A445" s="15" t="s">
        <x:v>728</x:v>
      </x:c>
      <x:c r="B445" s="12" t="s">
        <x:v>18</x:v>
      </x:c>
      <x:c r="C445" s="12" t="s">
        <x:v>76</x:v>
      </x:c>
      <x:c r="D445" s="12" t="s">
        <x:v>693</x:v>
      </x:c>
      <x:c r="E445" s="12"/>
      <x:c r="F445" s="12" t="s">
        <x:v>16</x:v>
      </x:c>
      <x:c r="G445" s="18">
        <x:v>295</x:v>
      </x:c>
      <x:c r="H445" s="21" t="n">
        <x:f>IF(SUMIFS('İndirimler'!$C$2:$C$210,'İndirimler'!$A$2:$A$210,B445,'İndirimler'!$B$2:$B$210,C445)&gt;0,ROUND(G445*(1-SUMIFS('İndirimler'!$C$2:$C$210,'İndirimler'!$A$2:$A$210,B445,'İndirimler'!$B$2:$B$210,C445)),2),"")</x:f>
        <x:v>250.75</x:v>
      </x:c>
      <x:c r="I445" s="24" t="n">
        <x:f>IF(SUMIFS('İndirimler'!$D$2:$D$210,'İndirimler'!$A$2:$A$210,B445,'İndirimler'!$B$2:$B$210,C445)&gt;0,ROUND(G445*(1-SUMIFS('İndirimler'!$D$2:$D$210,'İndirimler'!$A$2:$A$210,B445,'İndirimler'!$B$2:$B$210,C445)),2),"")</x:f>
        <x:v>206.5</x:v>
      </x:c>
      <x:c r="J445" s="12"/>
      <x:c r="K445" s="31"/>
    </x:row>
    <x:row r="446" ht="21.950000762939453" customHeight="1">
      <x:c r="A446" s="15" t="s">
        <x:v>729</x:v>
      </x:c>
      <x:c r="B446" s="12" t="s">
        <x:v>698</x:v>
      </x:c>
      <x:c r="C446" s="12" t="s">
        <x:v>76</x:v>
      </x:c>
      <x:c r="D446" s="12" t="s">
        <x:v>693</x:v>
      </x:c>
      <x:c r="E446" s="12"/>
      <x:c r="F446" s="12" t="s">
        <x:v>16</x:v>
      </x:c>
      <x:c r="G446" s="18">
        <x:v>359</x:v>
      </x:c>
      <x:c r="H446" s="21" t="n">
        <x:f>IF(SUMIFS('İndirimler'!$C$2:$C$210,'İndirimler'!$A$2:$A$210,B446,'İndirimler'!$B$2:$B$210,C446)&gt;0,ROUND(G446*(1-SUMIFS('İndirimler'!$C$2:$C$210,'İndirimler'!$A$2:$A$210,B446,'İndirimler'!$B$2:$B$210,C446)),2),"")</x:f>
        <x:v>305.15</x:v>
      </x:c>
      <x:c r="I446" s="24" t="n">
        <x:f>IF(SUMIFS('İndirimler'!$D$2:$D$210,'İndirimler'!$A$2:$A$210,B446,'İndirimler'!$B$2:$B$210,C446)&gt;0,ROUND(G446*(1-SUMIFS('İndirimler'!$D$2:$D$210,'İndirimler'!$A$2:$A$210,B446,'İndirimler'!$B$2:$B$210,C446)),2),"")</x:f>
        <x:v>251.3</x:v>
      </x:c>
      <x:c r="J446" s="12"/>
      <x:c r="K446" s="31"/>
    </x:row>
    <x:row r="447" ht="21.950000762939453" customHeight="1">
      <x:c r="A447" s="15" t="s">
        <x:v>730</x:v>
      </x:c>
      <x:c r="B447" s="12" t="s">
        <x:v>44</x:v>
      </x:c>
      <x:c r="C447" s="12" t="s">
        <x:v>76</x:v>
      </x:c>
      <x:c r="D447" s="12" t="s">
        <x:v>693</x:v>
      </x:c>
      <x:c r="E447" s="12" t="s">
        <x:v>60</x:v>
      </x:c>
      <x:c r="F447" s="12" t="s">
        <x:v>16</x:v>
      </x:c>
      <x:c r="G447" s="18">
        <x:v>274</x:v>
      </x:c>
      <x:c r="H447" s="21" t="n">
        <x:f>IF(SUMIFS('İndirimler'!$C$2:$C$210,'İndirimler'!$A$2:$A$210,B447,'İndirimler'!$B$2:$B$210,C447)&gt;0,ROUND(G447*(1-SUMIFS('İndirimler'!$C$2:$C$210,'İndirimler'!$A$2:$A$210,B447,'İndirimler'!$B$2:$B$210,C447)),2),"")</x:f>
        <x:v>232.9</x:v>
      </x:c>
      <x:c r="I447" s="24" t="n">
        <x:f>IF(SUMIFS('İndirimler'!$D$2:$D$210,'İndirimler'!$A$2:$A$210,B447,'İndirimler'!$B$2:$B$210,C447)&gt;0,ROUND(G447*(1-SUMIFS('İndirimler'!$D$2:$D$210,'İndirimler'!$A$2:$A$210,B447,'İndirimler'!$B$2:$B$210,C447)),2),"")</x:f>
        <x:v>191.8</x:v>
      </x:c>
      <x:c r="J447" s="12" t="s">
        <x:v>731</x:v>
      </x:c>
      <x:c r="K447" s="31"/>
    </x:row>
    <x:row r="448" ht="21.950000762939453" customHeight="1">
      <x:c r="A448" s="15" t="s">
        <x:v>732</x:v>
      </x:c>
      <x:c r="B448" s="12" t="s">
        <x:v>63</x:v>
      </x:c>
      <x:c r="C448" s="12" t="s">
        <x:v>76</x:v>
      </x:c>
      <x:c r="D448" s="12" t="s">
        <x:v>693</x:v>
      </x:c>
      <x:c r="E448" s="12" t="s">
        <x:v>64</x:v>
      </x:c>
      <x:c r="F448" s="12" t="s">
        <x:v>16</x:v>
      </x:c>
      <x:c r="G448" s="18">
        <x:v>405</x:v>
      </x:c>
      <x:c r="H448" s="21" t="n">
        <x:f>IF(SUMIFS('İndirimler'!$C$2:$C$210,'İndirimler'!$A$2:$A$210,B448,'İndirimler'!$B$2:$B$210,C448)&gt;0,ROUND(G448*(1-SUMIFS('İndirimler'!$C$2:$C$210,'İndirimler'!$A$2:$A$210,B448,'İndirimler'!$B$2:$B$210,C448)),2),"")</x:f>
        <x:v>344.25</x:v>
      </x:c>
      <x:c r="I448" s="24" t="n">
        <x:f>IF(SUMIFS('İndirimler'!$D$2:$D$210,'İndirimler'!$A$2:$A$210,B448,'İndirimler'!$B$2:$B$210,C448)&gt;0,ROUND(G448*(1-SUMIFS('İndirimler'!$D$2:$D$210,'İndirimler'!$A$2:$A$210,B448,'İndirimler'!$B$2:$B$210,C448)),2),"")</x:f>
        <x:v>283.5</x:v>
      </x:c>
      <x:c r="J448" s="12" t="s">
        <x:v>733</x:v>
      </x:c>
      <x:c r="K448" s="31"/>
    </x:row>
    <x:row r="449" ht="21.950000762939453" customHeight="1">
      <x:c r="A449" s="15" t="s">
        <x:v>734</x:v>
      </x:c>
      <x:c r="B449" s="12" t="s">
        <x:v>23</x:v>
      </x:c>
      <x:c r="C449" s="12" t="s">
        <x:v>76</x:v>
      </x:c>
      <x:c r="D449" s="12" t="s">
        <x:v>693</x:v>
      </x:c>
      <x:c r="E449" s="12"/>
      <x:c r="F449" s="12" t="s">
        <x:v>16</x:v>
      </x:c>
      <x:c r="G449" s="18">
        <x:v>622</x:v>
      </x:c>
      <x:c r="H449" s="21" t="n">
        <x:f>IF(SUMIFS('İndirimler'!$C$2:$C$210,'İndirimler'!$A$2:$A$210,B449,'İndirimler'!$B$2:$B$210,C449)&gt;0,ROUND(G449*(1-SUMIFS('İndirimler'!$C$2:$C$210,'İndirimler'!$A$2:$A$210,B449,'İndirimler'!$B$2:$B$210,C449)),2),"")</x:f>
        <x:v>528.7</x:v>
      </x:c>
      <x:c r="I449" s="24" t="n">
        <x:f>IF(SUMIFS('İndirimler'!$D$2:$D$210,'İndirimler'!$A$2:$A$210,B449,'İndirimler'!$B$2:$B$210,C449)&gt;0,ROUND(G449*(1-SUMIFS('İndirimler'!$D$2:$D$210,'İndirimler'!$A$2:$A$210,B449,'İndirimler'!$B$2:$B$210,C449)),2),"")</x:f>
        <x:v>435.4</x:v>
      </x:c>
      <x:c r="J449" s="12" t="s">
        <x:v>735</x:v>
      </x:c>
      <x:c r="K449" s="31"/>
    </x:row>
    <x:row r="450" ht="21.950000762939453" customHeight="1">
      <x:c r="A450" s="15" t="s">
        <x:v>736</x:v>
      </x:c>
      <x:c r="B450" s="12" t="s">
        <x:v>50</x:v>
      </x:c>
      <x:c r="C450" s="12" t="s">
        <x:v>76</x:v>
      </x:c>
      <x:c r="D450" s="12" t="s">
        <x:v>693</x:v>
      </x:c>
      <x:c r="E450" s="12" t="s">
        <x:v>69</x:v>
      </x:c>
      <x:c r="F450" s="12" t="s">
        <x:v>16</x:v>
      </x:c>
      <x:c r="G450" s="18">
        <x:v>475</x:v>
      </x:c>
      <x:c r="H450" s="21" t="n">
        <x:f>IF(SUMIFS('İndirimler'!$C$2:$C$210,'İndirimler'!$A$2:$A$210,B450,'İndirimler'!$B$2:$B$210,C450)&gt;0,ROUND(G450*(1-SUMIFS('İndirimler'!$C$2:$C$210,'İndirimler'!$A$2:$A$210,B450,'İndirimler'!$B$2:$B$210,C450)),2),"")</x:f>
        <x:v>403.75</x:v>
      </x:c>
      <x:c r="I450" s="24" t="n">
        <x:f>IF(SUMIFS('İndirimler'!$D$2:$D$210,'İndirimler'!$A$2:$A$210,B450,'İndirimler'!$B$2:$B$210,C450)&gt;0,ROUND(G450*(1-SUMIFS('İndirimler'!$D$2:$D$210,'İndirimler'!$A$2:$A$210,B450,'İndirimler'!$B$2:$B$210,C450)),2),"")</x:f>
        <x:v>332.5</x:v>
      </x:c>
      <x:c r="J450" s="12"/>
      <x:c r="K450" s="31"/>
    </x:row>
    <x:row r="451" ht="21.950000762939453" customHeight="1">
      <x:c r="A451" s="15" t="s">
        <x:v>737</x:v>
      </x:c>
      <x:c r="B451" s="12" t="s">
        <x:v>38</x:v>
      </x:c>
      <x:c r="C451" s="12" t="s">
        <x:v>76</x:v>
      </x:c>
      <x:c r="D451" s="12" t="s">
        <x:v>693</x:v>
      </x:c>
      <x:c r="E451" s="12" t="s">
        <x:v>69</x:v>
      </x:c>
      <x:c r="F451" s="12" t="s">
        <x:v>16</x:v>
      </x:c>
      <x:c r="G451" s="18">
        <x:v>409</x:v>
      </x:c>
      <x:c r="H451" s="21" t="n">
        <x:f>IF(SUMIFS('İndirimler'!$C$2:$C$210,'İndirimler'!$A$2:$A$210,B451,'İndirimler'!$B$2:$B$210,C451)&gt;0,ROUND(G451*(1-SUMIFS('İndirimler'!$C$2:$C$210,'İndirimler'!$A$2:$A$210,B451,'İndirimler'!$B$2:$B$210,C451)),2),"")</x:f>
        <x:v>347.65</x:v>
      </x:c>
      <x:c r="I451" s="24" t="n">
        <x:f>IF(SUMIFS('İndirimler'!$D$2:$D$210,'İndirimler'!$A$2:$A$210,B451,'İndirimler'!$B$2:$B$210,C451)&gt;0,ROUND(G451*(1-SUMIFS('İndirimler'!$D$2:$D$210,'İndirimler'!$A$2:$A$210,B451,'İndirimler'!$B$2:$B$210,C451)),2),"")</x:f>
        <x:v>286.3</x:v>
      </x:c>
      <x:c r="J451" s="12" t="s">
        <x:v>738</x:v>
      </x:c>
      <x:c r="K451" s="31"/>
    </x:row>
    <x:row r="452" ht="21.950000762939453" customHeight="1">
      <x:c r="A452" s="15" t="s">
        <x:v>739</x:v>
      </x:c>
      <x:c r="B452" s="12" t="s">
        <x:v>72</x:v>
      </x:c>
      <x:c r="C452" s="12" t="s">
        <x:v>76</x:v>
      </x:c>
      <x:c r="D452" s="12" t="s">
        <x:v>693</x:v>
      </x:c>
      <x:c r="E452" s="12"/>
      <x:c r="F452" s="12" t="s">
        <x:v>73</x:v>
      </x:c>
      <x:c r="G452" s="18">
        <x:v>345</x:v>
      </x:c>
      <x:c r="H452" s="21" t="n">
        <x:f>IF(SUMIFS('İndirimler'!$C$2:$C$210,'İndirimler'!$A$2:$A$210,B452,'İndirimler'!$B$2:$B$210,C452)&gt;0,ROUND(G452*(1-SUMIFS('İndirimler'!$C$2:$C$210,'İndirimler'!$A$2:$A$210,B452,'İndirimler'!$B$2:$B$210,C452)),2),"")</x:f>
        <x:v>293.25</x:v>
      </x:c>
      <x:c r="I452" s="24" t="n">
        <x:f>IF(SUMIFS('İndirimler'!$D$2:$D$210,'İndirimler'!$A$2:$A$210,B452,'İndirimler'!$B$2:$B$210,C452)&gt;0,ROUND(G452*(1-SUMIFS('İndirimler'!$D$2:$D$210,'İndirimler'!$A$2:$A$210,B452,'İndirimler'!$B$2:$B$210,C452)),2),"")</x:f>
        <x:v>241.5</x:v>
      </x:c>
      <x:c r="J452" s="12"/>
      <x:c r="K452" s="31"/>
    </x:row>
    <x:row r="453" ht="21.950000762939453" customHeight="1">
      <x:c r="A453" s="15" t="s">
        <x:v>740</x:v>
      </x:c>
      <x:c r="B453" s="12" t="s">
        <x:v>38</x:v>
      </x:c>
      <x:c r="C453" s="12" t="s">
        <x:v>101</x:v>
      </x:c>
      <x:c r="D453" s="12" t="s">
        <x:v>693</x:v>
      </x:c>
      <x:c r="E453" s="12"/>
      <x:c r="F453" s="12" t="s">
        <x:v>35</x:v>
      </x:c>
      <x:c r="G453" s="18"/>
      <x:c r="H453" s="21" t="n">
        <x:f>IF(SUMIFS('İndirimler'!$C$2:$C$210,'İndirimler'!$A$2:$A$210,B453,'İndirimler'!$B$2:$B$210,C453)&gt;0,ROUND(G453*(1-SUMIFS('İndirimler'!$C$2:$C$210,'İndirimler'!$A$2:$A$210,B453,'İndirimler'!$B$2:$B$210,C453)),2),"")</x:f>
        <x:v>0</x:v>
      </x:c>
      <x:c r="I453" s="24" t="n">
        <x:f>IF(SUMIFS('İndirimler'!$D$2:$D$210,'İndirimler'!$A$2:$A$210,B453,'İndirimler'!$B$2:$B$210,C453)&gt;0,ROUND(G453*(1-SUMIFS('İndirimler'!$D$2:$D$210,'İndirimler'!$A$2:$A$210,B453,'İndirimler'!$B$2:$B$210,C453)),2),"")</x:f>
        <x:v>0</x:v>
      </x:c>
      <x:c r="J453" s="12"/>
      <x:c r="K453" s="31"/>
    </x:row>
    <x:row r="454" ht="21.950000762939453" customHeight="1">
      <x:c r="A454" s="15" t="s">
        <x:v>741</x:v>
      </x:c>
      <x:c r="B454" s="12" t="s">
        <x:v>698</x:v>
      </x:c>
      <x:c r="C454" s="12" t="s">
        <x:v>101</x:v>
      </x:c>
      <x:c r="D454" s="12" t="s">
        <x:v>693</x:v>
      </x:c>
      <x:c r="E454" s="12"/>
      <x:c r="F454" s="12" t="s">
        <x:v>42</x:v>
      </x:c>
      <x:c r="G454" s="18"/>
      <x:c r="H454" s="21" t="n">
        <x:f>IF(SUMIFS('İndirimler'!$C$2:$C$210,'İndirimler'!$A$2:$A$210,B454,'İndirimler'!$B$2:$B$210,C454)&gt;0,ROUND(G454*(1-SUMIFS('İndirimler'!$C$2:$C$210,'İndirimler'!$A$2:$A$210,B454,'İndirimler'!$B$2:$B$210,C454)),2),"")</x:f>
        <x:v>0</x:v>
      </x:c>
      <x:c r="I454" s="24" t="n">
        <x:f>IF(SUMIFS('İndirimler'!$D$2:$D$210,'İndirimler'!$A$2:$A$210,B454,'İndirimler'!$B$2:$B$210,C454)&gt;0,ROUND(G454*(1-SUMIFS('İndirimler'!$D$2:$D$210,'İndirimler'!$A$2:$A$210,B454,'İndirimler'!$B$2:$B$210,C454)),2),"")</x:f>
        <x:v>0</x:v>
      </x:c>
      <x:c r="J454" s="12"/>
      <x:c r="K454" s="31"/>
    </x:row>
    <x:row r="455" ht="21.950000762939453" customHeight="1">
      <x:c r="A455" s="15" t="s">
        <x:v>742</x:v>
      </x:c>
      <x:c r="B455" s="12" t="s">
        <x:v>72</x:v>
      </x:c>
      <x:c r="C455" s="12" t="s">
        <x:v>101</x:v>
      </x:c>
      <x:c r="D455" s="12" t="s">
        <x:v>693</x:v>
      </x:c>
      <x:c r="E455" s="12" t="s">
        <x:v>104</x:v>
      </x:c>
      <x:c r="F455" s="12" t="s">
        <x:v>42</x:v>
      </x:c>
      <x:c r="G455" s="18"/>
      <x:c r="H455" s="21" t="n">
        <x:f>IF(SUMIFS('İndirimler'!$C$2:$C$210,'İndirimler'!$A$2:$A$210,B455,'İndirimler'!$B$2:$B$210,C455)&gt;0,ROUND(G455*(1-SUMIFS('İndirimler'!$C$2:$C$210,'İndirimler'!$A$2:$A$210,B455,'İndirimler'!$B$2:$B$210,C455)),2),"")</x:f>
        <x:v>0</x:v>
      </x:c>
      <x:c r="I455" s="24" t="n">
        <x:f>IF(SUMIFS('İndirimler'!$D$2:$D$210,'İndirimler'!$A$2:$A$210,B455,'İndirimler'!$B$2:$B$210,C455)&gt;0,ROUND(G455*(1-SUMIFS('İndirimler'!$D$2:$D$210,'İndirimler'!$A$2:$A$210,B455,'İndirimler'!$B$2:$B$210,C455)),2),"")</x:f>
        <x:v>0</x:v>
      </x:c>
      <x:c r="J455" s="12"/>
      <x:c r="K455" s="31"/>
    </x:row>
    <x:row r="456" ht="21.950000762939453" customHeight="1">
      <x:c r="A456" s="15" t="s">
        <x:v>743</x:v>
      </x:c>
      <x:c r="B456" s="12" t="s">
        <x:v>23</x:v>
      </x:c>
      <x:c r="C456" s="12" t="s">
        <x:v>101</x:v>
      </x:c>
      <x:c r="D456" s="12" t="s">
        <x:v>693</x:v>
      </x:c>
      <x:c r="E456" s="12"/>
      <x:c r="F456" s="12" t="s">
        <x:v>42</x:v>
      </x:c>
      <x:c r="G456" s="18">
        <x:v>622</x:v>
      </x:c>
      <x:c r="H456" s="21" t="n">
        <x:f>IF(SUMIFS('İndirimler'!$C$2:$C$210,'İndirimler'!$A$2:$A$210,B456,'İndirimler'!$B$2:$B$210,C456)&gt;0,ROUND(G456*(1-SUMIFS('İndirimler'!$C$2:$C$210,'İndirimler'!$A$2:$A$210,B456,'İndirimler'!$B$2:$B$210,C456)),2),"")</x:f>
        <x:v>528.7</x:v>
      </x:c>
      <x:c r="I456" s="24" t="n">
        <x:f>IF(SUMIFS('İndirimler'!$D$2:$D$210,'İndirimler'!$A$2:$A$210,B456,'İndirimler'!$B$2:$B$210,C456)&gt;0,ROUND(G456*(1-SUMIFS('İndirimler'!$D$2:$D$210,'İndirimler'!$A$2:$A$210,B456,'İndirimler'!$B$2:$B$210,C456)),2),"")</x:f>
        <x:v>435.4</x:v>
      </x:c>
      <x:c r="J456" s="12"/>
      <x:c r="K456" s="31"/>
    </x:row>
    <x:row r="457" ht="21.950000762939453" customHeight="1">
      <x:c r="A457" s="15" t="s">
        <x:v>744</x:v>
      </x:c>
      <x:c r="B457" s="12" t="s">
        <x:v>55</x:v>
      </x:c>
      <x:c r="C457" s="12" t="s">
        <x:v>101</x:v>
      </x:c>
      <x:c r="D457" s="12" t="s">
        <x:v>693</x:v>
      </x:c>
      <x:c r="E457" s="12"/>
      <x:c r="F457" s="12" t="s">
        <x:v>16</x:v>
      </x:c>
      <x:c r="G457" s="18">
        <x:v>346</x:v>
      </x:c>
      <x:c r="H457" s="21" t="n">
        <x:f>IF(SUMIFS('İndirimler'!$C$2:$C$210,'İndirimler'!$A$2:$A$210,B457,'İndirimler'!$B$2:$B$210,C457)&gt;0,ROUND(G457*(1-SUMIFS('İndirimler'!$C$2:$C$210,'İndirimler'!$A$2:$A$210,B457,'İndirimler'!$B$2:$B$210,C457)),2),"")</x:f>
        <x:v>294.1</x:v>
      </x:c>
      <x:c r="I457" s="24" t="n">
        <x:f>IF(SUMIFS('İndirimler'!$D$2:$D$210,'İndirimler'!$A$2:$A$210,B457,'İndirimler'!$B$2:$B$210,C457)&gt;0,ROUND(G457*(1-SUMIFS('İndirimler'!$D$2:$D$210,'İndirimler'!$A$2:$A$210,B457,'İndirimler'!$B$2:$B$210,C457)),2),"")</x:f>
        <x:v>242.2</x:v>
      </x:c>
      <x:c r="J457" s="12"/>
      <x:c r="K457" s="31"/>
    </x:row>
    <x:row r="458" ht="21.950000762939453" customHeight="1">
      <x:c r="A458" s="15" t="s">
        <x:v>745</x:v>
      </x:c>
      <x:c r="B458" s="12" t="s">
        <x:v>18</x:v>
      </x:c>
      <x:c r="C458" s="12" t="s">
        <x:v>101</x:v>
      </x:c>
      <x:c r="D458" s="12" t="s">
        <x:v>693</x:v>
      </x:c>
      <x:c r="E458" s="12" t="s">
        <x:v>109</x:v>
      </x:c>
      <x:c r="F458" s="12" t="s">
        <x:v>16</x:v>
      </x:c>
      <x:c r="G458" s="18">
        <x:v>375</x:v>
      </x:c>
      <x:c r="H458" s="21" t="n">
        <x:f>IF(SUMIFS('İndirimler'!$C$2:$C$210,'İndirimler'!$A$2:$A$210,B458,'İndirimler'!$B$2:$B$210,C458)&gt;0,ROUND(G458*(1-SUMIFS('İndirimler'!$C$2:$C$210,'İndirimler'!$A$2:$A$210,B458,'İndirimler'!$B$2:$B$210,C458)),2),"")</x:f>
        <x:v>318.75</x:v>
      </x:c>
      <x:c r="I458" s="24" t="n">
        <x:f>IF(SUMIFS('İndirimler'!$D$2:$D$210,'İndirimler'!$A$2:$A$210,B458,'İndirimler'!$B$2:$B$210,C458)&gt;0,ROUND(G458*(1-SUMIFS('İndirimler'!$D$2:$D$210,'İndirimler'!$A$2:$A$210,B458,'İndirimler'!$B$2:$B$210,C458)),2),"")</x:f>
        <x:v>262.5</x:v>
      </x:c>
      <x:c r="J458" s="30" t="s">
        <x:v>746</x:v>
      </x:c>
      <x:c r="K458" s="31"/>
    </x:row>
    <x:row r="459" ht="21.950000762939453" customHeight="1">
      <x:c r="A459" s="15" t="s">
        <x:v>747</x:v>
      </x:c>
      <x:c r="B459" s="12" t="s">
        <x:v>698</x:v>
      </x:c>
      <x:c r="C459" s="12" t="s">
        <x:v>101</x:v>
      </x:c>
      <x:c r="D459" s="12" t="s">
        <x:v>693</x:v>
      </x:c>
      <x:c r="E459" s="12"/>
      <x:c r="F459" s="12" t="s">
        <x:v>16</x:v>
      </x:c>
      <x:c r="G459" s="18"/>
      <x:c r="H459" s="21" t="n">
        <x:f>IF(SUMIFS('İndirimler'!$C$2:$C$210,'İndirimler'!$A$2:$A$210,B459,'İndirimler'!$B$2:$B$210,C459)&gt;0,ROUND(G459*(1-SUMIFS('İndirimler'!$C$2:$C$210,'İndirimler'!$A$2:$A$210,B459,'İndirimler'!$B$2:$B$210,C459)),2),"")</x:f>
        <x:v>0</x:v>
      </x:c>
      <x:c r="I459" s="24" t="n">
        <x:f>IF(SUMIFS('İndirimler'!$D$2:$D$210,'İndirimler'!$A$2:$A$210,B459,'İndirimler'!$B$2:$B$210,C459)&gt;0,ROUND(G459*(1-SUMIFS('İndirimler'!$D$2:$D$210,'İndirimler'!$A$2:$A$210,B459,'İndirimler'!$B$2:$B$210,C459)),2),"")</x:f>
        <x:v>0</x:v>
      </x:c>
      <x:c r="J459" s="12"/>
      <x:c r="K459" s="31"/>
    </x:row>
    <x:row r="460" ht="21.950000762939453" customHeight="1">
      <x:c r="A460" s="15" t="s">
        <x:v>748</x:v>
      </x:c>
      <x:c r="B460" s="12" t="s">
        <x:v>63</x:v>
      </x:c>
      <x:c r="C460" s="12" t="s">
        <x:v>101</x:v>
      </x:c>
      <x:c r="D460" s="12" t="s">
        <x:v>693</x:v>
      </x:c>
      <x:c r="E460" s="12" t="s">
        <x:v>64</x:v>
      </x:c>
      <x:c r="F460" s="12" t="s">
        <x:v>16</x:v>
      </x:c>
      <x:c r="G460" s="18"/>
      <x:c r="H460" s="21" t="n">
        <x:f>IF(SUMIFS('İndirimler'!$C$2:$C$210,'İndirimler'!$A$2:$A$210,B460,'İndirimler'!$B$2:$B$210,C460)&gt;0,ROUND(G460*(1-SUMIFS('İndirimler'!$C$2:$C$210,'İndirimler'!$A$2:$A$210,B460,'İndirimler'!$B$2:$B$210,C460)),2),"")</x:f>
        <x:v>0</x:v>
      </x:c>
      <x:c r="I460" s="24" t="n">
        <x:f>IF(SUMIFS('İndirimler'!$D$2:$D$210,'İndirimler'!$A$2:$A$210,B460,'İndirimler'!$B$2:$B$210,C460)&gt;0,ROUND(G460*(1-SUMIFS('İndirimler'!$D$2:$D$210,'İndirimler'!$A$2:$A$210,B460,'İndirimler'!$B$2:$B$210,C460)),2),"")</x:f>
        <x:v>0</x:v>
      </x:c>
      <x:c r="J460" s="12" t="s">
        <x:v>749</x:v>
      </x:c>
      <x:c r="K460" s="31"/>
    </x:row>
    <x:row r="461" ht="21.950000762939453" customHeight="1">
      <x:c r="A461" s="15" t="s">
        <x:v>750</x:v>
      </x:c>
      <x:c r="B461" s="12" t="s">
        <x:v>23</x:v>
      </x:c>
      <x:c r="C461" s="12" t="s">
        <x:v>101</x:v>
      </x:c>
      <x:c r="D461" s="12" t="s">
        <x:v>693</x:v>
      </x:c>
      <x:c r="E461" s="12"/>
      <x:c r="F461" s="12" t="s">
        <x:v>16</x:v>
      </x:c>
      <x:c r="G461" s="18">
        <x:v>620</x:v>
      </x:c>
      <x:c r="H461" s="21" t="n">
        <x:f>IF(SUMIFS('İndirimler'!$C$2:$C$210,'İndirimler'!$A$2:$A$210,B461,'İndirimler'!$B$2:$B$210,C461)&gt;0,ROUND(G461*(1-SUMIFS('İndirimler'!$C$2:$C$210,'İndirimler'!$A$2:$A$210,B461,'İndirimler'!$B$2:$B$210,C461)),2),"")</x:f>
        <x:v>527</x:v>
      </x:c>
      <x:c r="I461" s="24" t="n">
        <x:f>IF(SUMIFS('İndirimler'!$D$2:$D$210,'İndirimler'!$A$2:$A$210,B461,'İndirimler'!$B$2:$B$210,C461)&gt;0,ROUND(G461*(1-SUMIFS('İndirimler'!$D$2:$D$210,'İndirimler'!$A$2:$A$210,B461,'İndirimler'!$B$2:$B$210,C461)),2),"")</x:f>
        <x:v>434</x:v>
      </x:c>
      <x:c r="J461" s="12"/>
      <x:c r="K461" s="31"/>
    </x:row>
    <x:row r="462" ht="21.950000762939453" customHeight="1">
      <x:c r="A462" s="15" t="s">
        <x:v>751</x:v>
      </x:c>
      <x:c r="B462" s="12" t="s">
        <x:v>50</x:v>
      </x:c>
      <x:c r="C462" s="12" t="s">
        <x:v>101</x:v>
      </x:c>
      <x:c r="D462" s="12" t="s">
        <x:v>693</x:v>
      </x:c>
      <x:c r="E462" s="12" t="s">
        <x:v>69</x:v>
      </x:c>
      <x:c r="F462" s="12" t="s">
        <x:v>16</x:v>
      </x:c>
      <x:c r="G462" s="18">
        <x:v>598</x:v>
      </x:c>
      <x:c r="H462" s="21" t="n">
        <x:f>IF(SUMIFS('İndirimler'!$C$2:$C$210,'İndirimler'!$A$2:$A$210,B462,'İndirimler'!$B$2:$B$210,C462)&gt;0,ROUND(G462*(1-SUMIFS('İndirimler'!$C$2:$C$210,'İndirimler'!$A$2:$A$210,B462,'İndirimler'!$B$2:$B$210,C462)),2),"")</x:f>
        <x:v>508.3</x:v>
      </x:c>
      <x:c r="I462" s="24" t="n">
        <x:f>IF(SUMIFS('İndirimler'!$D$2:$D$210,'İndirimler'!$A$2:$A$210,B462,'İndirimler'!$B$2:$B$210,C462)&gt;0,ROUND(G462*(1-SUMIFS('İndirimler'!$D$2:$D$210,'İndirimler'!$A$2:$A$210,B462,'İndirimler'!$B$2:$B$210,C462)),2),"")</x:f>
        <x:v>418.6</x:v>
      </x:c>
      <x:c r="J462" s="12"/>
      <x:c r="K462" s="31"/>
    </x:row>
    <x:row r="463" ht="21.950000762939453" customHeight="1">
      <x:c r="A463" s="15" t="s">
        <x:v>752</x:v>
      </x:c>
      <x:c r="B463" s="12" t="s">
        <x:v>38</x:v>
      </x:c>
      <x:c r="C463" s="12" t="s">
        <x:v>101</x:v>
      </x:c>
      <x:c r="D463" s="12" t="s">
        <x:v>693</x:v>
      </x:c>
      <x:c r="E463" s="12"/>
      <x:c r="F463" s="12" t="s">
        <x:v>16</x:v>
      </x:c>
      <x:c r="G463" s="18"/>
      <x:c r="H463" s="21" t="n">
        <x:f>IF(SUMIFS('İndirimler'!$C$2:$C$210,'İndirimler'!$A$2:$A$210,B463,'İndirimler'!$B$2:$B$210,C463)&gt;0,ROUND(G463*(1-SUMIFS('İndirimler'!$C$2:$C$210,'İndirimler'!$A$2:$A$210,B463,'İndirimler'!$B$2:$B$210,C463)),2),"")</x:f>
        <x:v>0</x:v>
      </x:c>
      <x:c r="I463" s="24" t="n">
        <x:f>IF(SUMIFS('İndirimler'!$D$2:$D$210,'İndirimler'!$A$2:$A$210,B463,'İndirimler'!$B$2:$B$210,C463)&gt;0,ROUND(G463*(1-SUMIFS('İndirimler'!$D$2:$D$210,'İndirimler'!$A$2:$A$210,B463,'İndirimler'!$B$2:$B$210,C463)),2),"")</x:f>
        <x:v>0</x:v>
      </x:c>
      <x:c r="J463" s="12"/>
      <x:c r="K463" s="31"/>
    </x:row>
    <x:row r="464" ht="21.950000762939453" customHeight="1">
      <x:c r="A464" s="15" t="s">
        <x:v>753</x:v>
      </x:c>
      <x:c r="B464" s="12" t="s">
        <x:v>72</x:v>
      </x:c>
      <x:c r="C464" s="12" t="s">
        <x:v>101</x:v>
      </x:c>
      <x:c r="D464" s="12" t="s">
        <x:v>693</x:v>
      </x:c>
      <x:c r="E464" s="12"/>
      <x:c r="F464" s="12" t="s">
        <x:v>73</x:v>
      </x:c>
      <x:c r="G464" s="18"/>
      <x:c r="H464" s="21" t="n">
        <x:f>IF(SUMIFS('İndirimler'!$C$2:$C$210,'İndirimler'!$A$2:$A$210,B464,'İndirimler'!$B$2:$B$210,C464)&gt;0,ROUND(G464*(1-SUMIFS('İndirimler'!$C$2:$C$210,'İndirimler'!$A$2:$A$210,B464,'İndirimler'!$B$2:$B$210,C464)),2),"")</x:f>
        <x:v>0</x:v>
      </x:c>
      <x:c r="I464" s="24" t="n">
        <x:f>IF(SUMIFS('İndirimler'!$D$2:$D$210,'İndirimler'!$A$2:$A$210,B464,'İndirimler'!$B$2:$B$210,C464)&gt;0,ROUND(G464*(1-SUMIFS('İndirimler'!$D$2:$D$210,'İndirimler'!$A$2:$A$210,B464,'İndirimler'!$B$2:$B$210,C464)),2),"")</x:f>
        <x:v>0</x:v>
      </x:c>
      <x:c r="J464" s="12"/>
      <x:c r="K464" s="31"/>
    </x:row>
    <x:row r="465" ht="21.950000762939453" customHeight="1">
      <x:c r="A465" s="15" t="s">
        <x:v>754</x:v>
      </x:c>
      <x:c r="B465" s="12" t="s">
        <x:v>18</x:v>
      </x:c>
      <x:c r="C465" s="12" t="s">
        <x:v>13</x:v>
      </x:c>
      <x:c r="D465" s="12" t="s">
        <x:v>693</x:v>
      </x:c>
      <x:c r="E465" s="12"/>
      <x:c r="F465" s="12" t="s">
        <x:v>16</x:v>
      </x:c>
      <x:c r="G465" s="18">
        <x:v>459</x:v>
      </x:c>
      <x:c r="H465" s="21" t="n">
        <x:f>IF(SUMIFS('İndirimler'!$C$2:$C$210,'İndirimler'!$A$2:$A$210,B465,'İndirimler'!$B$2:$B$210,C465)&gt;0,ROUND(G465*(1-SUMIFS('İndirimler'!$C$2:$C$210,'İndirimler'!$A$2:$A$210,B465,'İndirimler'!$B$2:$B$210,C465)),2),"")</x:f>
        <x:v>390.15</x:v>
      </x:c>
      <x:c r="I465" s="24" t="n">
        <x:f>IF(SUMIFS('İndirimler'!$D$2:$D$210,'İndirimler'!$A$2:$A$210,B465,'İndirimler'!$B$2:$B$210,C465)&gt;0,ROUND(G465*(1-SUMIFS('İndirimler'!$D$2:$D$210,'İndirimler'!$A$2:$A$210,B465,'İndirimler'!$B$2:$B$210,C465)),2),"")</x:f>
        <x:v>321.3</x:v>
      </x:c>
      <x:c r="J465" s="12" t="s">
        <x:v>755</x:v>
      </x:c>
      <x:c r="K465" s="31"/>
    </x:row>
    <x:row r="466" ht="21.950000762939453" customHeight="1">
      <x:c r="A466" s="15" t="s">
        <x:v>756</x:v>
      </x:c>
      <x:c r="B466" s="12" t="s">
        <x:v>698</x:v>
      </x:c>
      <x:c r="C466" s="12" t="s">
        <x:v>13</x:v>
      </x:c>
      <x:c r="D466" s="12" t="s">
        <x:v>693</x:v>
      </x:c>
      <x:c r="E466" s="12"/>
      <x:c r="F466" s="12" t="s">
        <x:v>16</x:v>
      </x:c>
      <x:c r="G466" s="18">
        <x:v>429</x:v>
      </x:c>
      <x:c r="H466" s="21" t="n">
        <x:f>IF(SUMIFS('İndirimler'!$C$2:$C$210,'İndirimler'!$A$2:$A$210,B466,'İndirimler'!$B$2:$B$210,C466)&gt;0,ROUND(G466*(1-SUMIFS('İndirimler'!$C$2:$C$210,'İndirimler'!$A$2:$A$210,B466,'İndirimler'!$B$2:$B$210,C466)),2),"")</x:f>
        <x:v>364.65</x:v>
      </x:c>
      <x:c r="I466" s="24" t="n">
        <x:f>IF(SUMIFS('İndirimler'!$D$2:$D$210,'İndirimler'!$A$2:$A$210,B466,'İndirimler'!$B$2:$B$210,C466)&gt;0,ROUND(G466*(1-SUMIFS('İndirimler'!$D$2:$D$210,'İndirimler'!$A$2:$A$210,B466,'İndirimler'!$B$2:$B$210,C466)),2),"")</x:f>
        <x:v>300.3</x:v>
      </x:c>
      <x:c r="J466" s="12"/>
      <x:c r="K466" s="31"/>
    </x:row>
    <x:row r="467" ht="21.950000762939453" customHeight="1">
      <x:c r="A467" s="15" t="s">
        <x:v>757</x:v>
      </x:c>
      <x:c r="B467" s="12" t="s">
        <x:v>23</x:v>
      </x:c>
      <x:c r="C467" s="12" t="s">
        <x:v>13</x:v>
      </x:c>
      <x:c r="D467" s="12" t="s">
        <x:v>693</x:v>
      </x:c>
      <x:c r="E467" s="12"/>
      <x:c r="F467" s="12" t="s">
        <x:v>16</x:v>
      </x:c>
      <x:c r="G467" s="18">
        <x:v>470</x:v>
      </x:c>
      <x:c r="H467" s="21" t="n">
        <x:f>IF(SUMIFS('İndirimler'!$C$2:$C$210,'İndirimler'!$A$2:$A$210,B467,'İndirimler'!$B$2:$B$210,C467)&gt;0,ROUND(G467*(1-SUMIFS('İndirimler'!$C$2:$C$210,'İndirimler'!$A$2:$A$210,B467,'İndirimler'!$B$2:$B$210,C467)),2),"")</x:f>
        <x:v>399.5</x:v>
      </x:c>
      <x:c r="I467" s="24" t="n">
        <x:f>IF(SUMIFS('İndirimler'!$D$2:$D$210,'İndirimler'!$A$2:$A$210,B467,'İndirimler'!$B$2:$B$210,C467)&gt;0,ROUND(G467*(1-SUMIFS('İndirimler'!$D$2:$D$210,'İndirimler'!$A$2:$A$210,B467,'İndirimler'!$B$2:$B$210,C467)),2),"")</x:f>
        <x:v>329</x:v>
      </x:c>
      <x:c r="J467" s="12"/>
      <x:c r="K467" s="31"/>
    </x:row>
    <x:row r="468" ht="21.950000762939453" customHeight="1">
      <x:c r="A468" s="15" t="s">
        <x:v>758</x:v>
      </x:c>
      <x:c r="B468" s="12" t="s">
        <x:v>44</x:v>
      </x:c>
      <x:c r="C468" s="12" t="s">
        <x:v>76</x:v>
      </x:c>
      <x:c r="D468" s="12" t="s">
        <x:v>759</x:v>
      </x:c>
      <x:c r="E468" s="12" t="s">
        <x:v>45</x:v>
      </x:c>
      <x:c r="F468" s="12" t="s">
        <x:v>42</x:v>
      </x:c>
      <x:c r="G468" s="18">
        <x:v>274</x:v>
      </x:c>
      <x:c r="H468" s="21" t="n">
        <x:f>IF(SUMIFS('İndirimler'!$C$2:$C$210,'İndirimler'!$A$2:$A$210,B468,'İndirimler'!$B$2:$B$210,C468)&gt;0,ROUND(G468*(1-SUMIFS('İndirimler'!$C$2:$C$210,'İndirimler'!$A$2:$A$210,B468,'İndirimler'!$B$2:$B$210,C468)),2),"")</x:f>
        <x:v>232.9</x:v>
      </x:c>
      <x:c r="I468" s="24" t="n">
        <x:f>IF(SUMIFS('İndirimler'!$D$2:$D$210,'İndirimler'!$A$2:$A$210,B468,'İndirimler'!$B$2:$B$210,C468)&gt;0,ROUND(G468*(1-SUMIFS('İndirimler'!$D$2:$D$210,'İndirimler'!$A$2:$A$210,B468,'İndirimler'!$B$2:$B$210,C468)),2),"")</x:f>
        <x:v>191.8</x:v>
      </x:c>
      <x:c r="J468" s="12" t="s">
        <x:v>760</x:v>
      </x:c>
      <x:c r="K468" s="31"/>
    </x:row>
    <x:row r="469" ht="21.950000762939453" customHeight="1">
      <x:c r="A469" s="15" t="s">
        <x:v>761</x:v>
      </x:c>
      <x:c r="B469" s="12" t="s">
        <x:v>55</x:v>
      </x:c>
      <x:c r="C469" s="12" t="s">
        <x:v>76</x:v>
      </x:c>
      <x:c r="D469" s="12" t="s">
        <x:v>759</x:v>
      </x:c>
      <x:c r="E469" s="12"/>
      <x:c r="F469" s="12" t="s">
        <x:v>16</x:v>
      </x:c>
      <x:c r="G469" s="18">
        <x:v>278</x:v>
      </x:c>
      <x:c r="H469" s="21" t="n">
        <x:f>IF(SUMIFS('İndirimler'!$C$2:$C$210,'İndirimler'!$A$2:$A$210,B469,'İndirimler'!$B$2:$B$210,C469)&gt;0,ROUND(G469*(1-SUMIFS('İndirimler'!$C$2:$C$210,'İndirimler'!$A$2:$A$210,B469,'İndirimler'!$B$2:$B$210,C469)),2),"")</x:f>
        <x:v>236.3</x:v>
      </x:c>
      <x:c r="I469" s="24" t="n">
        <x:f>IF(SUMIFS('İndirimler'!$D$2:$D$210,'İndirimler'!$A$2:$A$210,B469,'İndirimler'!$B$2:$B$210,C469)&gt;0,ROUND(G469*(1-SUMIFS('İndirimler'!$D$2:$D$210,'İndirimler'!$A$2:$A$210,B469,'İndirimler'!$B$2:$B$210,C469)),2),"")</x:f>
        <x:v>194.6</x:v>
      </x:c>
      <x:c r="J469" s="12" t="s">
        <x:v>762</x:v>
      </x:c>
      <x:c r="K469" s="31"/>
    </x:row>
    <x:row r="470" ht="21.950000762939453" customHeight="1">
      <x:c r="A470" s="15" t="s">
        <x:v>763</x:v>
      </x:c>
      <x:c r="B470" s="12" t="s">
        <x:v>18</x:v>
      </x:c>
      <x:c r="C470" s="12" t="s">
        <x:v>76</x:v>
      </x:c>
      <x:c r="D470" s="12" t="s">
        <x:v>759</x:v>
      </x:c>
      <x:c r="E470" s="12"/>
      <x:c r="F470" s="12" t="s">
        <x:v>16</x:v>
      </x:c>
      <x:c r="G470" s="18">
        <x:v>269</x:v>
      </x:c>
      <x:c r="H470" s="21" t="n">
        <x:f>IF(SUMIFS('İndirimler'!$C$2:$C$210,'İndirimler'!$A$2:$A$210,B470,'İndirimler'!$B$2:$B$210,C470)&gt;0,ROUND(G470*(1-SUMIFS('İndirimler'!$C$2:$C$210,'İndirimler'!$A$2:$A$210,B470,'İndirimler'!$B$2:$B$210,C470)),2),"")</x:f>
        <x:v>228.65</x:v>
      </x:c>
      <x:c r="I470" s="24" t="n">
        <x:f>IF(SUMIFS('İndirimler'!$D$2:$D$210,'İndirimler'!$A$2:$A$210,B470,'İndirimler'!$B$2:$B$210,C470)&gt;0,ROUND(G470*(1-SUMIFS('İndirimler'!$D$2:$D$210,'İndirimler'!$A$2:$A$210,B470,'İndirimler'!$B$2:$B$210,C470)),2),"")</x:f>
        <x:v>188.3</x:v>
      </x:c>
      <x:c r="J470" s="30" t="s">
        <x:v>764</x:v>
      </x:c>
      <x:c r="K470" s="31"/>
    </x:row>
    <x:row r="471" ht="21.950000762939453" customHeight="1">
      <x:c r="A471" s="15" t="s">
        <x:v>765</x:v>
      </x:c>
      <x:c r="B471" s="12" t="s">
        <x:v>44</x:v>
      </x:c>
      <x:c r="C471" s="12" t="s">
        <x:v>76</x:v>
      </x:c>
      <x:c r="D471" s="12" t="s">
        <x:v>759</x:v>
      </x:c>
      <x:c r="E471" s="12" t="s">
        <x:v>60</x:v>
      </x:c>
      <x:c r="F471" s="12" t="s">
        <x:v>16</x:v>
      </x:c>
      <x:c r="G471" s="18">
        <x:v>274</x:v>
      </x:c>
      <x:c r="H471" s="21" t="n">
        <x:f>IF(SUMIFS('İndirimler'!$C$2:$C$210,'İndirimler'!$A$2:$A$210,B471,'İndirimler'!$B$2:$B$210,C471)&gt;0,ROUND(G471*(1-SUMIFS('İndirimler'!$C$2:$C$210,'İndirimler'!$A$2:$A$210,B471,'İndirimler'!$B$2:$B$210,C471)),2),"")</x:f>
        <x:v>232.9</x:v>
      </x:c>
      <x:c r="I471" s="24" t="n">
        <x:f>IF(SUMIFS('İndirimler'!$D$2:$D$210,'İndirimler'!$A$2:$A$210,B471,'İndirimler'!$B$2:$B$210,C471)&gt;0,ROUND(G471*(1-SUMIFS('İndirimler'!$D$2:$D$210,'İndirimler'!$A$2:$A$210,B471,'İndirimler'!$B$2:$B$210,C471)),2),"")</x:f>
        <x:v>191.8</x:v>
      </x:c>
      <x:c r="J471" s="12" t="s">
        <x:v>766</x:v>
      </x:c>
      <x:c r="K471" s="31"/>
    </x:row>
    <x:row r="472" ht="21.950000762939453" customHeight="1">
      <x:c r="A472" s="15" t="s">
        <x:v>767</x:v>
      </x:c>
      <x:c r="B472" s="12" t="s">
        <x:v>50</x:v>
      </x:c>
      <x:c r="C472" s="12" t="s">
        <x:v>76</x:v>
      </x:c>
      <x:c r="D472" s="12" t="s">
        <x:v>759</x:v>
      </x:c>
      <x:c r="E472" s="12" t="s">
        <x:v>69</x:v>
      </x:c>
      <x:c r="F472" s="12" t="s">
        <x:v>16</x:v>
      </x:c>
      <x:c r="G472" s="18">
        <x:v>563</x:v>
      </x:c>
      <x:c r="H472" s="21" t="n">
        <x:f>IF(SUMIFS('İndirimler'!$C$2:$C$210,'İndirimler'!$A$2:$A$210,B472,'İndirimler'!$B$2:$B$210,C472)&gt;0,ROUND(G472*(1-SUMIFS('İndirimler'!$C$2:$C$210,'İndirimler'!$A$2:$A$210,B472,'İndirimler'!$B$2:$B$210,C472)),2),"")</x:f>
        <x:v>478.55</x:v>
      </x:c>
      <x:c r="I472" s="24" t="n">
        <x:f>IF(SUMIFS('İndirimler'!$D$2:$D$210,'İndirimler'!$A$2:$A$210,B472,'İndirimler'!$B$2:$B$210,C472)&gt;0,ROUND(G472*(1-SUMIFS('İndirimler'!$D$2:$D$210,'İndirimler'!$A$2:$A$210,B472,'İndirimler'!$B$2:$B$210,C472)),2),"")</x:f>
        <x:v>394.1</x:v>
      </x:c>
      <x:c r="J472" s="12"/>
      <x:c r="K472" s="31"/>
    </x:row>
    <x:row r="473" ht="21.950000762939453" customHeight="1">
      <x:c r="A473" s="15" t="s">
        <x:v>768</x:v>
      </x:c>
      <x:c r="B473" s="12" t="s">
        <x:v>38</x:v>
      </x:c>
      <x:c r="C473" s="12" t="s">
        <x:v>76</x:v>
      </x:c>
      <x:c r="D473" s="12" t="s">
        <x:v>759</x:v>
      </x:c>
      <x:c r="E473" s="12" t="s">
        <x:v>69</x:v>
      </x:c>
      <x:c r="F473" s="12" t="s">
        <x:v>16</x:v>
      </x:c>
      <x:c r="G473" s="18">
        <x:v>345</x:v>
      </x:c>
      <x:c r="H473" s="21" t="n">
        <x:f>IF(SUMIFS('İndirimler'!$C$2:$C$210,'İndirimler'!$A$2:$A$210,B473,'İndirimler'!$B$2:$B$210,C473)&gt;0,ROUND(G473*(1-SUMIFS('İndirimler'!$C$2:$C$210,'İndirimler'!$A$2:$A$210,B473,'İndirimler'!$B$2:$B$210,C473)),2),"")</x:f>
        <x:v>293.25</x:v>
      </x:c>
      <x:c r="I473" s="24" t="n">
        <x:f>IF(SUMIFS('İndirimler'!$D$2:$D$210,'İndirimler'!$A$2:$A$210,B473,'İndirimler'!$B$2:$B$210,C473)&gt;0,ROUND(G473*(1-SUMIFS('İndirimler'!$D$2:$D$210,'İndirimler'!$A$2:$A$210,B473,'İndirimler'!$B$2:$B$210,C473)),2),"")</x:f>
        <x:v>241.5</x:v>
      </x:c>
      <x:c r="J473" s="12" t="s">
        <x:v>769</x:v>
      </x:c>
      <x:c r="K473" s="31"/>
    </x:row>
    <x:row r="474" ht="21.950000762939453" customHeight="1">
      <x:c r="A474" s="15" t="s">
        <x:v>770</x:v>
      </x:c>
      <x:c r="B474" s="12" t="s">
        <x:v>72</x:v>
      </x:c>
      <x:c r="C474" s="12" t="s">
        <x:v>101</x:v>
      </x:c>
      <x:c r="D474" s="12" t="s">
        <x:v>759</x:v>
      </x:c>
      <x:c r="E474" s="12" t="s">
        <x:v>104</x:v>
      </x:c>
      <x:c r="F474" s="12" t="s">
        <x:v>42</x:v>
      </x:c>
      <x:c r="G474" s="18"/>
      <x:c r="H474" s="21" t="n">
        <x:f>IF(SUMIFS('İndirimler'!$C$2:$C$210,'İndirimler'!$A$2:$A$210,B474,'İndirimler'!$B$2:$B$210,C474)&gt;0,ROUND(G474*(1-SUMIFS('İndirimler'!$C$2:$C$210,'İndirimler'!$A$2:$A$210,B474,'İndirimler'!$B$2:$B$210,C474)),2),"")</x:f>
        <x:v>0</x:v>
      </x:c>
      <x:c r="I474" s="24" t="n">
        <x:f>IF(SUMIFS('İndirimler'!$D$2:$D$210,'İndirimler'!$A$2:$A$210,B474,'İndirimler'!$B$2:$B$210,C474)&gt;0,ROUND(G474*(1-SUMIFS('İndirimler'!$D$2:$D$210,'İndirimler'!$A$2:$A$210,B474,'İndirimler'!$B$2:$B$210,C474)),2),"")</x:f>
        <x:v>0</x:v>
      </x:c>
      <x:c r="J474" s="12"/>
      <x:c r="K474" s="31"/>
    </x:row>
    <x:row r="475" ht="21.950000762939453" customHeight="1">
      <x:c r="A475" s="15" t="s">
        <x:v>771</x:v>
      </x:c>
      <x:c r="B475" s="12" t="s">
        <x:v>23</x:v>
      </x:c>
      <x:c r="C475" s="12" t="s">
        <x:v>101</x:v>
      </x:c>
      <x:c r="D475" s="12" t="s">
        <x:v>759</x:v>
      </x:c>
      <x:c r="E475" s="12"/>
      <x:c r="F475" s="12" t="s">
        <x:v>42</x:v>
      </x:c>
      <x:c r="G475" s="18">
        <x:v>424</x:v>
      </x:c>
      <x:c r="H475" s="21" t="n">
        <x:f>IF(SUMIFS('İndirimler'!$C$2:$C$210,'İndirimler'!$A$2:$A$210,B475,'İndirimler'!$B$2:$B$210,C475)&gt;0,ROUND(G475*(1-SUMIFS('İndirimler'!$C$2:$C$210,'İndirimler'!$A$2:$A$210,B475,'İndirimler'!$B$2:$B$210,C475)),2),"")</x:f>
        <x:v>360.4</x:v>
      </x:c>
      <x:c r="I475" s="24" t="n">
        <x:f>IF(SUMIFS('İndirimler'!$D$2:$D$210,'İndirimler'!$A$2:$A$210,B475,'İndirimler'!$B$2:$B$210,C475)&gt;0,ROUND(G475*(1-SUMIFS('İndirimler'!$D$2:$D$210,'İndirimler'!$A$2:$A$210,B475,'İndirimler'!$B$2:$B$210,C475)),2),"")</x:f>
        <x:v>296.8</x:v>
      </x:c>
      <x:c r="J475" s="12"/>
      <x:c r="K475" s="31"/>
    </x:row>
    <x:row r="476" ht="21.950000762939453" customHeight="1">
      <x:c r="A476" s="15" t="s">
        <x:v>772</x:v>
      </x:c>
      <x:c r="B476" s="12" t="s">
        <x:v>55</x:v>
      </x:c>
      <x:c r="C476" s="12" t="s">
        <x:v>101</x:v>
      </x:c>
      <x:c r="D476" s="12" t="s">
        <x:v>759</x:v>
      </x:c>
      <x:c r="E476" s="12"/>
      <x:c r="F476" s="12" t="s">
        <x:v>16</x:v>
      </x:c>
      <x:c r="G476" s="18">
        <x:v>256</x:v>
      </x:c>
      <x:c r="H476" s="21" t="n">
        <x:f>IF(SUMIFS('İndirimler'!$C$2:$C$210,'İndirimler'!$A$2:$A$210,B476,'İndirimler'!$B$2:$B$210,C476)&gt;0,ROUND(G476*(1-SUMIFS('İndirimler'!$C$2:$C$210,'İndirimler'!$A$2:$A$210,B476,'İndirimler'!$B$2:$B$210,C476)),2),"")</x:f>
        <x:v>217.6</x:v>
      </x:c>
      <x:c r="I476" s="24" t="n">
        <x:f>IF(SUMIFS('İndirimler'!$D$2:$D$210,'İndirimler'!$A$2:$A$210,B476,'İndirimler'!$B$2:$B$210,C476)&gt;0,ROUND(G476*(1-SUMIFS('İndirimler'!$D$2:$D$210,'İndirimler'!$A$2:$A$210,B476,'İndirimler'!$B$2:$B$210,C476)),2),"")</x:f>
        <x:v>179.2</x:v>
      </x:c>
      <x:c r="J476" s="12"/>
      <x:c r="K476" s="31"/>
    </x:row>
    <x:row r="477" ht="21.950000762939453" customHeight="1">
      <x:c r="A477" s="15" t="s">
        <x:v>773</x:v>
      </x:c>
      <x:c r="B477" s="12" t="s">
        <x:v>18</x:v>
      </x:c>
      <x:c r="C477" s="12" t="s">
        <x:v>101</x:v>
      </x:c>
      <x:c r="D477" s="12" t="s">
        <x:v>759</x:v>
      </x:c>
      <x:c r="E477" s="12"/>
      <x:c r="F477" s="12" t="s">
        <x:v>16</x:v>
      </x:c>
      <x:c r="G477" s="18"/>
      <x:c r="H477" s="21" t="n">
        <x:f>IF(SUMIFS('İndirimler'!$C$2:$C$210,'İndirimler'!$A$2:$A$210,B477,'İndirimler'!$B$2:$B$210,C477)&gt;0,ROUND(G477*(1-SUMIFS('İndirimler'!$C$2:$C$210,'İndirimler'!$A$2:$A$210,B477,'İndirimler'!$B$2:$B$210,C477)),2),"")</x:f>
        <x:v>0</x:v>
      </x:c>
      <x:c r="I477" s="24" t="n">
        <x:f>IF(SUMIFS('İndirimler'!$D$2:$D$210,'İndirimler'!$A$2:$A$210,B477,'İndirimler'!$B$2:$B$210,C477)&gt;0,ROUND(G477*(1-SUMIFS('İndirimler'!$D$2:$D$210,'İndirimler'!$A$2:$A$210,B477,'İndirimler'!$B$2:$B$210,C477)),2),"")</x:f>
        <x:v>0</x:v>
      </x:c>
      <x:c r="J477" s="12"/>
      <x:c r="K477" s="31"/>
    </x:row>
    <x:row r="478" ht="21.950000762939453" customHeight="1">
      <x:c r="A478" s="15" t="s">
        <x:v>774</x:v>
      </x:c>
      <x:c r="B478" s="12" t="s">
        <x:v>50</x:v>
      </x:c>
      <x:c r="C478" s="12" t="s">
        <x:v>101</x:v>
      </x:c>
      <x:c r="D478" s="12" t="s">
        <x:v>759</x:v>
      </x:c>
      <x:c r="E478" s="12" t="s">
        <x:v>69</x:v>
      </x:c>
      <x:c r="F478" s="12" t="s">
        <x:v>16</x:v>
      </x:c>
      <x:c r="G478" s="18">
        <x:v>493</x:v>
      </x:c>
      <x:c r="H478" s="21" t="n">
        <x:f>IF(SUMIFS('İndirimler'!$C$2:$C$210,'İndirimler'!$A$2:$A$210,B478,'İndirimler'!$B$2:$B$210,C478)&gt;0,ROUND(G478*(1-SUMIFS('İndirimler'!$C$2:$C$210,'İndirimler'!$A$2:$A$210,B478,'İndirimler'!$B$2:$B$210,C478)),2),"")</x:f>
        <x:v>419.05</x:v>
      </x:c>
      <x:c r="I478" s="24" t="n">
        <x:f>IF(SUMIFS('İndirimler'!$D$2:$D$210,'İndirimler'!$A$2:$A$210,B478,'İndirimler'!$B$2:$B$210,C478)&gt;0,ROUND(G478*(1-SUMIFS('İndirimler'!$D$2:$D$210,'İndirimler'!$A$2:$A$210,B478,'İndirimler'!$B$2:$B$210,C478)),2),"")</x:f>
        <x:v>345.1</x:v>
      </x:c>
      <x:c r="J478" s="12"/>
      <x:c r="K478" s="31"/>
    </x:row>
    <x:row r="479" ht="21.950000762939453" customHeight="1">
      <x:c r="A479" s="15" t="s">
        <x:v>775</x:v>
      </x:c>
      <x:c r="B479" s="12" t="s">
        <x:v>38</x:v>
      </x:c>
      <x:c r="C479" s="12" t="s">
        <x:v>101</x:v>
      </x:c>
      <x:c r="D479" s="12" t="s">
        <x:v>759</x:v>
      </x:c>
      <x:c r="E479" s="12"/>
      <x:c r="F479" s="12" t="s">
        <x:v>16</x:v>
      </x:c>
      <x:c r="G479" s="18"/>
      <x:c r="H479" s="21" t="n">
        <x:f>IF(SUMIFS('İndirimler'!$C$2:$C$210,'İndirimler'!$A$2:$A$210,B479,'İndirimler'!$B$2:$B$210,C479)&gt;0,ROUND(G479*(1-SUMIFS('İndirimler'!$C$2:$C$210,'İndirimler'!$A$2:$A$210,B479,'İndirimler'!$B$2:$B$210,C479)),2),"")</x:f>
        <x:v>0</x:v>
      </x:c>
      <x:c r="I479" s="24" t="n">
        <x:f>IF(SUMIFS('İndirimler'!$D$2:$D$210,'İndirimler'!$A$2:$A$210,B479,'İndirimler'!$B$2:$B$210,C479)&gt;0,ROUND(G479*(1-SUMIFS('İndirimler'!$D$2:$D$210,'İndirimler'!$A$2:$A$210,B479,'İndirimler'!$B$2:$B$210,C479)),2),"")</x:f>
        <x:v>0</x:v>
      </x:c>
      <x:c r="J479" s="12"/>
      <x:c r="K479" s="31"/>
    </x:row>
    <x:row r="480" ht="21.950000762939453" customHeight="1">
      <x:c r="A480" s="15" t="s">
        <x:v>776</x:v>
      </x:c>
      <x:c r="B480" s="12" t="s">
        <x:v>72</x:v>
      </x:c>
      <x:c r="C480" s="12" t="s">
        <x:v>101</x:v>
      </x:c>
      <x:c r="D480" s="12" t="s">
        <x:v>759</x:v>
      </x:c>
      <x:c r="E480" s="12"/>
      <x:c r="F480" s="12" t="s">
        <x:v>73</x:v>
      </x:c>
      <x:c r="G480" s="18"/>
      <x:c r="H480" s="21" t="n">
        <x:f>IF(SUMIFS('İndirimler'!$C$2:$C$210,'İndirimler'!$A$2:$A$210,B480,'İndirimler'!$B$2:$B$210,C480)&gt;0,ROUND(G480*(1-SUMIFS('İndirimler'!$C$2:$C$210,'İndirimler'!$A$2:$A$210,B480,'İndirimler'!$B$2:$B$210,C480)),2),"")</x:f>
        <x:v>0</x:v>
      </x:c>
      <x:c r="I480" s="24" t="n">
        <x:f>IF(SUMIFS('İndirimler'!$D$2:$D$210,'İndirimler'!$A$2:$A$210,B480,'İndirimler'!$B$2:$B$210,C480)&gt;0,ROUND(G480*(1-SUMIFS('İndirimler'!$D$2:$D$210,'İndirimler'!$A$2:$A$210,B480,'İndirimler'!$B$2:$B$210,C480)),2),"")</x:f>
        <x:v>0</x:v>
      </x:c>
      <x:c r="J480" s="12"/>
      <x:c r="K480" s="31"/>
    </x:row>
    <x:row r="481" ht="21.950000762939453" customHeight="1">
      <x:c r="A481" s="15" t="s">
        <x:v>777</x:v>
      </x:c>
      <x:c r="B481" s="12" t="s">
        <x:v>63</x:v>
      </x:c>
      <x:c r="C481" s="12" t="s">
        <x:v>13</x:v>
      </x:c>
      <x:c r="D481" s="12" t="s">
        <x:v>778</x:v>
      </x:c>
      <x:c r="E481" s="12"/>
      <x:c r="F481" s="12" t="s">
        <x:v>16</x:v>
      </x:c>
      <x:c r="G481" s="18">
        <x:v>429</x:v>
      </x:c>
      <x:c r="H481" s="21" t="n">
        <x:f>IF(SUMIFS('İndirimler'!$C$2:$C$210,'İndirimler'!$A$2:$A$210,B481,'İndirimler'!$B$2:$B$210,C481)&gt;0,ROUND(G481*(1-SUMIFS('İndirimler'!$C$2:$C$210,'İndirimler'!$A$2:$A$210,B481,'İndirimler'!$B$2:$B$210,C481)),2),"")</x:f>
        <x:v>364.65</x:v>
      </x:c>
      <x:c r="I481" s="24" t="n">
        <x:f>IF(SUMIFS('İndirimler'!$D$2:$D$210,'İndirimler'!$A$2:$A$210,B481,'İndirimler'!$B$2:$B$210,C481)&gt;0,ROUND(G481*(1-SUMIFS('İndirimler'!$D$2:$D$210,'İndirimler'!$A$2:$A$210,B481,'İndirimler'!$B$2:$B$210,C481)),2),"")</x:f>
        <x:v>300.3</x:v>
      </x:c>
      <x:c r="J481" s="12"/>
      <x:c r="K481" s="31"/>
    </x:row>
    <x:row r="482" ht="21.950000762939453" customHeight="1">
      <x:c r="A482" s="15" t="s">
        <x:v>779</x:v>
      </x:c>
      <x:c r="B482" s="12" t="s">
        <x:v>780</x:v>
      </x:c>
      <x:c r="C482" s="12" t="s">
        <x:v>33</x:v>
      </x:c>
      <x:c r="D482" s="12" t="s">
        <x:v>781</x:v>
      </x:c>
      <x:c r="E482" s="12"/>
      <x:c r="F482" s="12" t="s">
        <x:v>42</x:v>
      </x:c>
      <x:c r="G482" s="18"/>
      <x:c r="H482" s="21" t="n">
        <x:f>IF(SUMIFS('İndirimler'!$C$2:$C$210,'İndirimler'!$A$2:$A$210,B482,'İndirimler'!$B$2:$B$210,C482)&gt;0,ROUND(G482*(1-SUMIFS('İndirimler'!$C$2:$C$210,'İndirimler'!$A$2:$A$210,B482,'İndirimler'!$B$2:$B$210,C482)),2),"")</x:f>
        <x:v>0</x:v>
      </x:c>
      <x:c r="I482" s="24" t="n">
        <x:f>IF(SUMIFS('İndirimler'!$D$2:$D$210,'İndirimler'!$A$2:$A$210,B482,'İndirimler'!$B$2:$B$210,C482)&gt;0,ROUND(G482*(1-SUMIFS('İndirimler'!$D$2:$D$210,'İndirimler'!$A$2:$A$210,B482,'İndirimler'!$B$2:$B$210,C482)),2),"")</x:f>
        <x:v>0</x:v>
      </x:c>
      <x:c r="J482" s="12"/>
      <x:c r="K482" s="31"/>
    </x:row>
    <x:row r="483" ht="21.950000762939453" customHeight="1">
      <x:c r="A483" s="15" t="s">
        <x:v>782</x:v>
      </x:c>
      <x:c r="B483" s="12" t="s">
        <x:v>780</x:v>
      </x:c>
      <x:c r="C483" s="12" t="s">
        <x:v>33</x:v>
      </x:c>
      <x:c r="D483" s="12" t="s">
        <x:v>781</x:v>
      </x:c>
      <x:c r="E483" s="12"/>
      <x:c r="F483" s="12" t="s">
        <x:v>16</x:v>
      </x:c>
      <x:c r="G483" s="18"/>
      <x:c r="H483" s="21" t="n">
        <x:f>IF(SUMIFS('İndirimler'!$C$2:$C$210,'İndirimler'!$A$2:$A$210,B483,'İndirimler'!$B$2:$B$210,C483)&gt;0,ROUND(G483*(1-SUMIFS('İndirimler'!$C$2:$C$210,'İndirimler'!$A$2:$A$210,B483,'İndirimler'!$B$2:$B$210,C483)),2),"")</x:f>
        <x:v>0</x:v>
      </x:c>
      <x:c r="I483" s="24" t="n">
        <x:f>IF(SUMIFS('İndirimler'!$D$2:$D$210,'İndirimler'!$A$2:$A$210,B483,'İndirimler'!$B$2:$B$210,C483)&gt;0,ROUND(G483*(1-SUMIFS('İndirimler'!$D$2:$D$210,'İndirimler'!$A$2:$A$210,B483,'İndirimler'!$B$2:$B$210,C483)),2),"")</x:f>
        <x:v>0</x:v>
      </x:c>
      <x:c r="J483" s="12"/>
      <x:c r="K483" s="31"/>
    </x:row>
    <x:row r="484" ht="21.950000762939453" customHeight="1">
      <x:c r="A484" s="15" t="s">
        <x:v>783</x:v>
      </x:c>
      <x:c r="B484" s="12" t="s">
        <x:v>18</x:v>
      </x:c>
      <x:c r="C484" s="12" t="s">
        <x:v>33</x:v>
      </x:c>
      <x:c r="D484" s="12" t="s">
        <x:v>781</x:v>
      </x:c>
      <x:c r="E484" s="12"/>
      <x:c r="F484" s="12" t="s">
        <x:v>784</x:v>
      </x:c>
      <x:c r="G484" s="18">
        <x:v>159</x:v>
      </x:c>
      <x:c r="H484" s="21" t="n">
        <x:f>IF(SUMIFS('İndirimler'!$C$2:$C$210,'İndirimler'!$A$2:$A$210,B484,'İndirimler'!$B$2:$B$210,C484)&gt;0,ROUND(G484*(1-SUMIFS('İndirimler'!$C$2:$C$210,'İndirimler'!$A$2:$A$210,B484,'İndirimler'!$B$2:$B$210,C484)),2),"")</x:f>
        <x:v>135.15</x:v>
      </x:c>
      <x:c r="I484" s="24" t="n">
        <x:f>IF(SUMIFS('İndirimler'!$D$2:$D$210,'İndirimler'!$A$2:$A$210,B484,'İndirimler'!$B$2:$B$210,C484)&gt;0,ROUND(G484*(1-SUMIFS('İndirimler'!$D$2:$D$210,'İndirimler'!$A$2:$A$210,B484,'İndirimler'!$B$2:$B$210,C484)),2),"")</x:f>
        <x:v>111.3</x:v>
      </x:c>
      <x:c r="J484" s="12"/>
      <x:c r="K484" s="31"/>
    </x:row>
    <x:row r="485" ht="21.950000762939453" customHeight="1">
      <x:c r="A485" s="15" t="s">
        <x:v>785</x:v>
      </x:c>
      <x:c r="B485" s="12" t="s">
        <x:v>780</x:v>
      </x:c>
      <x:c r="C485" s="12" t="s">
        <x:v>76</x:v>
      </x:c>
      <x:c r="D485" s="12" t="s">
        <x:v>781</x:v>
      </x:c>
      <x:c r="E485" s="12"/>
      <x:c r="F485" s="12" t="s">
        <x:v>42</x:v>
      </x:c>
      <x:c r="G485" s="18"/>
      <x:c r="H485" s="21" t="n">
        <x:f>IF(SUMIFS('İndirimler'!$C$2:$C$210,'İndirimler'!$A$2:$A$210,B485,'İndirimler'!$B$2:$B$210,C485)&gt;0,ROUND(G485*(1-SUMIFS('İndirimler'!$C$2:$C$210,'İndirimler'!$A$2:$A$210,B485,'İndirimler'!$B$2:$B$210,C485)),2),"")</x:f>
        <x:v>0</x:v>
      </x:c>
      <x:c r="I485" s="24" t="n">
        <x:f>IF(SUMIFS('İndirimler'!$D$2:$D$210,'İndirimler'!$A$2:$A$210,B485,'İndirimler'!$B$2:$B$210,C485)&gt;0,ROUND(G485*(1-SUMIFS('İndirimler'!$D$2:$D$210,'İndirimler'!$A$2:$A$210,B485,'İndirimler'!$B$2:$B$210,C485)),2),"")</x:f>
        <x:v>0</x:v>
      </x:c>
      <x:c r="J485" s="12"/>
      <x:c r="K485" s="31"/>
    </x:row>
    <x:row r="486" ht="21.950000762939453" customHeight="1">
      <x:c r="A486" s="15" t="s">
        <x:v>786</x:v>
      </x:c>
      <x:c r="B486" s="12" t="s">
        <x:v>780</x:v>
      </x:c>
      <x:c r="C486" s="12" t="s">
        <x:v>76</x:v>
      </x:c>
      <x:c r="D486" s="12" t="s">
        <x:v>781</x:v>
      </x:c>
      <x:c r="E486" s="12"/>
      <x:c r="F486" s="12" t="s">
        <x:v>16</x:v>
      </x:c>
      <x:c r="G486" s="18"/>
      <x:c r="H486" s="21" t="n">
        <x:f>IF(SUMIFS('İndirimler'!$C$2:$C$210,'İndirimler'!$A$2:$A$210,B486,'İndirimler'!$B$2:$B$210,C486)&gt;0,ROUND(G486*(1-SUMIFS('İndirimler'!$C$2:$C$210,'İndirimler'!$A$2:$A$210,B486,'İndirimler'!$B$2:$B$210,C486)),2),"")</x:f>
        <x:v>0</x:v>
      </x:c>
      <x:c r="I486" s="24" t="n">
        <x:f>IF(SUMIFS('İndirimler'!$D$2:$D$210,'İndirimler'!$A$2:$A$210,B486,'İndirimler'!$B$2:$B$210,C486)&gt;0,ROUND(G486*(1-SUMIFS('İndirimler'!$D$2:$D$210,'İndirimler'!$A$2:$A$210,B486,'İndirimler'!$B$2:$B$210,C486)),2),"")</x:f>
        <x:v>0</x:v>
      </x:c>
      <x:c r="J486" s="12"/>
      <x:c r="K486" s="31"/>
    </x:row>
    <x:row r="487" ht="21.950000762939453" customHeight="1">
      <x:c r="A487" s="15" t="s">
        <x:v>787</x:v>
      </x:c>
      <x:c r="B487" s="12" t="s">
        <x:v>50</x:v>
      </x:c>
      <x:c r="C487" s="12" t="s">
        <x:v>33</x:v>
      </x:c>
      <x:c r="D487" s="12" t="s">
        <x:v>788</x:v>
      </x:c>
      <x:c r="E487" s="12" t="s">
        <x:v>69</x:v>
      </x:c>
      <x:c r="F487" s="12" t="s">
        <x:v>16</x:v>
      </x:c>
      <x:c r="G487" s="18">
        <x:v>282</x:v>
      </x:c>
      <x:c r="H487" s="21" t="n">
        <x:f>IF(SUMIFS('İndirimler'!$C$2:$C$210,'İndirimler'!$A$2:$A$210,B487,'İndirimler'!$B$2:$B$210,C487)&gt;0,ROUND(G487*(1-SUMIFS('İndirimler'!$C$2:$C$210,'İndirimler'!$A$2:$A$210,B487,'İndirimler'!$B$2:$B$210,C487)),2),"")</x:f>
        <x:v>239.7</x:v>
      </x:c>
      <x:c r="I487" s="24" t="n">
        <x:f>IF(SUMIFS('İndirimler'!$D$2:$D$210,'İndirimler'!$A$2:$A$210,B487,'İndirimler'!$B$2:$B$210,C487)&gt;0,ROUND(G487*(1-SUMIFS('İndirimler'!$D$2:$D$210,'İndirimler'!$A$2:$A$210,B487,'İndirimler'!$B$2:$B$210,C487)),2),"")</x:f>
        <x:v>197.4</x:v>
      </x:c>
      <x:c r="J487" s="12"/>
      <x:c r="K487" s="31"/>
    </x:row>
    <x:row r="488" ht="21.950000762939453" customHeight="1">
      <x:c r="A488" s="16" t="s">
        <x:v>789</x:v>
      </x:c>
      <x:c r="B488" s="13" t="s">
        <x:v>50</x:v>
      </x:c>
      <x:c r="C488" s="13" t="s">
        <x:v>76</x:v>
      </x:c>
      <x:c r="D488" s="13" t="s">
        <x:v>788</x:v>
      </x:c>
      <x:c r="E488" s="13" t="s">
        <x:v>69</x:v>
      </x:c>
      <x:c r="F488" s="13" t="s">
        <x:v>16</x:v>
      </x:c>
      <x:c r="G488" s="19">
        <x:v>282</x:v>
      </x:c>
      <x:c r="H488" s="22" t="n">
        <x:f>IF(SUMIFS('İndirimler'!$C$2:$C$210,'İndirimler'!$A$2:$A$210,B488,'İndirimler'!$B$2:$B$210,C488)&gt;0,ROUND(G488*(1-SUMIFS('İndirimler'!$C$2:$C$210,'İndirimler'!$A$2:$A$210,B488,'İndirimler'!$B$2:$B$210,C488)),2),"")</x:f>
        <x:v>239.7</x:v>
      </x:c>
      <x:c r="I488" s="25" t="n">
        <x:f>IF(SUMIFS('İndirimler'!$D$2:$D$210,'İndirimler'!$A$2:$A$210,B488,'İndirimler'!$B$2:$B$210,C488)&gt;0,ROUND(G488*(1-SUMIFS('İndirimler'!$D$2:$D$210,'İndirimler'!$A$2:$A$210,B488,'İndirimler'!$B$2:$B$210,C488)),2),"")</x:f>
        <x:v>197.4</x:v>
      </x:c>
      <x:c r="J488" s="13"/>
      <x:c r="K488" s="31"/>
    </x:row>
    <x:row r="489">
      <x:c r="A489"/>
      <x:c r="B489"/>
      <x:c r="C489"/>
      <x:c r="D489"/>
      <x:c r="E489"/>
      <x:c r="F489"/>
      <x:c r="G489"/>
      <x:c r="H489" t="str">
        <x:f>IF(SUMIFS('İndirimler'!$C$2:$C$210,'İndirimler'!$A$2:$A$210,B489,'İndirimler'!$B$2:$B$210,C489)&gt;0,ROUND(G489*(1-SUMIFS('İndirimler'!$C$2:$C$210,'İndirimler'!$A$2:$A$210,B489,'İndirimler'!$B$2:$B$210,C489)),2),"")</x:f>
      </x:c>
      <x:c r="I489" t="str">
        <x:f>IF(SUMIFS('İndirimler'!$D$2:$D$210,'İndirimler'!$A$2:$A$210,B489,'İndirimler'!$B$2:$B$210,C489)&gt;0,ROUND(G489*(1-SUMIFS('İndirimler'!$D$2:$D$210,'İndirimler'!$A$2:$A$210,B489,'İndirimler'!$B$2:$B$210,C489)),2),"")</x:f>
      </x:c>
      <x:c r="J489"/>
      <x:c r="K489"/>
    </x:row>
    <x:row r="490">
      <x:c r="A490"/>
      <x:c r="B490"/>
      <x:c r="C490"/>
      <x:c r="D490"/>
      <x:c r="E490"/>
      <x:c r="F490"/>
      <x:c r="G490"/>
      <x:c r="H490" t="str">
        <x:f>IF(SUMIFS('İndirimler'!$C$2:$C$210,'İndirimler'!$A$2:$A$210,B490,'İndirimler'!$B$2:$B$210,C490)&gt;0,ROUND(G490*(1-SUMIFS('İndirimler'!$C$2:$C$210,'İndirimler'!$A$2:$A$210,B490,'İndirimler'!$B$2:$B$210,C490)),2),"")</x:f>
      </x:c>
      <x:c r="I490" t="str">
        <x:f>IF(SUMIFS('İndirimler'!$D$2:$D$210,'İndirimler'!$A$2:$A$210,B490,'İndirimler'!$B$2:$B$210,C490)&gt;0,ROUND(G490*(1-SUMIFS('İndirimler'!$D$2:$D$210,'İndirimler'!$A$2:$A$210,B490,'İndirimler'!$B$2:$B$210,C490)),2),"")</x:f>
      </x:c>
      <x:c r="J490"/>
      <x:c r="K490"/>
    </x:row>
    <x:row r="491">
      <x:c r="A491"/>
      <x:c r="B491"/>
      <x:c r="C491"/>
      <x:c r="D491"/>
      <x:c r="E491"/>
      <x:c r="F491"/>
      <x:c r="G491"/>
      <x:c r="H491" t="str">
        <x:f>IF(SUMIFS('İndirimler'!$C$2:$C$210,'İndirimler'!$A$2:$A$210,B491,'İndirimler'!$B$2:$B$210,C491)&gt;0,ROUND(G491*(1-SUMIFS('İndirimler'!$C$2:$C$210,'İndirimler'!$A$2:$A$210,B491,'İndirimler'!$B$2:$B$210,C491)),2),"")</x:f>
      </x:c>
      <x:c r="I491" t="str">
        <x:f>IF(SUMIFS('İndirimler'!$D$2:$D$210,'İndirimler'!$A$2:$A$210,B491,'İndirimler'!$B$2:$B$210,C491)&gt;0,ROUND(G491*(1-SUMIFS('İndirimler'!$D$2:$D$210,'İndirimler'!$A$2:$A$210,B491,'İndirimler'!$B$2:$B$210,C491)),2),"")</x:f>
      </x:c>
      <x:c r="J491"/>
      <x:c r="K491"/>
    </x:row>
    <x:row r="492">
      <x:c r="A492"/>
      <x:c r="B492"/>
      <x:c r="C492"/>
      <x:c r="D492"/>
      <x:c r="E492"/>
      <x:c r="F492"/>
      <x:c r="G492"/>
      <x:c r="H492" t="str">
        <x:f>IF(SUMIFS('İndirimler'!$C$2:$C$210,'İndirimler'!$A$2:$A$210,B492,'İndirimler'!$B$2:$B$210,C492)&gt;0,ROUND(G492*(1-SUMIFS('İndirimler'!$C$2:$C$210,'İndirimler'!$A$2:$A$210,B492,'İndirimler'!$B$2:$B$210,C492)),2),"")</x:f>
      </x:c>
      <x:c r="I492" t="str">
        <x:f>IF(SUMIFS('İndirimler'!$D$2:$D$210,'İndirimler'!$A$2:$A$210,B492,'İndirimler'!$B$2:$B$210,C492)&gt;0,ROUND(G492*(1-SUMIFS('İndirimler'!$D$2:$D$210,'İndirimler'!$A$2:$A$210,B492,'İndirimler'!$B$2:$B$210,C492)),2),"")</x:f>
      </x:c>
      <x:c r="J492"/>
      <x:c r="K492"/>
    </x:row>
    <x:row r="493">
      <x:c r="A493"/>
      <x:c r="B493"/>
      <x:c r="C493"/>
      <x:c r="D493"/>
      <x:c r="E493"/>
      <x:c r="F493"/>
      <x:c r="G493"/>
      <x:c r="H493" t="str">
        <x:f>IF(SUMIFS('İndirimler'!$C$2:$C$210,'İndirimler'!$A$2:$A$210,B493,'İndirimler'!$B$2:$B$210,C493)&gt;0,ROUND(G493*(1-SUMIFS('İndirimler'!$C$2:$C$210,'İndirimler'!$A$2:$A$210,B493,'İndirimler'!$B$2:$B$210,C493)),2),"")</x:f>
      </x:c>
      <x:c r="I493" t="str">
        <x:f>IF(SUMIFS('İndirimler'!$D$2:$D$210,'İndirimler'!$A$2:$A$210,B493,'İndirimler'!$B$2:$B$210,C493)&gt;0,ROUND(G493*(1-SUMIFS('İndirimler'!$D$2:$D$210,'İndirimler'!$A$2:$A$210,B493,'İndirimler'!$B$2:$B$210,C493)),2),"")</x:f>
      </x:c>
      <x:c r="J493"/>
      <x:c r="K493"/>
    </x:row>
    <x:row r="494">
      <x:c r="A494"/>
      <x:c r="B494"/>
      <x:c r="C494"/>
      <x:c r="D494"/>
      <x:c r="E494"/>
      <x:c r="F494"/>
      <x:c r="G494"/>
      <x:c r="H494" t="str">
        <x:f>IF(SUMIFS('İndirimler'!$C$2:$C$210,'İndirimler'!$A$2:$A$210,B494,'İndirimler'!$B$2:$B$210,C494)&gt;0,ROUND(G494*(1-SUMIFS('İndirimler'!$C$2:$C$210,'İndirimler'!$A$2:$A$210,B494,'İndirimler'!$B$2:$B$210,C494)),2),"")</x:f>
      </x:c>
      <x:c r="I494" t="str">
        <x:f>IF(SUMIFS('İndirimler'!$D$2:$D$210,'İndirimler'!$A$2:$A$210,B494,'İndirimler'!$B$2:$B$210,C494)&gt;0,ROUND(G494*(1-SUMIFS('İndirimler'!$D$2:$D$210,'İndirimler'!$A$2:$A$210,B494,'İndirimler'!$B$2:$B$210,C494)),2),"")</x:f>
      </x:c>
      <x:c r="J494"/>
      <x:c r="K494"/>
    </x:row>
    <x:row r="495">
      <x:c r="A495"/>
      <x:c r="B495"/>
      <x:c r="C495"/>
      <x:c r="D495"/>
      <x:c r="E495"/>
      <x:c r="F495"/>
      <x:c r="G495"/>
      <x:c r="H495" t="str">
        <x:f>IF(SUMIFS('İndirimler'!$C$2:$C$210,'İndirimler'!$A$2:$A$210,B495,'İndirimler'!$B$2:$B$210,C495)&gt;0,ROUND(G495*(1-SUMIFS('İndirimler'!$C$2:$C$210,'İndirimler'!$A$2:$A$210,B495,'İndirimler'!$B$2:$B$210,C495)),2),"")</x:f>
      </x:c>
      <x:c r="I495" t="str">
        <x:f>IF(SUMIFS('İndirimler'!$D$2:$D$210,'İndirimler'!$A$2:$A$210,B495,'İndirimler'!$B$2:$B$210,C495)&gt;0,ROUND(G495*(1-SUMIFS('İndirimler'!$D$2:$D$210,'İndirimler'!$A$2:$A$210,B495,'İndirimler'!$B$2:$B$210,C495)),2),"")</x:f>
      </x:c>
      <x:c r="J495"/>
      <x:c r="K495"/>
    </x:row>
    <x:row r="496">
      <x:c r="A496"/>
      <x:c r="B496"/>
      <x:c r="C496"/>
      <x:c r="D496"/>
      <x:c r="E496"/>
      <x:c r="F496"/>
      <x:c r="G496"/>
      <x:c r="H496" t="str">
        <x:f>IF(SUMIFS('İndirimler'!$C$2:$C$210,'İndirimler'!$A$2:$A$210,B496,'İndirimler'!$B$2:$B$210,C496)&gt;0,ROUND(G496*(1-SUMIFS('İndirimler'!$C$2:$C$210,'İndirimler'!$A$2:$A$210,B496,'İndirimler'!$B$2:$B$210,C496)),2),"")</x:f>
      </x:c>
      <x:c r="I496" t="str">
        <x:f>IF(SUMIFS('İndirimler'!$D$2:$D$210,'İndirimler'!$A$2:$A$210,B496,'İndirimler'!$B$2:$B$210,C496)&gt;0,ROUND(G496*(1-SUMIFS('İndirimler'!$D$2:$D$210,'İndirimler'!$A$2:$A$210,B496,'İndirimler'!$B$2:$B$210,C496)),2),"")</x:f>
      </x:c>
      <x:c r="J496"/>
      <x:c r="K496"/>
    </x:row>
    <x:row r="497">
      <x:c r="A497"/>
      <x:c r="B497"/>
      <x:c r="C497"/>
      <x:c r="D497"/>
      <x:c r="E497"/>
      <x:c r="F497"/>
      <x:c r="G497"/>
      <x:c r="H497" t="str">
        <x:f>IF(SUMIFS('İndirimler'!$C$2:$C$210,'İndirimler'!$A$2:$A$210,B497,'İndirimler'!$B$2:$B$210,C497)&gt;0,ROUND(G497*(1-SUMIFS('İndirimler'!$C$2:$C$210,'İndirimler'!$A$2:$A$210,B497,'İndirimler'!$B$2:$B$210,C497)),2),"")</x:f>
      </x:c>
      <x:c r="I497" t="str">
        <x:f>IF(SUMIFS('İndirimler'!$D$2:$D$210,'İndirimler'!$A$2:$A$210,B497,'İndirimler'!$B$2:$B$210,C497)&gt;0,ROUND(G497*(1-SUMIFS('İndirimler'!$D$2:$D$210,'İndirimler'!$A$2:$A$210,B497,'İndirimler'!$B$2:$B$210,C497)),2),"")</x:f>
      </x:c>
      <x:c r="J497"/>
      <x:c r="K497"/>
    </x:row>
    <x:row r="498">
      <x:c r="A498"/>
      <x:c r="B498"/>
      <x:c r="C498"/>
      <x:c r="D498"/>
      <x:c r="E498"/>
      <x:c r="F498"/>
      <x:c r="G498"/>
      <x:c r="H498" t="str">
        <x:f>IF(SUMIFS('İndirimler'!$C$2:$C$210,'İndirimler'!$A$2:$A$210,B498,'İndirimler'!$B$2:$B$210,C498)&gt;0,ROUND(G498*(1-SUMIFS('İndirimler'!$C$2:$C$210,'İndirimler'!$A$2:$A$210,B498,'İndirimler'!$B$2:$B$210,C498)),2),"")</x:f>
      </x:c>
      <x:c r="I498" t="str">
        <x:f>IF(SUMIFS('İndirimler'!$D$2:$D$210,'İndirimler'!$A$2:$A$210,B498,'İndirimler'!$B$2:$B$210,C498)&gt;0,ROUND(G498*(1-SUMIFS('İndirimler'!$D$2:$D$210,'İndirimler'!$A$2:$A$210,B498,'İndirimler'!$B$2:$B$210,C498)),2),"")</x:f>
      </x:c>
      <x:c r="J498"/>
      <x:c r="K498"/>
    </x:row>
    <x:row r="499">
      <x:c r="A499"/>
      <x:c r="B499"/>
      <x:c r="C499"/>
      <x:c r="D499"/>
      <x:c r="E499"/>
      <x:c r="F499"/>
      <x:c r="G499"/>
      <x:c r="H499" t="str">
        <x:f>IF(SUMIFS('İndirimler'!$C$2:$C$210,'İndirimler'!$A$2:$A$210,B499,'İndirimler'!$B$2:$B$210,C499)&gt;0,ROUND(G499*(1-SUMIFS('İndirimler'!$C$2:$C$210,'İndirimler'!$A$2:$A$210,B499,'İndirimler'!$B$2:$B$210,C499)),2),"")</x:f>
      </x:c>
      <x:c r="I499" t="str">
        <x:f>IF(SUMIFS('İndirimler'!$D$2:$D$210,'İndirimler'!$A$2:$A$210,B499,'İndirimler'!$B$2:$B$210,C499)&gt;0,ROUND(G499*(1-SUMIFS('İndirimler'!$D$2:$D$210,'İndirimler'!$A$2:$A$210,B499,'İndirimler'!$B$2:$B$210,C499)),2),"")</x:f>
      </x:c>
      <x:c r="J499"/>
      <x:c r="K499"/>
    </x:row>
    <x:row r="500">
      <x:c r="A500"/>
      <x:c r="B500"/>
      <x:c r="C500"/>
      <x:c r="D500"/>
      <x:c r="E500"/>
      <x:c r="F500"/>
      <x:c r="G500"/>
      <x:c r="H500" t="str">
        <x:f>IF(SUMIFS('İndirimler'!$C$2:$C$210,'İndirimler'!$A$2:$A$210,B500,'İndirimler'!$B$2:$B$210,C500)&gt;0,ROUND(G500*(1-SUMIFS('İndirimler'!$C$2:$C$210,'İndirimler'!$A$2:$A$210,B500,'İndirimler'!$B$2:$B$210,C500)),2),"")</x:f>
      </x:c>
      <x:c r="I500" t="str">
        <x:f>IF(SUMIFS('İndirimler'!$D$2:$D$210,'İndirimler'!$A$2:$A$210,B500,'İndirimler'!$B$2:$B$210,C500)&gt;0,ROUND(G500*(1-SUMIFS('İndirimler'!$D$2:$D$210,'İndirimler'!$A$2:$A$210,B500,'İndirimler'!$B$2:$B$210,C500)),2),"")</x:f>
      </x:c>
      <x:c r="J500"/>
      <x:c r="K500"/>
    </x:row>
    <x:row r="501">
      <x:c r="A501"/>
      <x:c r="B501"/>
      <x:c r="C501"/>
      <x:c r="D501"/>
      <x:c r="E501"/>
      <x:c r="F501"/>
      <x:c r="G501"/>
      <x:c r="H501" t="str">
        <x:f>IF(SUMIFS('İndirimler'!$C$2:$C$210,'İndirimler'!$A$2:$A$210,B501,'İndirimler'!$B$2:$B$210,C501)&gt;0,ROUND(G501*(1-SUMIFS('İndirimler'!$C$2:$C$210,'İndirimler'!$A$2:$A$210,B501,'İndirimler'!$B$2:$B$210,C501)),2),"")</x:f>
      </x:c>
      <x:c r="I501" t="str">
        <x:f>IF(SUMIFS('İndirimler'!$D$2:$D$210,'İndirimler'!$A$2:$A$210,B501,'İndirimler'!$B$2:$B$210,C501)&gt;0,ROUND(G501*(1-SUMIFS('İndirimler'!$D$2:$D$210,'İndirimler'!$A$2:$A$210,B501,'İndirimler'!$B$2:$B$210,C501)),2),"")</x:f>
      </x:c>
      <x:c r="J501"/>
      <x:c r="K501"/>
    </x:row>
    <x:row r="502">
      <x:c r="A502"/>
      <x:c r="B502"/>
      <x:c r="C502"/>
      <x:c r="D502"/>
      <x:c r="E502"/>
      <x:c r="F502"/>
      <x:c r="G502"/>
      <x:c r="H502" t="str">
        <x:f>IF(SUMIFS('İndirimler'!$C$2:$C$210,'İndirimler'!$A$2:$A$210,B502,'İndirimler'!$B$2:$B$210,C502)&gt;0,ROUND(G502*(1-SUMIFS('İndirimler'!$C$2:$C$210,'İndirimler'!$A$2:$A$210,B502,'İndirimler'!$B$2:$B$210,C502)),2),"")</x:f>
      </x:c>
      <x:c r="I502" t="str">
        <x:f>IF(SUMIFS('İndirimler'!$D$2:$D$210,'İndirimler'!$A$2:$A$210,B502,'İndirimler'!$B$2:$B$210,C502)&gt;0,ROUND(G502*(1-SUMIFS('İndirimler'!$D$2:$D$210,'İndirimler'!$A$2:$A$210,B502,'İndirimler'!$B$2:$B$210,C502)),2),"")</x:f>
      </x:c>
      <x:c r="J502"/>
      <x:c r="K502"/>
    </x:row>
    <x:row r="503">
      <x:c r="A503"/>
      <x:c r="B503"/>
      <x:c r="C503"/>
      <x:c r="D503"/>
      <x:c r="E503"/>
      <x:c r="F503"/>
      <x:c r="G503"/>
      <x:c r="H503" t="str">
        <x:f>IF(SUMIFS('İndirimler'!$C$2:$C$210,'İndirimler'!$A$2:$A$210,B503,'İndirimler'!$B$2:$B$210,C503)&gt;0,ROUND(G503*(1-SUMIFS('İndirimler'!$C$2:$C$210,'İndirimler'!$A$2:$A$210,B503,'İndirimler'!$B$2:$B$210,C503)),2),"")</x:f>
      </x:c>
      <x:c r="I503" t="str">
        <x:f>IF(SUMIFS('İndirimler'!$D$2:$D$210,'İndirimler'!$A$2:$A$210,B503,'İndirimler'!$B$2:$B$210,C503)&gt;0,ROUND(G503*(1-SUMIFS('İndirimler'!$D$2:$D$210,'İndirimler'!$A$2:$A$210,B503,'İndirimler'!$B$2:$B$210,C503)),2),"")</x:f>
      </x:c>
      <x:c r="J503"/>
      <x:c r="K503"/>
    </x:row>
    <x:row r="504">
      <x:c r="A504"/>
      <x:c r="B504"/>
      <x:c r="C504"/>
      <x:c r="D504"/>
      <x:c r="E504"/>
      <x:c r="F504"/>
      <x:c r="G504"/>
      <x:c r="H504" t="str">
        <x:f>IF(SUMIFS('İndirimler'!$C$2:$C$210,'İndirimler'!$A$2:$A$210,B504,'İndirimler'!$B$2:$B$210,C504)&gt;0,ROUND(G504*(1-SUMIFS('İndirimler'!$C$2:$C$210,'İndirimler'!$A$2:$A$210,B504,'İndirimler'!$B$2:$B$210,C504)),2),"")</x:f>
      </x:c>
      <x:c r="I504" t="str">
        <x:f>IF(SUMIFS('İndirimler'!$D$2:$D$210,'İndirimler'!$A$2:$A$210,B504,'İndirimler'!$B$2:$B$210,C504)&gt;0,ROUND(G504*(1-SUMIFS('İndirimler'!$D$2:$D$210,'İndirimler'!$A$2:$A$210,B504,'İndirimler'!$B$2:$B$210,C504)),2),"")</x:f>
      </x:c>
      <x:c r="J504"/>
      <x:c r="K504"/>
    </x:row>
    <x:row r="505">
      <x:c r="A505"/>
      <x:c r="B505"/>
      <x:c r="C505"/>
      <x:c r="D505"/>
      <x:c r="E505"/>
      <x:c r="F505"/>
      <x:c r="G505"/>
      <x:c r="H505" t="str">
        <x:f>IF(SUMIFS('İndirimler'!$C$2:$C$210,'İndirimler'!$A$2:$A$210,B505,'İndirimler'!$B$2:$B$210,C505)&gt;0,ROUND(G505*(1-SUMIFS('İndirimler'!$C$2:$C$210,'İndirimler'!$A$2:$A$210,B505,'İndirimler'!$B$2:$B$210,C505)),2),"")</x:f>
      </x:c>
      <x:c r="I505" t="str">
        <x:f>IF(SUMIFS('İndirimler'!$D$2:$D$210,'İndirimler'!$A$2:$A$210,B505,'İndirimler'!$B$2:$B$210,C505)&gt;0,ROUND(G505*(1-SUMIFS('İndirimler'!$D$2:$D$210,'İndirimler'!$A$2:$A$210,B505,'İndirimler'!$B$2:$B$210,C505)),2),"")</x:f>
      </x:c>
      <x:c r="J505"/>
      <x:c r="K505"/>
    </x:row>
    <x:row r="506">
      <x:c r="A506"/>
      <x:c r="B506"/>
      <x:c r="C506"/>
      <x:c r="D506"/>
      <x:c r="E506"/>
      <x:c r="F506"/>
      <x:c r="G506"/>
      <x:c r="H506" t="str">
        <x:f>IF(SUMIFS('İndirimler'!$C$2:$C$210,'İndirimler'!$A$2:$A$210,B506,'İndirimler'!$B$2:$B$210,C506)&gt;0,ROUND(G506*(1-SUMIFS('İndirimler'!$C$2:$C$210,'İndirimler'!$A$2:$A$210,B506,'İndirimler'!$B$2:$B$210,C506)),2),"")</x:f>
      </x:c>
      <x:c r="I506" t="str">
        <x:f>IF(SUMIFS('İndirimler'!$D$2:$D$210,'İndirimler'!$A$2:$A$210,B506,'İndirimler'!$B$2:$B$210,C506)&gt;0,ROUND(G506*(1-SUMIFS('İndirimler'!$D$2:$D$210,'İndirimler'!$A$2:$A$210,B506,'İndirimler'!$B$2:$B$210,C506)),2),"")</x:f>
      </x:c>
      <x:c r="J506"/>
      <x:c r="K506"/>
    </x:row>
    <x:row r="507">
      <x:c r="A507"/>
      <x:c r="B507"/>
      <x:c r="C507"/>
      <x:c r="D507"/>
      <x:c r="E507"/>
      <x:c r="F507"/>
      <x:c r="G507"/>
      <x:c r="H507" t="str">
        <x:f>IF(SUMIFS('İndirimler'!$C$2:$C$210,'İndirimler'!$A$2:$A$210,B507,'İndirimler'!$B$2:$B$210,C507)&gt;0,ROUND(G507*(1-SUMIFS('İndirimler'!$C$2:$C$210,'İndirimler'!$A$2:$A$210,B507,'İndirimler'!$B$2:$B$210,C507)),2),"")</x:f>
      </x:c>
      <x:c r="I507" t="str">
        <x:f>IF(SUMIFS('İndirimler'!$D$2:$D$210,'İndirimler'!$A$2:$A$210,B507,'İndirimler'!$B$2:$B$210,C507)&gt;0,ROUND(G507*(1-SUMIFS('İndirimler'!$D$2:$D$210,'İndirimler'!$A$2:$A$210,B507,'İndirimler'!$B$2:$B$210,C507)),2),"")</x:f>
      </x:c>
      <x:c r="J507"/>
      <x:c r="K507"/>
    </x:row>
    <x:row r="508">
      <x:c r="A508"/>
      <x:c r="B508"/>
      <x:c r="C508"/>
      <x:c r="D508"/>
      <x:c r="E508"/>
      <x:c r="F508"/>
      <x:c r="G508"/>
      <x:c r="H508" t="str">
        <x:f>IF(SUMIFS('İndirimler'!$C$2:$C$210,'İndirimler'!$A$2:$A$210,B508,'İndirimler'!$B$2:$B$210,C508)&gt;0,ROUND(G508*(1-SUMIFS('İndirimler'!$C$2:$C$210,'İndirimler'!$A$2:$A$210,B508,'İndirimler'!$B$2:$B$210,C508)),2),"")</x:f>
      </x:c>
      <x:c r="I508" t="str">
        <x:f>IF(SUMIFS('İndirimler'!$D$2:$D$210,'İndirimler'!$A$2:$A$210,B508,'İndirimler'!$B$2:$B$210,C508)&gt;0,ROUND(G508*(1-SUMIFS('İndirimler'!$D$2:$D$210,'İndirimler'!$A$2:$A$210,B508,'İndirimler'!$B$2:$B$210,C508)),2),"")</x:f>
      </x:c>
      <x:c r="J508"/>
      <x:c r="K508"/>
    </x:row>
    <x:row r="509">
      <x:c r="A509"/>
      <x:c r="B509"/>
      <x:c r="C509"/>
      <x:c r="D509"/>
      <x:c r="E509"/>
      <x:c r="F509"/>
      <x:c r="G509"/>
      <x:c r="H509" t="str">
        <x:f>IF(SUMIFS('İndirimler'!$C$2:$C$210,'İndirimler'!$A$2:$A$210,B509,'İndirimler'!$B$2:$B$210,C509)&gt;0,ROUND(G509*(1-SUMIFS('İndirimler'!$C$2:$C$210,'İndirimler'!$A$2:$A$210,B509,'İndirimler'!$B$2:$B$210,C509)),2),"")</x:f>
      </x:c>
      <x:c r="I509" t="str">
        <x:f>IF(SUMIFS('İndirimler'!$D$2:$D$210,'İndirimler'!$A$2:$A$210,B509,'İndirimler'!$B$2:$B$210,C509)&gt;0,ROUND(G509*(1-SUMIFS('İndirimler'!$D$2:$D$210,'İndirimler'!$A$2:$A$210,B509,'İndirimler'!$B$2:$B$210,C509)),2),"")</x:f>
      </x:c>
      <x:c r="J509"/>
      <x:c r="K509"/>
    </x:row>
    <x:row r="510">
      <x:c r="A510"/>
      <x:c r="B510"/>
      <x:c r="C510"/>
      <x:c r="D510"/>
      <x:c r="E510"/>
      <x:c r="F510"/>
      <x:c r="G510"/>
      <x:c r="H510" t="str">
        <x:f>IF(SUMIFS('İndirimler'!$C$2:$C$210,'İndirimler'!$A$2:$A$210,B510,'İndirimler'!$B$2:$B$210,C510)&gt;0,ROUND(G510*(1-SUMIFS('İndirimler'!$C$2:$C$210,'İndirimler'!$A$2:$A$210,B510,'İndirimler'!$B$2:$B$210,C510)),2),"")</x:f>
      </x:c>
      <x:c r="I510" t="str">
        <x:f>IF(SUMIFS('İndirimler'!$D$2:$D$210,'İndirimler'!$A$2:$A$210,B510,'İndirimler'!$B$2:$B$210,C510)&gt;0,ROUND(G510*(1-SUMIFS('İndirimler'!$D$2:$D$210,'İndirimler'!$A$2:$A$210,B510,'İndirimler'!$B$2:$B$210,C510)),2),"")</x:f>
      </x:c>
      <x:c r="J510"/>
      <x:c r="K510"/>
    </x:row>
    <x:row r="511">
      <x:c r="A511"/>
      <x:c r="B511"/>
      <x:c r="C511"/>
      <x:c r="D511"/>
      <x:c r="E511"/>
      <x:c r="F511"/>
      <x:c r="G511"/>
      <x:c r="H511" t="str">
        <x:f>IF(SUMIFS('İndirimler'!$C$2:$C$210,'İndirimler'!$A$2:$A$210,B511,'İndirimler'!$B$2:$B$210,C511)&gt;0,ROUND(G511*(1-SUMIFS('İndirimler'!$C$2:$C$210,'İndirimler'!$A$2:$A$210,B511,'İndirimler'!$B$2:$B$210,C511)),2),"")</x:f>
      </x:c>
      <x:c r="I511" t="str">
        <x:f>IF(SUMIFS('İndirimler'!$D$2:$D$210,'İndirimler'!$A$2:$A$210,B511,'İndirimler'!$B$2:$B$210,C511)&gt;0,ROUND(G511*(1-SUMIFS('İndirimler'!$D$2:$D$210,'İndirimler'!$A$2:$A$210,B511,'İndirimler'!$B$2:$B$210,C511)),2),"")</x:f>
      </x:c>
      <x:c r="J511"/>
      <x:c r="K511"/>
    </x:row>
    <x:row r="512">
      <x:c r="A512"/>
      <x:c r="B512"/>
      <x:c r="C512"/>
      <x:c r="D512"/>
      <x:c r="E512"/>
      <x:c r="F512"/>
      <x:c r="G512"/>
      <x:c r="H512" t="str">
        <x:f>IF(SUMIFS('İndirimler'!$C$2:$C$210,'İndirimler'!$A$2:$A$210,B512,'İndirimler'!$B$2:$B$210,C512)&gt;0,ROUND(G512*(1-SUMIFS('İndirimler'!$C$2:$C$210,'İndirimler'!$A$2:$A$210,B512,'İndirimler'!$B$2:$B$210,C512)),2),"")</x:f>
      </x:c>
      <x:c r="I512" t="str">
        <x:f>IF(SUMIFS('İndirimler'!$D$2:$D$210,'İndirimler'!$A$2:$A$210,B512,'İndirimler'!$B$2:$B$210,C512)&gt;0,ROUND(G512*(1-SUMIFS('İndirimler'!$D$2:$D$210,'İndirimler'!$A$2:$A$210,B512,'İndirimler'!$B$2:$B$210,C512)),2),"")</x:f>
      </x:c>
      <x:c r="J512"/>
      <x:c r="K512"/>
    </x:row>
    <x:row r="513">
      <x:c r="A513"/>
      <x:c r="B513"/>
      <x:c r="C513"/>
      <x:c r="D513"/>
      <x:c r="E513"/>
      <x:c r="F513"/>
      <x:c r="G513"/>
      <x:c r="H513" t="str">
        <x:f>IF(SUMIFS('İndirimler'!$C$2:$C$210,'İndirimler'!$A$2:$A$210,B513,'İndirimler'!$B$2:$B$210,C513)&gt;0,ROUND(G513*(1-SUMIFS('İndirimler'!$C$2:$C$210,'İndirimler'!$A$2:$A$210,B513,'İndirimler'!$B$2:$B$210,C513)),2),"")</x:f>
      </x:c>
      <x:c r="I513" t="str">
        <x:f>IF(SUMIFS('İndirimler'!$D$2:$D$210,'İndirimler'!$A$2:$A$210,B513,'İndirimler'!$B$2:$B$210,C513)&gt;0,ROUND(G513*(1-SUMIFS('İndirimler'!$D$2:$D$210,'İndirimler'!$A$2:$A$210,B513,'İndirimler'!$B$2:$B$210,C513)),2),"")</x:f>
      </x:c>
      <x:c r="J513"/>
      <x:c r="K513"/>
    </x:row>
    <x:row r="514">
      <x:c r="A514"/>
      <x:c r="B514"/>
      <x:c r="C514"/>
      <x:c r="D514"/>
      <x:c r="E514"/>
      <x:c r="F514"/>
      <x:c r="G514"/>
      <x:c r="H514" t="str">
        <x:f>IF(SUMIFS('İndirimler'!$C$2:$C$210,'İndirimler'!$A$2:$A$210,B514,'İndirimler'!$B$2:$B$210,C514)&gt;0,ROUND(G514*(1-SUMIFS('İndirimler'!$C$2:$C$210,'İndirimler'!$A$2:$A$210,B514,'İndirimler'!$B$2:$B$210,C514)),2),"")</x:f>
      </x:c>
      <x:c r="I514" t="str">
        <x:f>IF(SUMIFS('İndirimler'!$D$2:$D$210,'İndirimler'!$A$2:$A$210,B514,'İndirimler'!$B$2:$B$210,C514)&gt;0,ROUND(G514*(1-SUMIFS('İndirimler'!$D$2:$D$210,'İndirimler'!$A$2:$A$210,B514,'İndirimler'!$B$2:$B$210,C514)),2),"")</x:f>
      </x:c>
      <x:c r="J514"/>
      <x:c r="K514"/>
    </x:row>
    <x:row r="515">
      <x:c r="A515"/>
      <x:c r="B515"/>
      <x:c r="C515"/>
      <x:c r="D515"/>
      <x:c r="E515"/>
      <x:c r="F515"/>
      <x:c r="G515"/>
      <x:c r="H515" t="str">
        <x:f>IF(SUMIFS('İndirimler'!$C$2:$C$210,'İndirimler'!$A$2:$A$210,B515,'İndirimler'!$B$2:$B$210,C515)&gt;0,ROUND(G515*(1-SUMIFS('İndirimler'!$C$2:$C$210,'İndirimler'!$A$2:$A$210,B515,'İndirimler'!$B$2:$B$210,C515)),2),"")</x:f>
      </x:c>
      <x:c r="I515" t="str">
        <x:f>IF(SUMIFS('İndirimler'!$D$2:$D$210,'İndirimler'!$A$2:$A$210,B515,'İndirimler'!$B$2:$B$210,C515)&gt;0,ROUND(G515*(1-SUMIFS('İndirimler'!$D$2:$D$210,'İndirimler'!$A$2:$A$210,B515,'İndirimler'!$B$2:$B$210,C515)),2),"")</x:f>
      </x:c>
      <x:c r="J515"/>
      <x:c r="K515"/>
    </x:row>
    <x:row r="516">
      <x:c r="A516"/>
      <x:c r="B516"/>
      <x:c r="C516"/>
      <x:c r="D516"/>
      <x:c r="E516"/>
      <x:c r="F516"/>
      <x:c r="G516"/>
      <x:c r="H516" t="str">
        <x:f>IF(SUMIFS('İndirimler'!$C$2:$C$210,'İndirimler'!$A$2:$A$210,B516,'İndirimler'!$B$2:$B$210,C516)&gt;0,ROUND(G516*(1-SUMIFS('İndirimler'!$C$2:$C$210,'İndirimler'!$A$2:$A$210,B516,'İndirimler'!$B$2:$B$210,C516)),2),"")</x:f>
      </x:c>
      <x:c r="I516" t="str">
        <x:f>IF(SUMIFS('İndirimler'!$D$2:$D$210,'İndirimler'!$A$2:$A$210,B516,'İndirimler'!$B$2:$B$210,C516)&gt;0,ROUND(G516*(1-SUMIFS('İndirimler'!$D$2:$D$210,'İndirimler'!$A$2:$A$210,B516,'İndirimler'!$B$2:$B$210,C516)),2),"")</x:f>
      </x:c>
      <x:c r="J516"/>
      <x:c r="K516"/>
    </x:row>
    <x:row r="517">
      <x:c r="A517"/>
      <x:c r="B517"/>
      <x:c r="C517"/>
      <x:c r="D517"/>
      <x:c r="E517"/>
      <x:c r="F517"/>
      <x:c r="G517"/>
      <x:c r="H517" t="str">
        <x:f>IF(SUMIFS('İndirimler'!$C$2:$C$210,'İndirimler'!$A$2:$A$210,B517,'İndirimler'!$B$2:$B$210,C517)&gt;0,ROUND(G517*(1-SUMIFS('İndirimler'!$C$2:$C$210,'İndirimler'!$A$2:$A$210,B517,'İndirimler'!$B$2:$B$210,C517)),2),"")</x:f>
      </x:c>
      <x:c r="I517" t="str">
        <x:f>IF(SUMIFS('İndirimler'!$D$2:$D$210,'İndirimler'!$A$2:$A$210,B517,'İndirimler'!$B$2:$B$210,C517)&gt;0,ROUND(G517*(1-SUMIFS('İndirimler'!$D$2:$D$210,'İndirimler'!$A$2:$A$210,B517,'İndirimler'!$B$2:$B$210,C517)),2),"")</x:f>
      </x:c>
      <x:c r="J517"/>
      <x:c r="K517"/>
    </x:row>
    <x:row r="518">
      <x:c r="A518"/>
      <x:c r="B518"/>
      <x:c r="C518"/>
      <x:c r="D518"/>
      <x:c r="E518"/>
      <x:c r="F518"/>
      <x:c r="G518"/>
      <x:c r="H518" t="str">
        <x:f>IF(SUMIFS('İndirimler'!$C$2:$C$210,'İndirimler'!$A$2:$A$210,B518,'İndirimler'!$B$2:$B$210,C518)&gt;0,ROUND(G518*(1-SUMIFS('İndirimler'!$C$2:$C$210,'İndirimler'!$A$2:$A$210,B518,'İndirimler'!$B$2:$B$210,C518)),2),"")</x:f>
      </x:c>
      <x:c r="I518" t="str">
        <x:f>IF(SUMIFS('İndirimler'!$D$2:$D$210,'İndirimler'!$A$2:$A$210,B518,'İndirimler'!$B$2:$B$210,C518)&gt;0,ROUND(G518*(1-SUMIFS('İndirimler'!$D$2:$D$210,'İndirimler'!$A$2:$A$210,B518,'İndirimler'!$B$2:$B$210,C518)),2),"")</x:f>
      </x:c>
      <x:c r="J518"/>
      <x:c r="K518"/>
    </x:row>
    <x:row r="519">
      <x:c r="A519"/>
      <x:c r="B519"/>
      <x:c r="C519"/>
      <x:c r="D519"/>
      <x:c r="E519"/>
      <x:c r="F519"/>
      <x:c r="G519"/>
      <x:c r="H519" t="str">
        <x:f>IF(SUMIFS('İndirimler'!$C$2:$C$210,'İndirimler'!$A$2:$A$210,B519,'İndirimler'!$B$2:$B$210,C519)&gt;0,ROUND(G519*(1-SUMIFS('İndirimler'!$C$2:$C$210,'İndirimler'!$A$2:$A$210,B519,'İndirimler'!$B$2:$B$210,C519)),2),"")</x:f>
      </x:c>
      <x:c r="I519" t="str">
        <x:f>IF(SUMIFS('İndirimler'!$D$2:$D$210,'İndirimler'!$A$2:$A$210,B519,'İndirimler'!$B$2:$B$210,C519)&gt;0,ROUND(G519*(1-SUMIFS('İndirimler'!$D$2:$D$210,'İndirimler'!$A$2:$A$210,B519,'İndirimler'!$B$2:$B$210,C519)),2),"")</x:f>
      </x:c>
      <x:c r="J519"/>
      <x:c r="K519"/>
    </x:row>
    <x:row r="520">
      <x:c r="A520"/>
      <x:c r="B520"/>
      <x:c r="C520"/>
      <x:c r="D520"/>
      <x:c r="E520"/>
      <x:c r="F520"/>
      <x:c r="G520"/>
      <x:c r="H520" t="str">
        <x:f>IF(SUMIFS('İndirimler'!$C$2:$C$210,'İndirimler'!$A$2:$A$210,B520,'İndirimler'!$B$2:$B$210,C520)&gt;0,ROUND(G520*(1-SUMIFS('İndirimler'!$C$2:$C$210,'İndirimler'!$A$2:$A$210,B520,'İndirimler'!$B$2:$B$210,C520)),2),"")</x:f>
      </x:c>
      <x:c r="I520" t="str">
        <x:f>IF(SUMIFS('İndirimler'!$D$2:$D$210,'İndirimler'!$A$2:$A$210,B520,'İndirimler'!$B$2:$B$210,C520)&gt;0,ROUND(G520*(1-SUMIFS('İndirimler'!$D$2:$D$210,'İndirimler'!$A$2:$A$210,B520,'İndirimler'!$B$2:$B$210,C520)),2),"")</x:f>
      </x:c>
      <x:c r="J520"/>
      <x:c r="K520"/>
    </x:row>
    <x:row r="521">
      <x:c r="A521"/>
      <x:c r="B521"/>
      <x:c r="C521"/>
      <x:c r="D521"/>
      <x:c r="E521"/>
      <x:c r="F521"/>
      <x:c r="G521"/>
      <x:c r="H521" t="str">
        <x:f>IF(SUMIFS('İndirimler'!$C$2:$C$210,'İndirimler'!$A$2:$A$210,B521,'İndirimler'!$B$2:$B$210,C521)&gt;0,ROUND(G521*(1-SUMIFS('İndirimler'!$C$2:$C$210,'İndirimler'!$A$2:$A$210,B521,'İndirimler'!$B$2:$B$210,C521)),2),"")</x:f>
      </x:c>
      <x:c r="I521" t="str">
        <x:f>IF(SUMIFS('İndirimler'!$D$2:$D$210,'İndirimler'!$A$2:$A$210,B521,'İndirimler'!$B$2:$B$210,C521)&gt;0,ROUND(G521*(1-SUMIFS('İndirimler'!$D$2:$D$210,'İndirimler'!$A$2:$A$210,B521,'İndirimler'!$B$2:$B$210,C521)),2),"")</x:f>
      </x:c>
      <x:c r="J521"/>
      <x:c r="K521"/>
    </x:row>
    <x:row r="522">
      <x:c r="A522"/>
      <x:c r="B522"/>
      <x:c r="C522"/>
      <x:c r="D522"/>
      <x:c r="E522"/>
      <x:c r="F522"/>
      <x:c r="G522"/>
      <x:c r="H522" t="str">
        <x:f>IF(SUMIFS('İndirimler'!$C$2:$C$210,'İndirimler'!$A$2:$A$210,B522,'İndirimler'!$B$2:$B$210,C522)&gt;0,ROUND(G522*(1-SUMIFS('İndirimler'!$C$2:$C$210,'İndirimler'!$A$2:$A$210,B522,'İndirimler'!$B$2:$B$210,C522)),2),"")</x:f>
      </x:c>
      <x:c r="I522" t="str">
        <x:f>IF(SUMIFS('İndirimler'!$D$2:$D$210,'İndirimler'!$A$2:$A$210,B522,'İndirimler'!$B$2:$B$210,C522)&gt;0,ROUND(G522*(1-SUMIFS('İndirimler'!$D$2:$D$210,'İndirimler'!$A$2:$A$210,B522,'İndirimler'!$B$2:$B$210,C522)),2),"")</x:f>
      </x:c>
      <x:c r="J522"/>
      <x:c r="K522"/>
    </x:row>
    <x:row r="523">
      <x:c r="A523"/>
      <x:c r="B523"/>
      <x:c r="C523"/>
      <x:c r="D523"/>
      <x:c r="E523"/>
      <x:c r="F523"/>
      <x:c r="G523"/>
      <x:c r="H523" t="str">
        <x:f>IF(SUMIFS('İndirimler'!$C$2:$C$210,'İndirimler'!$A$2:$A$210,B523,'İndirimler'!$B$2:$B$210,C523)&gt;0,ROUND(G523*(1-SUMIFS('İndirimler'!$C$2:$C$210,'İndirimler'!$A$2:$A$210,B523,'İndirimler'!$B$2:$B$210,C523)),2),"")</x:f>
      </x:c>
      <x:c r="I523" t="str">
        <x:f>IF(SUMIFS('İndirimler'!$D$2:$D$210,'İndirimler'!$A$2:$A$210,B523,'İndirimler'!$B$2:$B$210,C523)&gt;0,ROUND(G523*(1-SUMIFS('İndirimler'!$D$2:$D$210,'İndirimler'!$A$2:$A$210,B523,'İndirimler'!$B$2:$B$210,C523)),2),"")</x:f>
      </x:c>
      <x:c r="J523"/>
      <x:c r="K523"/>
    </x:row>
    <x:row r="524">
      <x:c r="A524"/>
      <x:c r="B524"/>
      <x:c r="C524"/>
      <x:c r="D524"/>
      <x:c r="E524"/>
      <x:c r="F524"/>
      <x:c r="G524"/>
      <x:c r="H524" t="str">
        <x:f>IF(SUMIFS('İndirimler'!$C$2:$C$210,'İndirimler'!$A$2:$A$210,B524,'İndirimler'!$B$2:$B$210,C524)&gt;0,ROUND(G524*(1-SUMIFS('İndirimler'!$C$2:$C$210,'İndirimler'!$A$2:$A$210,B524,'İndirimler'!$B$2:$B$210,C524)),2),"")</x:f>
      </x:c>
      <x:c r="I524" t="str">
        <x:f>IF(SUMIFS('İndirimler'!$D$2:$D$210,'İndirimler'!$A$2:$A$210,B524,'İndirimler'!$B$2:$B$210,C524)&gt;0,ROUND(G524*(1-SUMIFS('İndirimler'!$D$2:$D$210,'İndirimler'!$A$2:$A$210,B524,'İndirimler'!$B$2:$B$210,C524)),2),"")</x:f>
      </x:c>
      <x:c r="J524"/>
      <x:c r="K524"/>
    </x:row>
    <x:row r="525">
      <x:c r="A525"/>
      <x:c r="B525"/>
      <x:c r="C525"/>
      <x:c r="D525"/>
      <x:c r="E525"/>
      <x:c r="F525"/>
      <x:c r="G525"/>
      <x:c r="H525" t="str">
        <x:f>IF(SUMIFS('İndirimler'!$C$2:$C$210,'İndirimler'!$A$2:$A$210,B525,'İndirimler'!$B$2:$B$210,C525)&gt;0,ROUND(G525*(1-SUMIFS('İndirimler'!$C$2:$C$210,'İndirimler'!$A$2:$A$210,B525,'İndirimler'!$B$2:$B$210,C525)),2),"")</x:f>
      </x:c>
      <x:c r="I525" t="str">
        <x:f>IF(SUMIFS('İndirimler'!$D$2:$D$210,'İndirimler'!$A$2:$A$210,B525,'İndirimler'!$B$2:$B$210,C525)&gt;0,ROUND(G525*(1-SUMIFS('İndirimler'!$D$2:$D$210,'İndirimler'!$A$2:$A$210,B525,'İndirimler'!$B$2:$B$210,C525)),2),"")</x:f>
      </x:c>
      <x:c r="J525"/>
      <x:c r="K525"/>
    </x:row>
    <x:row r="526">
      <x:c r="A526"/>
      <x:c r="B526"/>
      <x:c r="C526"/>
      <x:c r="D526"/>
      <x:c r="E526"/>
      <x:c r="F526"/>
      <x:c r="G526"/>
      <x:c r="H526" t="str">
        <x:f>IF(SUMIFS('İndirimler'!$C$2:$C$210,'İndirimler'!$A$2:$A$210,B526,'İndirimler'!$B$2:$B$210,C526)&gt;0,ROUND(G526*(1-SUMIFS('İndirimler'!$C$2:$C$210,'İndirimler'!$A$2:$A$210,B526,'İndirimler'!$B$2:$B$210,C526)),2),"")</x:f>
      </x:c>
      <x:c r="I526" t="str">
        <x:f>IF(SUMIFS('İndirimler'!$D$2:$D$210,'İndirimler'!$A$2:$A$210,B526,'İndirimler'!$B$2:$B$210,C526)&gt;0,ROUND(G526*(1-SUMIFS('İndirimler'!$D$2:$D$210,'İndirimler'!$A$2:$A$210,B526,'İndirimler'!$B$2:$B$210,C526)),2),"")</x:f>
      </x:c>
      <x:c r="J526"/>
      <x:c r="K526"/>
    </x:row>
    <x:row r="527">
      <x:c r="A527"/>
      <x:c r="B527"/>
      <x:c r="C527"/>
      <x:c r="D527"/>
      <x:c r="E527"/>
      <x:c r="F527"/>
      <x:c r="G527"/>
      <x:c r="H527" t="str">
        <x:f>IF(SUMIFS('İndirimler'!$C$2:$C$210,'İndirimler'!$A$2:$A$210,B527,'İndirimler'!$B$2:$B$210,C527)&gt;0,ROUND(G527*(1-SUMIFS('İndirimler'!$C$2:$C$210,'İndirimler'!$A$2:$A$210,B527,'İndirimler'!$B$2:$B$210,C527)),2),"")</x:f>
      </x:c>
      <x:c r="I527" t="str">
        <x:f>IF(SUMIFS('İndirimler'!$D$2:$D$210,'İndirimler'!$A$2:$A$210,B527,'İndirimler'!$B$2:$B$210,C527)&gt;0,ROUND(G527*(1-SUMIFS('İndirimler'!$D$2:$D$210,'İndirimler'!$A$2:$A$210,B527,'İndirimler'!$B$2:$B$210,C527)),2),"")</x:f>
      </x:c>
      <x:c r="J527"/>
      <x:c r="K527"/>
    </x:row>
    <x:row r="528">
      <x:c r="A528"/>
      <x:c r="B528"/>
      <x:c r="C528"/>
      <x:c r="D528"/>
      <x:c r="E528"/>
      <x:c r="F528"/>
      <x:c r="G528"/>
      <x:c r="H528" t="str">
        <x:f>IF(SUMIFS('İndirimler'!$C$2:$C$210,'İndirimler'!$A$2:$A$210,B528,'İndirimler'!$B$2:$B$210,C528)&gt;0,ROUND(G528*(1-SUMIFS('İndirimler'!$C$2:$C$210,'İndirimler'!$A$2:$A$210,B528,'İndirimler'!$B$2:$B$210,C528)),2),"")</x:f>
      </x:c>
      <x:c r="I528" t="str">
        <x:f>IF(SUMIFS('İndirimler'!$D$2:$D$210,'İndirimler'!$A$2:$A$210,B528,'İndirimler'!$B$2:$B$210,C528)&gt;0,ROUND(G528*(1-SUMIFS('İndirimler'!$D$2:$D$210,'İndirimler'!$A$2:$A$210,B528,'İndirimler'!$B$2:$B$210,C528)),2),"")</x:f>
      </x:c>
      <x:c r="J528"/>
      <x:c r="K528"/>
    </x:row>
    <x:row r="529">
      <x:c r="A529"/>
      <x:c r="B529"/>
      <x:c r="C529"/>
      <x:c r="D529"/>
      <x:c r="E529"/>
      <x:c r="F529"/>
      <x:c r="G529"/>
      <x:c r="H529" t="str">
        <x:f>IF(SUMIFS('İndirimler'!$C$2:$C$210,'İndirimler'!$A$2:$A$210,B529,'İndirimler'!$B$2:$B$210,C529)&gt;0,ROUND(G529*(1-SUMIFS('İndirimler'!$C$2:$C$210,'İndirimler'!$A$2:$A$210,B529,'İndirimler'!$B$2:$B$210,C529)),2),"")</x:f>
      </x:c>
      <x:c r="I529" t="str">
        <x:f>IF(SUMIFS('İndirimler'!$D$2:$D$210,'İndirimler'!$A$2:$A$210,B529,'İndirimler'!$B$2:$B$210,C529)&gt;0,ROUND(G529*(1-SUMIFS('İndirimler'!$D$2:$D$210,'İndirimler'!$A$2:$A$210,B529,'İndirimler'!$B$2:$B$210,C529)),2),"")</x:f>
      </x:c>
      <x:c r="J529"/>
      <x:c r="K529"/>
    </x:row>
    <x:row r="530">
      <x:c r="A530"/>
      <x:c r="B530"/>
      <x:c r="C530"/>
      <x:c r="D530"/>
      <x:c r="E530"/>
      <x:c r="F530"/>
      <x:c r="G530"/>
      <x:c r="H530" t="str">
        <x:f>IF(SUMIFS('İndirimler'!$C$2:$C$210,'İndirimler'!$A$2:$A$210,B530,'İndirimler'!$B$2:$B$210,C530)&gt;0,ROUND(G530*(1-SUMIFS('İndirimler'!$C$2:$C$210,'İndirimler'!$A$2:$A$210,B530,'İndirimler'!$B$2:$B$210,C530)),2),"")</x:f>
      </x:c>
      <x:c r="I530" t="str">
        <x:f>IF(SUMIFS('İndirimler'!$D$2:$D$210,'İndirimler'!$A$2:$A$210,B530,'İndirimler'!$B$2:$B$210,C530)&gt;0,ROUND(G530*(1-SUMIFS('İndirimler'!$D$2:$D$210,'İndirimler'!$A$2:$A$210,B530,'İndirimler'!$B$2:$B$210,C530)),2),"")</x:f>
      </x:c>
      <x:c r="J530"/>
      <x:c r="K530"/>
    </x:row>
    <x:row r="531">
      <x:c r="A531"/>
      <x:c r="B531"/>
      <x:c r="C531"/>
      <x:c r="D531"/>
      <x:c r="E531"/>
      <x:c r="F531"/>
      <x:c r="G531"/>
      <x:c r="H531" t="str">
        <x:f>IF(SUMIFS('İndirimler'!$C$2:$C$210,'İndirimler'!$A$2:$A$210,B531,'İndirimler'!$B$2:$B$210,C531)&gt;0,ROUND(G531*(1-SUMIFS('İndirimler'!$C$2:$C$210,'İndirimler'!$A$2:$A$210,B531,'İndirimler'!$B$2:$B$210,C531)),2),"")</x:f>
      </x:c>
      <x:c r="I531" t="str">
        <x:f>IF(SUMIFS('İndirimler'!$D$2:$D$210,'İndirimler'!$A$2:$A$210,B531,'İndirimler'!$B$2:$B$210,C531)&gt;0,ROUND(G531*(1-SUMIFS('İndirimler'!$D$2:$D$210,'İndirimler'!$A$2:$A$210,B531,'İndirimler'!$B$2:$B$210,C531)),2),"")</x:f>
      </x:c>
      <x:c r="J531"/>
      <x:c r="K531"/>
    </x:row>
    <x:row r="532">
      <x:c r="A532"/>
      <x:c r="B532"/>
      <x:c r="C532"/>
      <x:c r="D532"/>
      <x:c r="E532"/>
      <x:c r="F532"/>
      <x:c r="G532"/>
      <x:c r="H532" t="str">
        <x:f>IF(SUMIFS('İndirimler'!$C$2:$C$210,'İndirimler'!$A$2:$A$210,B532,'İndirimler'!$B$2:$B$210,C532)&gt;0,ROUND(G532*(1-SUMIFS('İndirimler'!$C$2:$C$210,'İndirimler'!$A$2:$A$210,B532,'İndirimler'!$B$2:$B$210,C532)),2),"")</x:f>
      </x:c>
      <x:c r="I532" t="str">
        <x:f>IF(SUMIFS('İndirimler'!$D$2:$D$210,'İndirimler'!$A$2:$A$210,B532,'İndirimler'!$B$2:$B$210,C532)&gt;0,ROUND(G532*(1-SUMIFS('İndirimler'!$D$2:$D$210,'İndirimler'!$A$2:$A$210,B532,'İndirimler'!$B$2:$B$210,C532)),2),"")</x:f>
      </x:c>
      <x:c r="J532"/>
      <x:c r="K532"/>
    </x:row>
    <x:row r="533">
      <x:c r="A533"/>
      <x:c r="B533"/>
      <x:c r="C533"/>
      <x:c r="D533"/>
      <x:c r="E533"/>
      <x:c r="F533"/>
      <x:c r="G533"/>
      <x:c r="H533" t="str">
        <x:f>IF(SUMIFS('İndirimler'!$C$2:$C$210,'İndirimler'!$A$2:$A$210,B533,'İndirimler'!$B$2:$B$210,C533)&gt;0,ROUND(G533*(1-SUMIFS('İndirimler'!$C$2:$C$210,'İndirimler'!$A$2:$A$210,B533,'İndirimler'!$B$2:$B$210,C533)),2),"")</x:f>
      </x:c>
      <x:c r="I533" t="str">
        <x:f>IF(SUMIFS('İndirimler'!$D$2:$D$210,'İndirimler'!$A$2:$A$210,B533,'İndirimler'!$B$2:$B$210,C533)&gt;0,ROUND(G533*(1-SUMIFS('İndirimler'!$D$2:$D$210,'İndirimler'!$A$2:$A$210,B533,'İndirimler'!$B$2:$B$210,C533)),2),"")</x:f>
      </x:c>
      <x:c r="J533"/>
      <x:c r="K533"/>
    </x:row>
    <x:row r="534">
      <x:c r="A534"/>
      <x:c r="B534"/>
      <x:c r="C534"/>
      <x:c r="D534"/>
      <x:c r="E534"/>
      <x:c r="F534"/>
      <x:c r="G534"/>
      <x:c r="H534" t="str">
        <x:f>IF(SUMIFS('İndirimler'!$C$2:$C$210,'İndirimler'!$A$2:$A$210,B534,'İndirimler'!$B$2:$B$210,C534)&gt;0,ROUND(G534*(1-SUMIFS('İndirimler'!$C$2:$C$210,'İndirimler'!$A$2:$A$210,B534,'İndirimler'!$B$2:$B$210,C534)),2),"")</x:f>
      </x:c>
      <x:c r="I534" t="str">
        <x:f>IF(SUMIFS('İndirimler'!$D$2:$D$210,'İndirimler'!$A$2:$A$210,B534,'İndirimler'!$B$2:$B$210,C534)&gt;0,ROUND(G534*(1-SUMIFS('İndirimler'!$D$2:$D$210,'İndirimler'!$A$2:$A$210,B534,'İndirimler'!$B$2:$B$210,C534)),2),"")</x:f>
      </x:c>
      <x:c r="J534"/>
      <x:c r="K534"/>
    </x:row>
    <x:row r="535">
      <x:c r="A535"/>
      <x:c r="B535"/>
      <x:c r="C535"/>
      <x:c r="D535"/>
      <x:c r="E535"/>
      <x:c r="F535"/>
      <x:c r="G535"/>
      <x:c r="H535" t="str">
        <x:f>IF(SUMIFS('İndirimler'!$C$2:$C$210,'İndirimler'!$A$2:$A$210,B535,'İndirimler'!$B$2:$B$210,C535)&gt;0,ROUND(G535*(1-SUMIFS('İndirimler'!$C$2:$C$210,'İndirimler'!$A$2:$A$210,B535,'İndirimler'!$B$2:$B$210,C535)),2),"")</x:f>
      </x:c>
      <x:c r="I535" t="str">
        <x:f>IF(SUMIFS('İndirimler'!$D$2:$D$210,'İndirimler'!$A$2:$A$210,B535,'İndirimler'!$B$2:$B$210,C535)&gt;0,ROUND(G535*(1-SUMIFS('İndirimler'!$D$2:$D$210,'İndirimler'!$A$2:$A$210,B535,'İndirimler'!$B$2:$B$210,C535)),2),"")</x:f>
      </x:c>
      <x:c r="J535"/>
      <x:c r="K535"/>
    </x:row>
    <x:row r="536">
      <x:c r="A536"/>
      <x:c r="B536"/>
      <x:c r="C536"/>
      <x:c r="D536"/>
      <x:c r="E536"/>
      <x:c r="F536"/>
      <x:c r="G536"/>
      <x:c r="H536" t="str">
        <x:f>IF(SUMIFS('İndirimler'!$C$2:$C$210,'İndirimler'!$A$2:$A$210,B536,'İndirimler'!$B$2:$B$210,C536)&gt;0,ROUND(G536*(1-SUMIFS('İndirimler'!$C$2:$C$210,'İndirimler'!$A$2:$A$210,B536,'İndirimler'!$B$2:$B$210,C536)),2),"")</x:f>
      </x:c>
      <x:c r="I536" t="str">
        <x:f>IF(SUMIFS('İndirimler'!$D$2:$D$210,'İndirimler'!$A$2:$A$210,B536,'İndirimler'!$B$2:$B$210,C536)&gt;0,ROUND(G536*(1-SUMIFS('İndirimler'!$D$2:$D$210,'İndirimler'!$A$2:$A$210,B536,'İndirimler'!$B$2:$B$210,C536)),2),"")</x:f>
      </x:c>
      <x:c r="J536"/>
      <x:c r="K536"/>
    </x:row>
    <x:row r="537">
      <x:c r="A537"/>
      <x:c r="B537"/>
      <x:c r="C537"/>
      <x:c r="D537"/>
      <x:c r="E537"/>
      <x:c r="F537"/>
      <x:c r="G537"/>
      <x:c r="H537" t="str">
        <x:f>IF(SUMIFS('İndirimler'!$C$2:$C$210,'İndirimler'!$A$2:$A$210,B537,'İndirimler'!$B$2:$B$210,C537)&gt;0,ROUND(G537*(1-SUMIFS('İndirimler'!$C$2:$C$210,'İndirimler'!$A$2:$A$210,B537,'İndirimler'!$B$2:$B$210,C537)),2),"")</x:f>
      </x:c>
      <x:c r="I537" t="str">
        <x:f>IF(SUMIFS('İndirimler'!$D$2:$D$210,'İndirimler'!$A$2:$A$210,B537,'İndirimler'!$B$2:$B$210,C537)&gt;0,ROUND(G537*(1-SUMIFS('İndirimler'!$D$2:$D$210,'İndirimler'!$A$2:$A$210,B537,'İndirimler'!$B$2:$B$210,C537)),2),"")</x:f>
      </x:c>
      <x:c r="J537"/>
      <x:c r="K537"/>
    </x:row>
    <x:row r="538">
      <x:c r="A538"/>
      <x:c r="B538"/>
      <x:c r="C538"/>
      <x:c r="D538"/>
      <x:c r="E538"/>
      <x:c r="F538"/>
      <x:c r="G538"/>
      <x:c r="H538" t="str">
        <x:f>IF(SUMIFS('İndirimler'!$C$2:$C$210,'İndirimler'!$A$2:$A$210,B538,'İndirimler'!$B$2:$B$210,C538)&gt;0,ROUND(G538*(1-SUMIFS('İndirimler'!$C$2:$C$210,'İndirimler'!$A$2:$A$210,B538,'İndirimler'!$B$2:$B$210,C538)),2),"")</x:f>
      </x:c>
      <x:c r="I538" t="str">
        <x:f>IF(SUMIFS('İndirimler'!$D$2:$D$210,'İndirimler'!$A$2:$A$210,B538,'İndirimler'!$B$2:$B$210,C538)&gt;0,ROUND(G538*(1-SUMIFS('İndirimler'!$D$2:$D$210,'İndirimler'!$A$2:$A$210,B538,'İndirimler'!$B$2:$B$210,C538)),2),"")</x:f>
      </x:c>
      <x:c r="J538"/>
      <x:c r="K538"/>
    </x:row>
    <x:row r="539">
      <x:c r="A539"/>
      <x:c r="B539"/>
      <x:c r="C539"/>
      <x:c r="D539"/>
      <x:c r="E539"/>
      <x:c r="F539"/>
      <x:c r="G539"/>
      <x:c r="H539" t="str">
        <x:f>IF(SUMIFS('İndirimler'!$C$2:$C$210,'İndirimler'!$A$2:$A$210,B539,'İndirimler'!$B$2:$B$210,C539)&gt;0,ROUND(G539*(1-SUMIFS('İndirimler'!$C$2:$C$210,'İndirimler'!$A$2:$A$210,B539,'İndirimler'!$B$2:$B$210,C539)),2),"")</x:f>
      </x:c>
      <x:c r="I539" t="str">
        <x:f>IF(SUMIFS('İndirimler'!$D$2:$D$210,'İndirimler'!$A$2:$A$210,B539,'İndirimler'!$B$2:$B$210,C539)&gt;0,ROUND(G539*(1-SUMIFS('İndirimler'!$D$2:$D$210,'İndirimler'!$A$2:$A$210,B539,'İndirimler'!$B$2:$B$210,C539)),2),"")</x:f>
      </x:c>
      <x:c r="J539"/>
      <x:c r="K539"/>
    </x:row>
    <x:row r="540">
      <x:c r="A540"/>
      <x:c r="B540"/>
      <x:c r="C540"/>
      <x:c r="D540"/>
      <x:c r="E540"/>
      <x:c r="F540"/>
      <x:c r="G540"/>
      <x:c r="H540" t="str">
        <x:f>IF(SUMIFS('İndirimler'!$C$2:$C$210,'İndirimler'!$A$2:$A$210,B540,'İndirimler'!$B$2:$B$210,C540)&gt;0,ROUND(G540*(1-SUMIFS('İndirimler'!$C$2:$C$210,'İndirimler'!$A$2:$A$210,B540,'İndirimler'!$B$2:$B$210,C540)),2),"")</x:f>
      </x:c>
      <x:c r="I540" t="str">
        <x:f>IF(SUMIFS('İndirimler'!$D$2:$D$210,'İndirimler'!$A$2:$A$210,B540,'İndirimler'!$B$2:$B$210,C540)&gt;0,ROUND(G540*(1-SUMIFS('İndirimler'!$D$2:$D$210,'İndirimler'!$A$2:$A$210,B540,'İndirimler'!$B$2:$B$210,C540)),2),"")</x:f>
      </x:c>
      <x:c r="J540"/>
      <x:c r="K540"/>
    </x:row>
    <x:row r="541">
      <x:c r="A541"/>
      <x:c r="B541"/>
      <x:c r="C541"/>
      <x:c r="D541"/>
      <x:c r="E541"/>
      <x:c r="F541"/>
      <x:c r="G541"/>
      <x:c r="H541" t="str">
        <x:f>IF(SUMIFS('İndirimler'!$C$2:$C$210,'İndirimler'!$A$2:$A$210,B541,'İndirimler'!$B$2:$B$210,C541)&gt;0,ROUND(G541*(1-SUMIFS('İndirimler'!$C$2:$C$210,'İndirimler'!$A$2:$A$210,B541,'İndirimler'!$B$2:$B$210,C541)),2),"")</x:f>
      </x:c>
      <x:c r="I541" t="str">
        <x:f>IF(SUMIFS('İndirimler'!$D$2:$D$210,'İndirimler'!$A$2:$A$210,B541,'İndirimler'!$B$2:$B$210,C541)&gt;0,ROUND(G541*(1-SUMIFS('İndirimler'!$D$2:$D$210,'İndirimler'!$A$2:$A$210,B541,'İndirimler'!$B$2:$B$210,C541)),2),"")</x:f>
      </x:c>
      <x:c r="J541"/>
      <x:c r="K541"/>
    </x:row>
    <x:row r="542">
      <x:c r="A542"/>
      <x:c r="B542"/>
      <x:c r="C542"/>
      <x:c r="D542"/>
      <x:c r="E542"/>
      <x:c r="F542"/>
      <x:c r="G542"/>
      <x:c r="H542" t="str">
        <x:f>IF(SUMIFS('İndirimler'!$C$2:$C$210,'İndirimler'!$A$2:$A$210,B542,'İndirimler'!$B$2:$B$210,C542)&gt;0,ROUND(G542*(1-SUMIFS('İndirimler'!$C$2:$C$210,'İndirimler'!$A$2:$A$210,B542,'İndirimler'!$B$2:$B$210,C542)),2),"")</x:f>
      </x:c>
      <x:c r="I542" t="str">
        <x:f>IF(SUMIFS('İndirimler'!$D$2:$D$210,'İndirimler'!$A$2:$A$210,B542,'İndirimler'!$B$2:$B$210,C542)&gt;0,ROUND(G542*(1-SUMIFS('İndirimler'!$D$2:$D$210,'İndirimler'!$A$2:$A$210,B542,'İndirimler'!$B$2:$B$210,C542)),2),"")</x:f>
      </x:c>
      <x:c r="J542"/>
      <x:c r="K542"/>
    </x:row>
    <x:row r="543">
      <x:c r="A543"/>
      <x:c r="B543"/>
      <x:c r="C543"/>
      <x:c r="D543"/>
      <x:c r="E543"/>
      <x:c r="F543"/>
      <x:c r="G543"/>
      <x:c r="H543" t="str">
        <x:f>IF(SUMIFS('İndirimler'!$C$2:$C$210,'İndirimler'!$A$2:$A$210,B543,'İndirimler'!$B$2:$B$210,C543)&gt;0,ROUND(G543*(1-SUMIFS('İndirimler'!$C$2:$C$210,'İndirimler'!$A$2:$A$210,B543,'İndirimler'!$B$2:$B$210,C543)),2),"")</x:f>
      </x:c>
      <x:c r="I543" t="str">
        <x:f>IF(SUMIFS('İndirimler'!$D$2:$D$210,'İndirimler'!$A$2:$A$210,B543,'İndirimler'!$B$2:$B$210,C543)&gt;0,ROUND(G543*(1-SUMIFS('İndirimler'!$D$2:$D$210,'İndirimler'!$A$2:$A$210,B543,'İndirimler'!$B$2:$B$210,C543)),2),"")</x:f>
      </x:c>
      <x:c r="J543"/>
      <x:c r="K543"/>
    </x:row>
    <x:row r="544">
      <x:c r="A544"/>
      <x:c r="B544"/>
      <x:c r="C544"/>
      <x:c r="D544"/>
      <x:c r="E544"/>
      <x:c r="F544"/>
      <x:c r="G544"/>
      <x:c r="H544" t="str">
        <x:f>IF(SUMIFS('İndirimler'!$C$2:$C$210,'İndirimler'!$A$2:$A$210,B544,'İndirimler'!$B$2:$B$210,C544)&gt;0,ROUND(G544*(1-SUMIFS('İndirimler'!$C$2:$C$210,'İndirimler'!$A$2:$A$210,B544,'İndirimler'!$B$2:$B$210,C544)),2),"")</x:f>
      </x:c>
      <x:c r="I544" t="str">
        <x:f>IF(SUMIFS('İndirimler'!$D$2:$D$210,'İndirimler'!$A$2:$A$210,B544,'İndirimler'!$B$2:$B$210,C544)&gt;0,ROUND(G544*(1-SUMIFS('İndirimler'!$D$2:$D$210,'İndirimler'!$A$2:$A$210,B544,'İndirimler'!$B$2:$B$210,C544)),2),"")</x:f>
      </x:c>
      <x:c r="J544"/>
      <x:c r="K544"/>
    </x:row>
    <x:row r="545">
      <x:c r="A545"/>
      <x:c r="B545"/>
      <x:c r="C545"/>
      <x:c r="D545"/>
      <x:c r="E545"/>
      <x:c r="F545"/>
      <x:c r="G545"/>
      <x:c r="H545" t="str">
        <x:f>IF(SUMIFS('İndirimler'!$C$2:$C$210,'İndirimler'!$A$2:$A$210,B545,'İndirimler'!$B$2:$B$210,C545)&gt;0,ROUND(G545*(1-SUMIFS('İndirimler'!$C$2:$C$210,'İndirimler'!$A$2:$A$210,B545,'İndirimler'!$B$2:$B$210,C545)),2),"")</x:f>
      </x:c>
      <x:c r="I545" t="str">
        <x:f>IF(SUMIFS('İndirimler'!$D$2:$D$210,'İndirimler'!$A$2:$A$210,B545,'İndirimler'!$B$2:$B$210,C545)&gt;0,ROUND(G545*(1-SUMIFS('İndirimler'!$D$2:$D$210,'İndirimler'!$A$2:$A$210,B545,'İndirimler'!$B$2:$B$210,C545)),2),"")</x:f>
      </x:c>
      <x:c r="J545"/>
      <x:c r="K545"/>
    </x:row>
    <x:row r="546">
      <x:c r="A546"/>
      <x:c r="B546"/>
      <x:c r="C546"/>
      <x:c r="D546"/>
      <x:c r="E546"/>
      <x:c r="F546"/>
      <x:c r="G546"/>
      <x:c r="H546" t="str">
        <x:f>IF(SUMIFS('İndirimler'!$C$2:$C$210,'İndirimler'!$A$2:$A$210,B546,'İndirimler'!$B$2:$B$210,C546)&gt;0,ROUND(G546*(1-SUMIFS('İndirimler'!$C$2:$C$210,'İndirimler'!$A$2:$A$210,B546,'İndirimler'!$B$2:$B$210,C546)),2),"")</x:f>
      </x:c>
      <x:c r="I546" t="str">
        <x:f>IF(SUMIFS('İndirimler'!$D$2:$D$210,'İndirimler'!$A$2:$A$210,B546,'İndirimler'!$B$2:$B$210,C546)&gt;0,ROUND(G546*(1-SUMIFS('İndirimler'!$D$2:$D$210,'İndirimler'!$A$2:$A$210,B546,'İndirimler'!$B$2:$B$210,C546)),2),"")</x:f>
      </x:c>
      <x:c r="J546"/>
      <x:c r="K546"/>
    </x:row>
    <x:row r="547">
      <x:c r="A547"/>
      <x:c r="B547"/>
      <x:c r="C547"/>
      <x:c r="D547"/>
      <x:c r="E547"/>
      <x:c r="F547"/>
      <x:c r="G547"/>
      <x:c r="H547" t="str">
        <x:f>IF(SUMIFS('İndirimler'!$C$2:$C$210,'İndirimler'!$A$2:$A$210,B547,'İndirimler'!$B$2:$B$210,C547)&gt;0,ROUND(G547*(1-SUMIFS('İndirimler'!$C$2:$C$210,'İndirimler'!$A$2:$A$210,B547,'İndirimler'!$B$2:$B$210,C547)),2),"")</x:f>
      </x:c>
      <x:c r="I547" t="str">
        <x:f>IF(SUMIFS('İndirimler'!$D$2:$D$210,'İndirimler'!$A$2:$A$210,B547,'İndirimler'!$B$2:$B$210,C547)&gt;0,ROUND(G547*(1-SUMIFS('İndirimler'!$D$2:$D$210,'İndirimler'!$A$2:$A$210,B547,'İndirimler'!$B$2:$B$210,C547)),2),"")</x:f>
      </x:c>
      <x:c r="J547"/>
      <x:c r="K547"/>
    </x:row>
    <x:row r="548">
      <x:c r="A548"/>
      <x:c r="B548"/>
      <x:c r="C548"/>
      <x:c r="D548"/>
      <x:c r="E548"/>
      <x:c r="F548"/>
      <x:c r="G548"/>
      <x:c r="H548" t="str">
        <x:f>IF(SUMIFS('İndirimler'!$C$2:$C$210,'İndirimler'!$A$2:$A$210,B548,'İndirimler'!$B$2:$B$210,C548)&gt;0,ROUND(G548*(1-SUMIFS('İndirimler'!$C$2:$C$210,'İndirimler'!$A$2:$A$210,B548,'İndirimler'!$B$2:$B$210,C548)),2),"")</x:f>
      </x:c>
      <x:c r="I548" t="str">
        <x:f>IF(SUMIFS('İndirimler'!$D$2:$D$210,'İndirimler'!$A$2:$A$210,B548,'İndirimler'!$B$2:$B$210,C548)&gt;0,ROUND(G548*(1-SUMIFS('İndirimler'!$D$2:$D$210,'İndirimler'!$A$2:$A$210,B548,'İndirimler'!$B$2:$B$210,C548)),2),"")</x:f>
      </x:c>
      <x:c r="J548"/>
      <x:c r="K548"/>
    </x:row>
    <x:row r="549">
      <x:c r="A549"/>
      <x:c r="B549"/>
      <x:c r="C549"/>
      <x:c r="D549"/>
      <x:c r="E549"/>
      <x:c r="F549"/>
      <x:c r="G549"/>
      <x:c r="H549" t="str">
        <x:f>IF(SUMIFS('İndirimler'!$C$2:$C$210,'İndirimler'!$A$2:$A$210,B549,'İndirimler'!$B$2:$B$210,C549)&gt;0,ROUND(G549*(1-SUMIFS('İndirimler'!$C$2:$C$210,'İndirimler'!$A$2:$A$210,B549,'İndirimler'!$B$2:$B$210,C549)),2),"")</x:f>
      </x:c>
      <x:c r="I549" t="str">
        <x:f>IF(SUMIFS('İndirimler'!$D$2:$D$210,'İndirimler'!$A$2:$A$210,B549,'İndirimler'!$B$2:$B$210,C549)&gt;0,ROUND(G549*(1-SUMIFS('İndirimler'!$D$2:$D$210,'İndirimler'!$A$2:$A$210,B549,'İndirimler'!$B$2:$B$210,C549)),2),"")</x:f>
      </x:c>
      <x:c r="J549"/>
      <x:c r="K549"/>
    </x:row>
    <x:row r="550">
      <x:c r="A550"/>
      <x:c r="B550"/>
      <x:c r="C550"/>
      <x:c r="D550"/>
      <x:c r="E550"/>
      <x:c r="F550"/>
      <x:c r="G550"/>
      <x:c r="H550" t="str">
        <x:f>IF(SUMIFS('İndirimler'!$C$2:$C$210,'İndirimler'!$A$2:$A$210,B550,'İndirimler'!$B$2:$B$210,C550)&gt;0,ROUND(G550*(1-SUMIFS('İndirimler'!$C$2:$C$210,'İndirimler'!$A$2:$A$210,B550,'İndirimler'!$B$2:$B$210,C550)),2),"")</x:f>
      </x:c>
      <x:c r="I550" t="str">
        <x:f>IF(SUMIFS('İndirimler'!$D$2:$D$210,'İndirimler'!$A$2:$A$210,B550,'İndirimler'!$B$2:$B$210,C550)&gt;0,ROUND(G550*(1-SUMIFS('İndirimler'!$D$2:$D$210,'İndirimler'!$A$2:$A$210,B550,'İndirimler'!$B$2:$B$210,C550)),2),"")</x:f>
      </x:c>
      <x:c r="J550"/>
      <x:c r="K550"/>
    </x:row>
    <x:row r="551">
      <x:c r="A551"/>
      <x:c r="B551"/>
      <x:c r="C551"/>
      <x:c r="D551"/>
      <x:c r="E551"/>
      <x:c r="F551"/>
      <x:c r="G551"/>
      <x:c r="H551" t="str">
        <x:f>IF(SUMIFS('İndirimler'!$C$2:$C$210,'İndirimler'!$A$2:$A$210,B551,'İndirimler'!$B$2:$B$210,C551)&gt;0,ROUND(G551*(1-SUMIFS('İndirimler'!$C$2:$C$210,'İndirimler'!$A$2:$A$210,B551,'İndirimler'!$B$2:$B$210,C551)),2),"")</x:f>
      </x:c>
      <x:c r="I551" t="str">
        <x:f>IF(SUMIFS('İndirimler'!$D$2:$D$210,'İndirimler'!$A$2:$A$210,B551,'İndirimler'!$B$2:$B$210,C551)&gt;0,ROUND(G551*(1-SUMIFS('İndirimler'!$D$2:$D$210,'İndirimler'!$A$2:$A$210,B551,'İndirimler'!$B$2:$B$210,C551)),2),"")</x:f>
      </x:c>
      <x:c r="J551"/>
      <x:c r="K551"/>
    </x:row>
    <x:row r="552">
      <x:c r="A552"/>
      <x:c r="B552"/>
      <x:c r="C552"/>
      <x:c r="D552"/>
      <x:c r="E552"/>
      <x:c r="F552"/>
      <x:c r="G552"/>
      <x:c r="H552" t="str">
        <x:f>IF(SUMIFS('İndirimler'!$C$2:$C$210,'İndirimler'!$A$2:$A$210,B552,'İndirimler'!$B$2:$B$210,C552)&gt;0,ROUND(G552*(1-SUMIFS('İndirimler'!$C$2:$C$210,'İndirimler'!$A$2:$A$210,B552,'İndirimler'!$B$2:$B$210,C552)),2),"")</x:f>
      </x:c>
      <x:c r="I552" t="str">
        <x:f>IF(SUMIFS('İndirimler'!$D$2:$D$210,'İndirimler'!$A$2:$A$210,B552,'İndirimler'!$B$2:$B$210,C552)&gt;0,ROUND(G552*(1-SUMIFS('İndirimler'!$D$2:$D$210,'İndirimler'!$A$2:$A$210,B552,'İndirimler'!$B$2:$B$210,C552)),2),"")</x:f>
      </x:c>
      <x:c r="J552"/>
      <x:c r="K552"/>
    </x:row>
    <x:row r="553">
      <x:c r="A553"/>
      <x:c r="B553"/>
      <x:c r="C553"/>
      <x:c r="D553"/>
      <x:c r="E553"/>
      <x:c r="F553"/>
      <x:c r="G553"/>
      <x:c r="H553" t="str">
        <x:f>IF(SUMIFS('İndirimler'!$C$2:$C$210,'İndirimler'!$A$2:$A$210,B553,'İndirimler'!$B$2:$B$210,C553)&gt;0,ROUND(G553*(1-SUMIFS('İndirimler'!$C$2:$C$210,'İndirimler'!$A$2:$A$210,B553,'İndirimler'!$B$2:$B$210,C553)),2),"")</x:f>
      </x:c>
      <x:c r="I553" t="str">
        <x:f>IF(SUMIFS('İndirimler'!$D$2:$D$210,'İndirimler'!$A$2:$A$210,B553,'İndirimler'!$B$2:$B$210,C553)&gt;0,ROUND(G553*(1-SUMIFS('İndirimler'!$D$2:$D$210,'İndirimler'!$A$2:$A$210,B553,'İndirimler'!$B$2:$B$210,C553)),2),"")</x:f>
      </x:c>
      <x:c r="J553"/>
      <x:c r="K553"/>
    </x:row>
    <x:row r="554">
      <x:c r="A554"/>
      <x:c r="B554"/>
      <x:c r="C554"/>
      <x:c r="D554"/>
      <x:c r="E554"/>
      <x:c r="F554"/>
      <x:c r="G554"/>
      <x:c r="H554" t="str">
        <x:f>IF(SUMIFS('İndirimler'!$C$2:$C$210,'İndirimler'!$A$2:$A$210,B554,'İndirimler'!$B$2:$B$210,C554)&gt;0,ROUND(G554*(1-SUMIFS('İndirimler'!$C$2:$C$210,'İndirimler'!$A$2:$A$210,B554,'İndirimler'!$B$2:$B$210,C554)),2),"")</x:f>
      </x:c>
      <x:c r="I554" t="str">
        <x:f>IF(SUMIFS('İndirimler'!$D$2:$D$210,'İndirimler'!$A$2:$A$210,B554,'İndirimler'!$B$2:$B$210,C554)&gt;0,ROUND(G554*(1-SUMIFS('İndirimler'!$D$2:$D$210,'İndirimler'!$A$2:$A$210,B554,'İndirimler'!$B$2:$B$210,C554)),2),"")</x:f>
      </x:c>
      <x:c r="J554"/>
      <x:c r="K554"/>
    </x:row>
    <x:row r="555">
      <x:c r="A555"/>
      <x:c r="B555"/>
      <x:c r="C555"/>
      <x:c r="D555"/>
      <x:c r="E555"/>
      <x:c r="F555"/>
      <x:c r="G555"/>
      <x:c r="H555" t="str">
        <x:f>IF(SUMIFS('İndirimler'!$C$2:$C$210,'İndirimler'!$A$2:$A$210,B555,'İndirimler'!$B$2:$B$210,C555)&gt;0,ROUND(G555*(1-SUMIFS('İndirimler'!$C$2:$C$210,'İndirimler'!$A$2:$A$210,B555,'İndirimler'!$B$2:$B$210,C555)),2),"")</x:f>
      </x:c>
      <x:c r="I555" t="str">
        <x:f>IF(SUMIFS('İndirimler'!$D$2:$D$210,'İndirimler'!$A$2:$A$210,B555,'İndirimler'!$B$2:$B$210,C555)&gt;0,ROUND(G555*(1-SUMIFS('İndirimler'!$D$2:$D$210,'İndirimler'!$A$2:$A$210,B555,'İndirimler'!$B$2:$B$210,C555)),2),"")</x:f>
      </x:c>
      <x:c r="J555"/>
      <x:c r="K555"/>
    </x:row>
    <x:row r="556">
      <x:c r="A556"/>
      <x:c r="B556"/>
      <x:c r="C556"/>
      <x:c r="D556"/>
      <x:c r="E556"/>
      <x:c r="F556"/>
      <x:c r="G556"/>
      <x:c r="H556" t="str">
        <x:f>IF(SUMIFS('İndirimler'!$C$2:$C$210,'İndirimler'!$A$2:$A$210,B556,'İndirimler'!$B$2:$B$210,C556)&gt;0,ROUND(G556*(1-SUMIFS('İndirimler'!$C$2:$C$210,'İndirimler'!$A$2:$A$210,B556,'İndirimler'!$B$2:$B$210,C556)),2),"")</x:f>
      </x:c>
      <x:c r="I556" t="str">
        <x:f>IF(SUMIFS('İndirimler'!$D$2:$D$210,'İndirimler'!$A$2:$A$210,B556,'İndirimler'!$B$2:$B$210,C556)&gt;0,ROUND(G556*(1-SUMIFS('İndirimler'!$D$2:$D$210,'İndirimler'!$A$2:$A$210,B556,'İndirimler'!$B$2:$B$210,C556)),2),"")</x:f>
      </x:c>
      <x:c r="J556"/>
      <x:c r="K556"/>
    </x:row>
    <x:row r="557">
      <x:c r="A557"/>
      <x:c r="B557"/>
      <x:c r="C557"/>
      <x:c r="D557"/>
      <x:c r="E557"/>
      <x:c r="F557"/>
      <x:c r="G557"/>
      <x:c r="H557" t="str">
        <x:f>IF(SUMIFS('İndirimler'!$C$2:$C$210,'İndirimler'!$A$2:$A$210,B557,'İndirimler'!$B$2:$B$210,C557)&gt;0,ROUND(G557*(1-SUMIFS('İndirimler'!$C$2:$C$210,'İndirimler'!$A$2:$A$210,B557,'İndirimler'!$B$2:$B$210,C557)),2),"")</x:f>
      </x:c>
      <x:c r="I557" t="str">
        <x:f>IF(SUMIFS('İndirimler'!$D$2:$D$210,'İndirimler'!$A$2:$A$210,B557,'İndirimler'!$B$2:$B$210,C557)&gt;0,ROUND(G557*(1-SUMIFS('İndirimler'!$D$2:$D$210,'İndirimler'!$A$2:$A$210,B557,'İndirimler'!$B$2:$B$210,C557)),2),"")</x:f>
      </x:c>
      <x:c r="J557"/>
      <x:c r="K557"/>
    </x:row>
    <x:row r="558">
      <x:c r="A558"/>
      <x:c r="B558"/>
      <x:c r="C558"/>
      <x:c r="D558"/>
      <x:c r="E558"/>
      <x:c r="F558"/>
      <x:c r="G558"/>
      <x:c r="H558" t="str">
        <x:f>IF(SUMIFS('İndirimler'!$C$2:$C$210,'İndirimler'!$A$2:$A$210,B558,'İndirimler'!$B$2:$B$210,C558)&gt;0,ROUND(G558*(1-SUMIFS('İndirimler'!$C$2:$C$210,'İndirimler'!$A$2:$A$210,B558,'İndirimler'!$B$2:$B$210,C558)),2),"")</x:f>
      </x:c>
      <x:c r="I558" t="str">
        <x:f>IF(SUMIFS('İndirimler'!$D$2:$D$210,'İndirimler'!$A$2:$A$210,B558,'İndirimler'!$B$2:$B$210,C558)&gt;0,ROUND(G558*(1-SUMIFS('İndirimler'!$D$2:$D$210,'İndirimler'!$A$2:$A$210,B558,'İndirimler'!$B$2:$B$210,C558)),2),"")</x:f>
      </x:c>
      <x:c r="J558"/>
      <x:c r="K558"/>
    </x:row>
    <x:row r="559">
      <x:c r="A559"/>
      <x:c r="B559"/>
      <x:c r="C559"/>
      <x:c r="D559"/>
      <x:c r="E559"/>
      <x:c r="F559"/>
      <x:c r="G559"/>
      <x:c r="H559" t="str">
        <x:f>IF(SUMIFS('İndirimler'!$C$2:$C$210,'İndirimler'!$A$2:$A$210,B559,'İndirimler'!$B$2:$B$210,C559)&gt;0,ROUND(G559*(1-SUMIFS('İndirimler'!$C$2:$C$210,'İndirimler'!$A$2:$A$210,B559,'İndirimler'!$B$2:$B$210,C559)),2),"")</x:f>
      </x:c>
      <x:c r="I559" t="str">
        <x:f>IF(SUMIFS('İndirimler'!$D$2:$D$210,'İndirimler'!$A$2:$A$210,B559,'İndirimler'!$B$2:$B$210,C559)&gt;0,ROUND(G559*(1-SUMIFS('İndirimler'!$D$2:$D$210,'İndirimler'!$A$2:$A$210,B559,'İndirimler'!$B$2:$B$210,C559)),2),"")</x:f>
      </x:c>
      <x:c r="J559"/>
      <x:c r="K559"/>
    </x:row>
    <x:row r="560">
      <x:c r="A560"/>
      <x:c r="B560"/>
      <x:c r="C560"/>
      <x:c r="D560"/>
      <x:c r="E560"/>
      <x:c r="F560"/>
      <x:c r="G560"/>
      <x:c r="H560" t="str">
        <x:f>IF(SUMIFS('İndirimler'!$C$2:$C$210,'İndirimler'!$A$2:$A$210,B560,'İndirimler'!$B$2:$B$210,C560)&gt;0,ROUND(G560*(1-SUMIFS('İndirimler'!$C$2:$C$210,'İndirimler'!$A$2:$A$210,B560,'İndirimler'!$B$2:$B$210,C560)),2),"")</x:f>
      </x:c>
      <x:c r="I560" t="str">
        <x:f>IF(SUMIFS('İndirimler'!$D$2:$D$210,'İndirimler'!$A$2:$A$210,B560,'İndirimler'!$B$2:$B$210,C560)&gt;0,ROUND(G560*(1-SUMIFS('İndirimler'!$D$2:$D$210,'İndirimler'!$A$2:$A$210,B560,'İndirimler'!$B$2:$B$210,C560)),2),"")</x:f>
      </x:c>
      <x:c r="J560"/>
      <x:c r="K560"/>
    </x:row>
    <x:row r="561">
      <x:c r="A561"/>
      <x:c r="B561"/>
      <x:c r="C561"/>
      <x:c r="D561"/>
      <x:c r="E561"/>
      <x:c r="F561"/>
      <x:c r="G561"/>
      <x:c r="H561" t="str">
        <x:f>IF(SUMIFS('İndirimler'!$C$2:$C$210,'İndirimler'!$A$2:$A$210,B561,'İndirimler'!$B$2:$B$210,C561)&gt;0,ROUND(G561*(1-SUMIFS('İndirimler'!$C$2:$C$210,'İndirimler'!$A$2:$A$210,B561,'İndirimler'!$B$2:$B$210,C561)),2),"")</x:f>
      </x:c>
      <x:c r="I561" t="str">
        <x:f>IF(SUMIFS('İndirimler'!$D$2:$D$210,'İndirimler'!$A$2:$A$210,B561,'İndirimler'!$B$2:$B$210,C561)&gt;0,ROUND(G561*(1-SUMIFS('İndirimler'!$D$2:$D$210,'İndirimler'!$A$2:$A$210,B561,'İndirimler'!$B$2:$B$210,C561)),2),"")</x:f>
      </x:c>
      <x:c r="J561"/>
      <x:c r="K561"/>
    </x:row>
    <x:row r="562">
      <x:c r="A562"/>
      <x:c r="B562"/>
      <x:c r="C562"/>
      <x:c r="D562"/>
      <x:c r="E562"/>
      <x:c r="F562"/>
      <x:c r="G562"/>
      <x:c r="H562" t="str">
        <x:f>IF(SUMIFS('İndirimler'!$C$2:$C$210,'İndirimler'!$A$2:$A$210,B562,'İndirimler'!$B$2:$B$210,C562)&gt;0,ROUND(G562*(1-SUMIFS('İndirimler'!$C$2:$C$210,'İndirimler'!$A$2:$A$210,B562,'İndirimler'!$B$2:$B$210,C562)),2),"")</x:f>
      </x:c>
      <x:c r="I562" t="str">
        <x:f>IF(SUMIFS('İndirimler'!$D$2:$D$210,'İndirimler'!$A$2:$A$210,B562,'İndirimler'!$B$2:$B$210,C562)&gt;0,ROUND(G562*(1-SUMIFS('İndirimler'!$D$2:$D$210,'İndirimler'!$A$2:$A$210,B562,'İndirimler'!$B$2:$B$210,C562)),2),"")</x:f>
      </x:c>
      <x:c r="J562"/>
      <x:c r="K562"/>
    </x:row>
    <x:row r="563">
      <x:c r="A563"/>
      <x:c r="B563"/>
      <x:c r="C563"/>
      <x:c r="D563"/>
      <x:c r="E563"/>
      <x:c r="F563"/>
      <x:c r="G563"/>
      <x:c r="H563" t="str">
        <x:f>IF(SUMIFS('İndirimler'!$C$2:$C$210,'İndirimler'!$A$2:$A$210,B563,'İndirimler'!$B$2:$B$210,C563)&gt;0,ROUND(G563*(1-SUMIFS('İndirimler'!$C$2:$C$210,'İndirimler'!$A$2:$A$210,B563,'İndirimler'!$B$2:$B$210,C563)),2),"")</x:f>
      </x:c>
      <x:c r="I563" t="str">
        <x:f>IF(SUMIFS('İndirimler'!$D$2:$D$210,'İndirimler'!$A$2:$A$210,B563,'İndirimler'!$B$2:$B$210,C563)&gt;0,ROUND(G563*(1-SUMIFS('İndirimler'!$D$2:$D$210,'İndirimler'!$A$2:$A$210,B563,'İndirimler'!$B$2:$B$210,C563)),2),"")</x:f>
      </x:c>
      <x:c r="J563"/>
      <x:c r="K563"/>
    </x:row>
    <x:row r="564">
      <x:c r="A564"/>
      <x:c r="B564"/>
      <x:c r="C564"/>
      <x:c r="D564"/>
      <x:c r="E564"/>
      <x:c r="F564"/>
      <x:c r="G564"/>
      <x:c r="H564" t="str">
        <x:f>IF(SUMIFS('İndirimler'!$C$2:$C$210,'İndirimler'!$A$2:$A$210,B564,'İndirimler'!$B$2:$B$210,C564)&gt;0,ROUND(G564*(1-SUMIFS('İndirimler'!$C$2:$C$210,'İndirimler'!$A$2:$A$210,B564,'İndirimler'!$B$2:$B$210,C564)),2),"")</x:f>
      </x:c>
      <x:c r="I564" t="str">
        <x:f>IF(SUMIFS('İndirimler'!$D$2:$D$210,'İndirimler'!$A$2:$A$210,B564,'İndirimler'!$B$2:$B$210,C564)&gt;0,ROUND(G564*(1-SUMIFS('İndirimler'!$D$2:$D$210,'İndirimler'!$A$2:$A$210,B564,'İndirimler'!$B$2:$B$210,C564)),2),"")</x:f>
      </x:c>
      <x:c r="J564"/>
      <x:c r="K564"/>
    </x:row>
    <x:row r="565">
      <x:c r="A565"/>
      <x:c r="B565"/>
      <x:c r="C565"/>
      <x:c r="D565"/>
      <x:c r="E565"/>
      <x:c r="F565"/>
      <x:c r="G565"/>
      <x:c r="H565" t="str">
        <x:f>IF(SUMIFS('İndirimler'!$C$2:$C$210,'İndirimler'!$A$2:$A$210,B565,'İndirimler'!$B$2:$B$210,C565)&gt;0,ROUND(G565*(1-SUMIFS('İndirimler'!$C$2:$C$210,'İndirimler'!$A$2:$A$210,B565,'İndirimler'!$B$2:$B$210,C565)),2),"")</x:f>
      </x:c>
      <x:c r="I565" t="str">
        <x:f>IF(SUMIFS('İndirimler'!$D$2:$D$210,'İndirimler'!$A$2:$A$210,B565,'İndirimler'!$B$2:$B$210,C565)&gt;0,ROUND(G565*(1-SUMIFS('İndirimler'!$D$2:$D$210,'İndirimler'!$A$2:$A$210,B565,'İndirimler'!$B$2:$B$210,C565)),2),"")</x:f>
      </x:c>
      <x:c r="J565"/>
      <x:c r="K565"/>
    </x:row>
    <x:row r="566">
      <x:c r="A566"/>
      <x:c r="B566"/>
      <x:c r="C566"/>
      <x:c r="D566"/>
      <x:c r="E566"/>
      <x:c r="F566"/>
      <x:c r="G566"/>
      <x:c r="H566" t="str">
        <x:f>IF(SUMIFS('İndirimler'!$C$2:$C$210,'İndirimler'!$A$2:$A$210,B566,'İndirimler'!$B$2:$B$210,C566)&gt;0,ROUND(G566*(1-SUMIFS('İndirimler'!$C$2:$C$210,'İndirimler'!$A$2:$A$210,B566,'İndirimler'!$B$2:$B$210,C566)),2),"")</x:f>
      </x:c>
      <x:c r="I566" t="str">
        <x:f>IF(SUMIFS('İndirimler'!$D$2:$D$210,'İndirimler'!$A$2:$A$210,B566,'İndirimler'!$B$2:$B$210,C566)&gt;0,ROUND(G566*(1-SUMIFS('İndirimler'!$D$2:$D$210,'İndirimler'!$A$2:$A$210,B566,'İndirimler'!$B$2:$B$210,C566)),2),"")</x:f>
      </x:c>
      <x:c r="J566"/>
      <x:c r="K566"/>
    </x:row>
    <x:row r="567">
      <x:c r="A567"/>
      <x:c r="B567"/>
      <x:c r="C567"/>
      <x:c r="D567"/>
      <x:c r="E567"/>
      <x:c r="F567"/>
      <x:c r="G567"/>
      <x:c r="H567" t="str">
        <x:f>IF(SUMIFS('İndirimler'!$C$2:$C$210,'İndirimler'!$A$2:$A$210,B567,'İndirimler'!$B$2:$B$210,C567)&gt;0,ROUND(G567*(1-SUMIFS('İndirimler'!$C$2:$C$210,'İndirimler'!$A$2:$A$210,B567,'İndirimler'!$B$2:$B$210,C567)),2),"")</x:f>
      </x:c>
      <x:c r="I567" t="str">
        <x:f>IF(SUMIFS('İndirimler'!$D$2:$D$210,'İndirimler'!$A$2:$A$210,B567,'İndirimler'!$B$2:$B$210,C567)&gt;0,ROUND(G567*(1-SUMIFS('İndirimler'!$D$2:$D$210,'İndirimler'!$A$2:$A$210,B567,'İndirimler'!$B$2:$B$210,C567)),2),"")</x:f>
      </x:c>
      <x:c r="J567"/>
      <x:c r="K567"/>
    </x:row>
    <x:row r="568">
      <x:c r="A568"/>
      <x:c r="B568"/>
      <x:c r="C568"/>
      <x:c r="D568"/>
      <x:c r="E568"/>
      <x:c r="F568"/>
      <x:c r="G568"/>
      <x:c r="H568" t="str">
        <x:f>IF(SUMIFS('İndirimler'!$C$2:$C$210,'İndirimler'!$A$2:$A$210,B568,'İndirimler'!$B$2:$B$210,C568)&gt;0,ROUND(G568*(1-SUMIFS('İndirimler'!$C$2:$C$210,'İndirimler'!$A$2:$A$210,B568,'İndirimler'!$B$2:$B$210,C568)),2),"")</x:f>
      </x:c>
      <x:c r="I568" t="str">
        <x:f>IF(SUMIFS('İndirimler'!$D$2:$D$210,'İndirimler'!$A$2:$A$210,B568,'İndirimler'!$B$2:$B$210,C568)&gt;0,ROUND(G568*(1-SUMIFS('İndirimler'!$D$2:$D$210,'İndirimler'!$A$2:$A$210,B568,'İndirimler'!$B$2:$B$210,C568)),2),"")</x:f>
      </x:c>
      <x:c r="J568"/>
      <x:c r="K568"/>
    </x:row>
    <x:row r="569">
      <x:c r="A569"/>
      <x:c r="B569"/>
      <x:c r="C569"/>
      <x:c r="D569"/>
      <x:c r="E569"/>
      <x:c r="F569"/>
      <x:c r="G569"/>
      <x:c r="H569" t="str">
        <x:f>IF(SUMIFS('İndirimler'!$C$2:$C$210,'İndirimler'!$A$2:$A$210,B569,'İndirimler'!$B$2:$B$210,C569)&gt;0,ROUND(G569*(1-SUMIFS('İndirimler'!$C$2:$C$210,'İndirimler'!$A$2:$A$210,B569,'İndirimler'!$B$2:$B$210,C569)),2),"")</x:f>
      </x:c>
      <x:c r="I569" t="str">
        <x:f>IF(SUMIFS('İndirimler'!$D$2:$D$210,'İndirimler'!$A$2:$A$210,B569,'İndirimler'!$B$2:$B$210,C569)&gt;0,ROUND(G569*(1-SUMIFS('İndirimler'!$D$2:$D$210,'İndirimler'!$A$2:$A$210,B569,'İndirimler'!$B$2:$B$210,C569)),2),"")</x:f>
      </x:c>
      <x:c r="J569"/>
      <x:c r="K569"/>
    </x:row>
    <x:row r="570">
      <x:c r="A570"/>
      <x:c r="B570"/>
      <x:c r="C570"/>
      <x:c r="D570"/>
      <x:c r="E570"/>
      <x:c r="F570"/>
      <x:c r="G570"/>
      <x:c r="H570" t="str">
        <x:f>IF(SUMIFS('İndirimler'!$C$2:$C$210,'İndirimler'!$A$2:$A$210,B570,'İndirimler'!$B$2:$B$210,C570)&gt;0,ROUND(G570*(1-SUMIFS('İndirimler'!$C$2:$C$210,'İndirimler'!$A$2:$A$210,B570,'İndirimler'!$B$2:$B$210,C570)),2),"")</x:f>
      </x:c>
      <x:c r="I570" t="str">
        <x:f>IF(SUMIFS('İndirimler'!$D$2:$D$210,'İndirimler'!$A$2:$A$210,B570,'İndirimler'!$B$2:$B$210,C570)&gt;0,ROUND(G570*(1-SUMIFS('İndirimler'!$D$2:$D$210,'İndirimler'!$A$2:$A$210,B570,'İndirimler'!$B$2:$B$210,C570)),2),"")</x:f>
      </x:c>
      <x:c r="J570"/>
      <x:c r="K570"/>
    </x:row>
    <x:row r="571">
      <x:c r="A571"/>
      <x:c r="B571"/>
      <x:c r="C571"/>
      <x:c r="D571"/>
      <x:c r="E571"/>
      <x:c r="F571"/>
      <x:c r="G571"/>
      <x:c r="H571" t="str">
        <x:f>IF(SUMIFS('İndirimler'!$C$2:$C$210,'İndirimler'!$A$2:$A$210,B571,'İndirimler'!$B$2:$B$210,C571)&gt;0,ROUND(G571*(1-SUMIFS('İndirimler'!$C$2:$C$210,'İndirimler'!$A$2:$A$210,B571,'İndirimler'!$B$2:$B$210,C571)),2),"")</x:f>
      </x:c>
      <x:c r="I571" t="str">
        <x:f>IF(SUMIFS('İndirimler'!$D$2:$D$210,'İndirimler'!$A$2:$A$210,B571,'İndirimler'!$B$2:$B$210,C571)&gt;0,ROUND(G571*(1-SUMIFS('İndirimler'!$D$2:$D$210,'İndirimler'!$A$2:$A$210,B571,'İndirimler'!$B$2:$B$210,C571)),2),"")</x:f>
      </x:c>
      <x:c r="J571"/>
      <x:c r="K571"/>
    </x:row>
    <x:row r="572">
      <x:c r="A572"/>
      <x:c r="B572"/>
      <x:c r="C572"/>
      <x:c r="D572"/>
      <x:c r="E572"/>
      <x:c r="F572"/>
      <x:c r="G572"/>
      <x:c r="H572" t="str">
        <x:f>IF(SUMIFS('İndirimler'!$C$2:$C$210,'İndirimler'!$A$2:$A$210,B572,'İndirimler'!$B$2:$B$210,C572)&gt;0,ROUND(G572*(1-SUMIFS('İndirimler'!$C$2:$C$210,'İndirimler'!$A$2:$A$210,B572,'İndirimler'!$B$2:$B$210,C572)),2),"")</x:f>
      </x:c>
      <x:c r="I572" t="str">
        <x:f>IF(SUMIFS('İndirimler'!$D$2:$D$210,'İndirimler'!$A$2:$A$210,B572,'İndirimler'!$B$2:$B$210,C572)&gt;0,ROUND(G572*(1-SUMIFS('İndirimler'!$D$2:$D$210,'İndirimler'!$A$2:$A$210,B572,'İndirimler'!$B$2:$B$210,C572)),2),"")</x:f>
      </x:c>
      <x:c r="J572"/>
      <x:c r="K572"/>
    </x:row>
    <x:row r="573">
      <x:c r="A573"/>
      <x:c r="B573"/>
      <x:c r="C573"/>
      <x:c r="D573"/>
      <x:c r="E573"/>
      <x:c r="F573"/>
      <x:c r="G573"/>
      <x:c r="H573" t="str">
        <x:f>IF(SUMIFS('İndirimler'!$C$2:$C$210,'İndirimler'!$A$2:$A$210,B573,'İndirimler'!$B$2:$B$210,C573)&gt;0,ROUND(G573*(1-SUMIFS('İndirimler'!$C$2:$C$210,'İndirimler'!$A$2:$A$210,B573,'İndirimler'!$B$2:$B$210,C573)),2),"")</x:f>
      </x:c>
      <x:c r="I573" t="str">
        <x:f>IF(SUMIFS('İndirimler'!$D$2:$D$210,'İndirimler'!$A$2:$A$210,B573,'İndirimler'!$B$2:$B$210,C573)&gt;0,ROUND(G573*(1-SUMIFS('İndirimler'!$D$2:$D$210,'İndirimler'!$A$2:$A$210,B573,'İndirimler'!$B$2:$B$210,C573)),2),"")</x:f>
      </x:c>
      <x:c r="J573"/>
      <x:c r="K573"/>
    </x:row>
    <x:row r="574">
      <x:c r="A574"/>
      <x:c r="B574"/>
      <x:c r="C574"/>
      <x:c r="D574"/>
      <x:c r="E574"/>
      <x:c r="F574"/>
      <x:c r="G574"/>
      <x:c r="H574" t="str">
        <x:f>IF(SUMIFS('İndirimler'!$C$2:$C$210,'İndirimler'!$A$2:$A$210,B574,'İndirimler'!$B$2:$B$210,C574)&gt;0,ROUND(G574*(1-SUMIFS('İndirimler'!$C$2:$C$210,'İndirimler'!$A$2:$A$210,B574,'İndirimler'!$B$2:$B$210,C574)),2),"")</x:f>
      </x:c>
      <x:c r="I574" t="str">
        <x:f>IF(SUMIFS('İndirimler'!$D$2:$D$210,'İndirimler'!$A$2:$A$210,B574,'İndirimler'!$B$2:$B$210,C574)&gt;0,ROUND(G574*(1-SUMIFS('İndirimler'!$D$2:$D$210,'İndirimler'!$A$2:$A$210,B574,'İndirimler'!$B$2:$B$210,C574)),2),"")</x:f>
      </x:c>
      <x:c r="J574"/>
      <x:c r="K574"/>
    </x:row>
    <x:row r="575">
      <x:c r="A575"/>
      <x:c r="B575"/>
      <x:c r="C575"/>
      <x:c r="D575"/>
      <x:c r="E575"/>
      <x:c r="F575"/>
      <x:c r="G575"/>
      <x:c r="H575" t="str">
        <x:f>IF(SUMIFS('İndirimler'!$C$2:$C$210,'İndirimler'!$A$2:$A$210,B575,'İndirimler'!$B$2:$B$210,C575)&gt;0,ROUND(G575*(1-SUMIFS('İndirimler'!$C$2:$C$210,'İndirimler'!$A$2:$A$210,B575,'İndirimler'!$B$2:$B$210,C575)),2),"")</x:f>
      </x:c>
      <x:c r="I575" t="str">
        <x:f>IF(SUMIFS('İndirimler'!$D$2:$D$210,'İndirimler'!$A$2:$A$210,B575,'İndirimler'!$B$2:$B$210,C575)&gt;0,ROUND(G575*(1-SUMIFS('İndirimler'!$D$2:$D$210,'İndirimler'!$A$2:$A$210,B575,'İndirimler'!$B$2:$B$210,C575)),2),"")</x:f>
      </x:c>
      <x:c r="J575"/>
      <x:c r="K575"/>
    </x:row>
    <x:row r="576">
      <x:c r="A576"/>
      <x:c r="B576"/>
      <x:c r="C576"/>
      <x:c r="D576"/>
      <x:c r="E576"/>
      <x:c r="F576"/>
      <x:c r="G576"/>
      <x:c r="H576" t="str">
        <x:f>IF(SUMIFS('İndirimler'!$C$2:$C$210,'İndirimler'!$A$2:$A$210,B576,'İndirimler'!$B$2:$B$210,C576)&gt;0,ROUND(G576*(1-SUMIFS('İndirimler'!$C$2:$C$210,'İndirimler'!$A$2:$A$210,B576,'İndirimler'!$B$2:$B$210,C576)),2),"")</x:f>
      </x:c>
      <x:c r="I576" t="str">
        <x:f>IF(SUMIFS('İndirimler'!$D$2:$D$210,'İndirimler'!$A$2:$A$210,B576,'İndirimler'!$B$2:$B$210,C576)&gt;0,ROUND(G576*(1-SUMIFS('İndirimler'!$D$2:$D$210,'İndirimler'!$A$2:$A$210,B576,'İndirimler'!$B$2:$B$210,C576)),2),"")</x:f>
      </x:c>
      <x:c r="J576"/>
      <x:c r="K576"/>
    </x:row>
    <x:row r="577">
      <x:c r="A577"/>
      <x:c r="B577"/>
      <x:c r="C577"/>
      <x:c r="D577"/>
      <x:c r="E577"/>
      <x:c r="F577"/>
      <x:c r="G577"/>
      <x:c r="H577" t="str">
        <x:f>IF(SUMIFS('İndirimler'!$C$2:$C$210,'İndirimler'!$A$2:$A$210,B577,'İndirimler'!$B$2:$B$210,C577)&gt;0,ROUND(G577*(1-SUMIFS('İndirimler'!$C$2:$C$210,'İndirimler'!$A$2:$A$210,B577,'İndirimler'!$B$2:$B$210,C577)),2),"")</x:f>
      </x:c>
      <x:c r="I577" t="str">
        <x:f>IF(SUMIFS('İndirimler'!$D$2:$D$210,'İndirimler'!$A$2:$A$210,B577,'İndirimler'!$B$2:$B$210,C577)&gt;0,ROUND(G577*(1-SUMIFS('İndirimler'!$D$2:$D$210,'İndirimler'!$A$2:$A$210,B577,'İndirimler'!$B$2:$B$210,C577)),2),"")</x:f>
      </x:c>
      <x:c r="J577"/>
      <x:c r="K577"/>
    </x:row>
    <x:row r="578">
      <x:c r="A578"/>
      <x:c r="B578"/>
      <x:c r="C578"/>
      <x:c r="D578"/>
      <x:c r="E578"/>
      <x:c r="F578"/>
      <x:c r="G578"/>
      <x:c r="H578" t="str">
        <x:f>IF(SUMIFS('İndirimler'!$C$2:$C$210,'İndirimler'!$A$2:$A$210,B578,'İndirimler'!$B$2:$B$210,C578)&gt;0,ROUND(G578*(1-SUMIFS('İndirimler'!$C$2:$C$210,'İndirimler'!$A$2:$A$210,B578,'İndirimler'!$B$2:$B$210,C578)),2),"")</x:f>
      </x:c>
      <x:c r="I578" t="str">
        <x:f>IF(SUMIFS('İndirimler'!$D$2:$D$210,'İndirimler'!$A$2:$A$210,B578,'İndirimler'!$B$2:$B$210,C578)&gt;0,ROUND(G578*(1-SUMIFS('İndirimler'!$D$2:$D$210,'İndirimler'!$A$2:$A$210,B578,'İndirimler'!$B$2:$B$210,C578)),2),"")</x:f>
      </x:c>
      <x:c r="J578"/>
      <x:c r="K578"/>
    </x:row>
    <x:row r="579">
      <x:c r="A579"/>
      <x:c r="B579"/>
      <x:c r="C579"/>
      <x:c r="D579"/>
      <x:c r="E579"/>
      <x:c r="F579"/>
      <x:c r="G579"/>
      <x:c r="H579" t="str">
        <x:f>IF(SUMIFS('İndirimler'!$C$2:$C$210,'İndirimler'!$A$2:$A$210,B579,'İndirimler'!$B$2:$B$210,C579)&gt;0,ROUND(G579*(1-SUMIFS('İndirimler'!$C$2:$C$210,'İndirimler'!$A$2:$A$210,B579,'İndirimler'!$B$2:$B$210,C579)),2),"")</x:f>
      </x:c>
      <x:c r="I579" t="str">
        <x:f>IF(SUMIFS('İndirimler'!$D$2:$D$210,'İndirimler'!$A$2:$A$210,B579,'İndirimler'!$B$2:$B$210,C579)&gt;0,ROUND(G579*(1-SUMIFS('İndirimler'!$D$2:$D$210,'İndirimler'!$A$2:$A$210,B579,'İndirimler'!$B$2:$B$210,C579)),2),"")</x:f>
      </x:c>
      <x:c r="J579"/>
      <x:c r="K579"/>
    </x:row>
    <x:row r="580">
      <x:c r="A580"/>
      <x:c r="B580"/>
      <x:c r="C580"/>
      <x:c r="D580"/>
      <x:c r="E580"/>
      <x:c r="F580"/>
      <x:c r="G580"/>
      <x:c r="H580" t="str">
        <x:f>IF(SUMIFS('İndirimler'!$C$2:$C$210,'İndirimler'!$A$2:$A$210,B580,'İndirimler'!$B$2:$B$210,C580)&gt;0,ROUND(G580*(1-SUMIFS('İndirimler'!$C$2:$C$210,'İndirimler'!$A$2:$A$210,B580,'İndirimler'!$B$2:$B$210,C580)),2),"")</x:f>
      </x:c>
      <x:c r="I580" t="str">
        <x:f>IF(SUMIFS('İndirimler'!$D$2:$D$210,'İndirimler'!$A$2:$A$210,B580,'İndirimler'!$B$2:$B$210,C580)&gt;0,ROUND(G580*(1-SUMIFS('İndirimler'!$D$2:$D$210,'İndirimler'!$A$2:$A$210,B580,'İndirimler'!$B$2:$B$210,C580)),2),"")</x:f>
      </x:c>
      <x:c r="J580"/>
      <x:c r="K580"/>
    </x:row>
    <x:row r="581">
      <x:c r="A581"/>
      <x:c r="B581"/>
      <x:c r="C581"/>
      <x:c r="D581"/>
      <x:c r="E581"/>
      <x:c r="F581"/>
      <x:c r="G581"/>
      <x:c r="H581" t="str">
        <x:f>IF(SUMIFS('İndirimler'!$C$2:$C$210,'İndirimler'!$A$2:$A$210,B581,'İndirimler'!$B$2:$B$210,C581)&gt;0,ROUND(G581*(1-SUMIFS('İndirimler'!$C$2:$C$210,'İndirimler'!$A$2:$A$210,B581,'İndirimler'!$B$2:$B$210,C581)),2),"")</x:f>
      </x:c>
      <x:c r="I581" t="str">
        <x:f>IF(SUMIFS('İndirimler'!$D$2:$D$210,'İndirimler'!$A$2:$A$210,B581,'İndirimler'!$B$2:$B$210,C581)&gt;0,ROUND(G581*(1-SUMIFS('İndirimler'!$D$2:$D$210,'İndirimler'!$A$2:$A$210,B581,'İndirimler'!$B$2:$B$210,C581)),2),"")</x:f>
      </x:c>
      <x:c r="J581"/>
      <x:c r="K581"/>
    </x:row>
    <x:row r="582">
      <x:c r="A582"/>
      <x:c r="B582"/>
      <x:c r="C582"/>
      <x:c r="D582"/>
      <x:c r="E582"/>
      <x:c r="F582"/>
      <x:c r="G582"/>
      <x:c r="H582" t="str">
        <x:f>IF(SUMIFS('İndirimler'!$C$2:$C$210,'İndirimler'!$A$2:$A$210,B582,'İndirimler'!$B$2:$B$210,C582)&gt;0,ROUND(G582*(1-SUMIFS('İndirimler'!$C$2:$C$210,'İndirimler'!$A$2:$A$210,B582,'İndirimler'!$B$2:$B$210,C582)),2),"")</x:f>
      </x:c>
      <x:c r="I582" t="str">
        <x:f>IF(SUMIFS('İndirimler'!$D$2:$D$210,'İndirimler'!$A$2:$A$210,B582,'İndirimler'!$B$2:$B$210,C582)&gt;0,ROUND(G582*(1-SUMIFS('İndirimler'!$D$2:$D$210,'İndirimler'!$A$2:$A$210,B582,'İndirimler'!$B$2:$B$210,C582)),2),"")</x:f>
      </x:c>
      <x:c r="J582"/>
      <x:c r="K582"/>
    </x:row>
    <x:row r="583">
      <x:c r="A583"/>
      <x:c r="B583"/>
      <x:c r="C583"/>
      <x:c r="D583"/>
      <x:c r="E583"/>
      <x:c r="F583"/>
      <x:c r="G583"/>
      <x:c r="H583" t="str">
        <x:f>IF(SUMIFS('İndirimler'!$C$2:$C$210,'İndirimler'!$A$2:$A$210,B583,'İndirimler'!$B$2:$B$210,C583)&gt;0,ROUND(G583*(1-SUMIFS('İndirimler'!$C$2:$C$210,'İndirimler'!$A$2:$A$210,B583,'İndirimler'!$B$2:$B$210,C583)),2),"")</x:f>
      </x:c>
      <x:c r="I583" t="str">
        <x:f>IF(SUMIFS('İndirimler'!$D$2:$D$210,'İndirimler'!$A$2:$A$210,B583,'İndirimler'!$B$2:$B$210,C583)&gt;0,ROUND(G583*(1-SUMIFS('İndirimler'!$D$2:$D$210,'İndirimler'!$A$2:$A$210,B583,'İndirimler'!$B$2:$B$210,C583)),2),"")</x:f>
      </x:c>
      <x:c r="J583"/>
      <x:c r="K583"/>
    </x:row>
    <x:row r="584">
      <x:c r="A584"/>
      <x:c r="B584"/>
      <x:c r="C584"/>
      <x:c r="D584"/>
      <x:c r="E584"/>
      <x:c r="F584"/>
      <x:c r="G584"/>
      <x:c r="H584" t="str">
        <x:f>IF(SUMIFS('İndirimler'!$C$2:$C$210,'İndirimler'!$A$2:$A$210,B584,'İndirimler'!$B$2:$B$210,C584)&gt;0,ROUND(G584*(1-SUMIFS('İndirimler'!$C$2:$C$210,'İndirimler'!$A$2:$A$210,B584,'İndirimler'!$B$2:$B$210,C584)),2),"")</x:f>
      </x:c>
      <x:c r="I584" t="str">
        <x:f>IF(SUMIFS('İndirimler'!$D$2:$D$210,'İndirimler'!$A$2:$A$210,B584,'İndirimler'!$B$2:$B$210,C584)&gt;0,ROUND(G584*(1-SUMIFS('İndirimler'!$D$2:$D$210,'İndirimler'!$A$2:$A$210,B584,'İndirimler'!$B$2:$B$210,C584)),2),"")</x:f>
      </x:c>
      <x:c r="J584"/>
      <x:c r="K584"/>
    </x:row>
    <x:row r="585">
      <x:c r="A585"/>
      <x:c r="B585"/>
      <x:c r="C585"/>
      <x:c r="D585"/>
      <x:c r="E585"/>
      <x:c r="F585"/>
      <x:c r="G585"/>
      <x:c r="H585" t="str">
        <x:f>IF(SUMIFS('İndirimler'!$C$2:$C$210,'İndirimler'!$A$2:$A$210,B585,'İndirimler'!$B$2:$B$210,C585)&gt;0,ROUND(G585*(1-SUMIFS('İndirimler'!$C$2:$C$210,'İndirimler'!$A$2:$A$210,B585,'İndirimler'!$B$2:$B$210,C585)),2),"")</x:f>
      </x:c>
      <x:c r="I585" t="str">
        <x:f>IF(SUMIFS('İndirimler'!$D$2:$D$210,'İndirimler'!$A$2:$A$210,B585,'İndirimler'!$B$2:$B$210,C585)&gt;0,ROUND(G585*(1-SUMIFS('İndirimler'!$D$2:$D$210,'İndirimler'!$A$2:$A$210,B585,'İndirimler'!$B$2:$B$210,C585)),2),"")</x:f>
      </x:c>
      <x:c r="J585"/>
      <x:c r="K585"/>
    </x:row>
    <x:row r="586">
      <x:c r="A586"/>
      <x:c r="B586"/>
      <x:c r="C586"/>
      <x:c r="D586"/>
      <x:c r="E586"/>
      <x:c r="F586"/>
      <x:c r="G586"/>
      <x:c r="H586" t="str">
        <x:f>IF(SUMIFS('İndirimler'!$C$2:$C$210,'İndirimler'!$A$2:$A$210,B586,'İndirimler'!$B$2:$B$210,C586)&gt;0,ROUND(G586*(1-SUMIFS('İndirimler'!$C$2:$C$210,'İndirimler'!$A$2:$A$210,B586,'İndirimler'!$B$2:$B$210,C586)),2),"")</x:f>
      </x:c>
      <x:c r="I586" t="str">
        <x:f>IF(SUMIFS('İndirimler'!$D$2:$D$210,'İndirimler'!$A$2:$A$210,B586,'İndirimler'!$B$2:$B$210,C586)&gt;0,ROUND(G586*(1-SUMIFS('İndirimler'!$D$2:$D$210,'İndirimler'!$A$2:$A$210,B586,'İndirimler'!$B$2:$B$210,C586)),2),"")</x:f>
      </x:c>
      <x:c r="J586"/>
      <x:c r="K586"/>
    </x:row>
    <x:row r="587">
      <x:c r="A587"/>
      <x:c r="B587"/>
      <x:c r="C587"/>
      <x:c r="D587"/>
      <x:c r="E587"/>
      <x:c r="F587"/>
      <x:c r="G587"/>
      <x:c r="H587" t="str">
        <x:f>IF(SUMIFS('İndirimler'!$C$2:$C$210,'İndirimler'!$A$2:$A$210,B587,'İndirimler'!$B$2:$B$210,C587)&gt;0,ROUND(G587*(1-SUMIFS('İndirimler'!$C$2:$C$210,'İndirimler'!$A$2:$A$210,B587,'İndirimler'!$B$2:$B$210,C587)),2),"")</x:f>
      </x:c>
      <x:c r="I587" t="str">
        <x:f>IF(SUMIFS('İndirimler'!$D$2:$D$210,'İndirimler'!$A$2:$A$210,B587,'İndirimler'!$B$2:$B$210,C587)&gt;0,ROUND(G587*(1-SUMIFS('İndirimler'!$D$2:$D$210,'İndirimler'!$A$2:$A$210,B587,'İndirimler'!$B$2:$B$210,C587)),2),"")</x:f>
      </x:c>
      <x:c r="J587"/>
      <x:c r="K587"/>
    </x:row>
    <x:row r="588">
      <x:c r="A588"/>
      <x:c r="B588"/>
      <x:c r="C588"/>
      <x:c r="D588"/>
      <x:c r="E588"/>
      <x:c r="F588"/>
      <x:c r="G588"/>
      <x:c r="H588" t="str">
        <x:f>IF(SUMIFS('İndirimler'!$C$2:$C$210,'İndirimler'!$A$2:$A$210,B588,'İndirimler'!$B$2:$B$210,C588)&gt;0,ROUND(G588*(1-SUMIFS('İndirimler'!$C$2:$C$210,'İndirimler'!$A$2:$A$210,B588,'İndirimler'!$B$2:$B$210,C588)),2),"")</x:f>
      </x:c>
      <x:c r="I588" t="str">
        <x:f>IF(SUMIFS('İndirimler'!$D$2:$D$210,'İndirimler'!$A$2:$A$210,B588,'İndirimler'!$B$2:$B$210,C588)&gt;0,ROUND(G588*(1-SUMIFS('İndirimler'!$D$2:$D$210,'İndirimler'!$A$2:$A$210,B588,'İndirimler'!$B$2:$B$210,C588)),2),"")</x:f>
      </x:c>
      <x:c r="J588"/>
      <x:c r="K588"/>
    </x:row>
    <x:row r="589">
      <x:c r="A589"/>
      <x:c r="B589"/>
      <x:c r="C589"/>
      <x:c r="D589"/>
      <x:c r="E589"/>
      <x:c r="F589"/>
      <x:c r="G589"/>
      <x:c r="H589" t="str">
        <x:f>IF(SUMIFS('İndirimler'!$C$2:$C$210,'İndirimler'!$A$2:$A$210,B589,'İndirimler'!$B$2:$B$210,C589)&gt;0,ROUND(G589*(1-SUMIFS('İndirimler'!$C$2:$C$210,'İndirimler'!$A$2:$A$210,B589,'İndirimler'!$B$2:$B$210,C589)),2),"")</x:f>
      </x:c>
      <x:c r="I589" t="str">
        <x:f>IF(SUMIFS('İndirimler'!$D$2:$D$210,'İndirimler'!$A$2:$A$210,B589,'İndirimler'!$B$2:$B$210,C589)&gt;0,ROUND(G589*(1-SUMIFS('İndirimler'!$D$2:$D$210,'İndirimler'!$A$2:$A$210,B589,'İndirimler'!$B$2:$B$210,C589)),2),"")</x:f>
      </x:c>
      <x:c r="J589"/>
      <x:c r="K589"/>
    </x:row>
    <x:row r="590">
      <x:c r="A590"/>
      <x:c r="B590"/>
      <x:c r="C590"/>
      <x:c r="D590"/>
      <x:c r="E590"/>
      <x:c r="F590"/>
      <x:c r="G590"/>
      <x:c r="H590" t="str">
        <x:f>IF(SUMIFS('İndirimler'!$C$2:$C$210,'İndirimler'!$A$2:$A$210,B590,'İndirimler'!$B$2:$B$210,C590)&gt;0,ROUND(G590*(1-SUMIFS('İndirimler'!$C$2:$C$210,'İndirimler'!$A$2:$A$210,B590,'İndirimler'!$B$2:$B$210,C590)),2),"")</x:f>
      </x:c>
      <x:c r="I590" t="str">
        <x:f>IF(SUMIFS('İndirimler'!$D$2:$D$210,'İndirimler'!$A$2:$A$210,B590,'İndirimler'!$B$2:$B$210,C590)&gt;0,ROUND(G590*(1-SUMIFS('İndirimler'!$D$2:$D$210,'İndirimler'!$A$2:$A$210,B590,'İndirimler'!$B$2:$B$210,C590)),2),"")</x:f>
      </x:c>
      <x:c r="J590"/>
      <x:c r="K590"/>
    </x:row>
    <x:row r="591">
      <x:c r="A591"/>
      <x:c r="B591"/>
      <x:c r="C591"/>
      <x:c r="D591"/>
      <x:c r="E591"/>
      <x:c r="F591"/>
      <x:c r="G591"/>
      <x:c r="H591" t="str">
        <x:f>IF(SUMIFS('İndirimler'!$C$2:$C$210,'İndirimler'!$A$2:$A$210,B591,'İndirimler'!$B$2:$B$210,C591)&gt;0,ROUND(G591*(1-SUMIFS('İndirimler'!$C$2:$C$210,'İndirimler'!$A$2:$A$210,B591,'İndirimler'!$B$2:$B$210,C591)),2),"")</x:f>
      </x:c>
      <x:c r="I591" t="str">
        <x:f>IF(SUMIFS('İndirimler'!$D$2:$D$210,'İndirimler'!$A$2:$A$210,B591,'İndirimler'!$B$2:$B$210,C591)&gt;0,ROUND(G591*(1-SUMIFS('İndirimler'!$D$2:$D$210,'İndirimler'!$A$2:$A$210,B591,'İndirimler'!$B$2:$B$210,C591)),2),"")</x:f>
      </x:c>
      <x:c r="J591"/>
      <x:c r="K591"/>
    </x:row>
    <x:row r="592">
      <x:c r="A592"/>
      <x:c r="B592"/>
      <x:c r="C592"/>
      <x:c r="D592"/>
      <x:c r="E592"/>
      <x:c r="F592"/>
      <x:c r="G592"/>
      <x:c r="H592" t="str">
        <x:f>IF(SUMIFS('İndirimler'!$C$2:$C$210,'İndirimler'!$A$2:$A$210,B592,'İndirimler'!$B$2:$B$210,C592)&gt;0,ROUND(G592*(1-SUMIFS('İndirimler'!$C$2:$C$210,'İndirimler'!$A$2:$A$210,B592,'İndirimler'!$B$2:$B$210,C592)),2),"")</x:f>
      </x:c>
      <x:c r="I592" t="str">
        <x:f>IF(SUMIFS('İndirimler'!$D$2:$D$210,'İndirimler'!$A$2:$A$210,B592,'İndirimler'!$B$2:$B$210,C592)&gt;0,ROUND(G592*(1-SUMIFS('İndirimler'!$D$2:$D$210,'İndirimler'!$A$2:$A$210,B592,'İndirimler'!$B$2:$B$210,C592)),2),"")</x:f>
      </x:c>
      <x:c r="J592"/>
      <x:c r="K592"/>
    </x:row>
    <x:row r="593">
      <x:c r="A593"/>
      <x:c r="B593"/>
      <x:c r="C593"/>
      <x:c r="D593"/>
      <x:c r="E593"/>
      <x:c r="F593"/>
      <x:c r="G593"/>
      <x:c r="H593" t="str">
        <x:f>IF(SUMIFS('İndirimler'!$C$2:$C$210,'İndirimler'!$A$2:$A$210,B593,'İndirimler'!$B$2:$B$210,C593)&gt;0,ROUND(G593*(1-SUMIFS('İndirimler'!$C$2:$C$210,'İndirimler'!$A$2:$A$210,B593,'İndirimler'!$B$2:$B$210,C593)),2),"")</x:f>
      </x:c>
      <x:c r="I593" t="str">
        <x:f>IF(SUMIFS('İndirimler'!$D$2:$D$210,'İndirimler'!$A$2:$A$210,B593,'İndirimler'!$B$2:$B$210,C593)&gt;0,ROUND(G593*(1-SUMIFS('İndirimler'!$D$2:$D$210,'İndirimler'!$A$2:$A$210,B593,'İndirimler'!$B$2:$B$210,C593)),2),"")</x:f>
      </x:c>
      <x:c r="J593"/>
      <x:c r="K593"/>
    </x:row>
    <x:row r="594">
      <x:c r="A594"/>
      <x:c r="B594"/>
      <x:c r="C594"/>
      <x:c r="D594"/>
      <x:c r="E594"/>
      <x:c r="F594"/>
      <x:c r="G594"/>
      <x:c r="H594" t="str">
        <x:f>IF(SUMIFS('İndirimler'!$C$2:$C$210,'İndirimler'!$A$2:$A$210,B594,'İndirimler'!$B$2:$B$210,C594)&gt;0,ROUND(G594*(1-SUMIFS('İndirimler'!$C$2:$C$210,'İndirimler'!$A$2:$A$210,B594,'İndirimler'!$B$2:$B$210,C594)),2),"")</x:f>
      </x:c>
      <x:c r="I594" t="str">
        <x:f>IF(SUMIFS('İndirimler'!$D$2:$D$210,'İndirimler'!$A$2:$A$210,B594,'İndirimler'!$B$2:$B$210,C594)&gt;0,ROUND(G594*(1-SUMIFS('İndirimler'!$D$2:$D$210,'İndirimler'!$A$2:$A$210,B594,'İndirimler'!$B$2:$B$210,C594)),2),"")</x:f>
      </x:c>
      <x:c r="J594"/>
      <x:c r="K594"/>
    </x:row>
    <x:row r="595">
      <x:c r="A595"/>
      <x:c r="B595"/>
      <x:c r="C595"/>
      <x:c r="D595"/>
      <x:c r="E595"/>
      <x:c r="F595"/>
      <x:c r="G595"/>
      <x:c r="H595" t="str">
        <x:f>IF(SUMIFS('İndirimler'!$C$2:$C$210,'İndirimler'!$A$2:$A$210,B595,'İndirimler'!$B$2:$B$210,C595)&gt;0,ROUND(G595*(1-SUMIFS('İndirimler'!$C$2:$C$210,'İndirimler'!$A$2:$A$210,B595,'İndirimler'!$B$2:$B$210,C595)),2),"")</x:f>
      </x:c>
      <x:c r="I595" t="str">
        <x:f>IF(SUMIFS('İndirimler'!$D$2:$D$210,'İndirimler'!$A$2:$A$210,B595,'İndirimler'!$B$2:$B$210,C595)&gt;0,ROUND(G595*(1-SUMIFS('İndirimler'!$D$2:$D$210,'İndirimler'!$A$2:$A$210,B595,'İndirimler'!$B$2:$B$210,C595)),2),"")</x:f>
      </x:c>
      <x:c r="J595"/>
      <x:c r="K595"/>
    </x:row>
    <x:row r="596">
      <x:c r="A596"/>
      <x:c r="B596"/>
      <x:c r="C596"/>
      <x:c r="D596"/>
      <x:c r="E596"/>
      <x:c r="F596"/>
      <x:c r="G596"/>
      <x:c r="H596" t="str">
        <x:f>IF(SUMIFS('İndirimler'!$C$2:$C$210,'İndirimler'!$A$2:$A$210,B596,'İndirimler'!$B$2:$B$210,C596)&gt;0,ROUND(G596*(1-SUMIFS('İndirimler'!$C$2:$C$210,'İndirimler'!$A$2:$A$210,B596,'İndirimler'!$B$2:$B$210,C596)),2),"")</x:f>
      </x:c>
      <x:c r="I596" t="str">
        <x:f>IF(SUMIFS('İndirimler'!$D$2:$D$210,'İndirimler'!$A$2:$A$210,B596,'İndirimler'!$B$2:$B$210,C596)&gt;0,ROUND(G596*(1-SUMIFS('İndirimler'!$D$2:$D$210,'İndirimler'!$A$2:$A$210,B596,'İndirimler'!$B$2:$B$210,C596)),2),"")</x:f>
      </x:c>
      <x:c r="J596"/>
      <x:c r="K596"/>
    </x:row>
    <x:row r="597">
      <x:c r="A597"/>
      <x:c r="B597"/>
      <x:c r="C597"/>
      <x:c r="D597"/>
      <x:c r="E597"/>
      <x:c r="F597"/>
      <x:c r="G597"/>
      <x:c r="H597" t="str">
        <x:f>IF(SUMIFS('İndirimler'!$C$2:$C$210,'İndirimler'!$A$2:$A$210,B597,'İndirimler'!$B$2:$B$210,C597)&gt;0,ROUND(G597*(1-SUMIFS('İndirimler'!$C$2:$C$210,'İndirimler'!$A$2:$A$210,B597,'İndirimler'!$B$2:$B$210,C597)),2),"")</x:f>
      </x:c>
      <x:c r="I597" t="str">
        <x:f>IF(SUMIFS('İndirimler'!$D$2:$D$210,'İndirimler'!$A$2:$A$210,B597,'İndirimler'!$B$2:$B$210,C597)&gt;0,ROUND(G597*(1-SUMIFS('İndirimler'!$D$2:$D$210,'İndirimler'!$A$2:$A$210,B597,'İndirimler'!$B$2:$B$210,C597)),2),"")</x:f>
      </x:c>
      <x:c r="J597"/>
      <x:c r="K597"/>
    </x:row>
    <x:row r="598">
      <x:c r="A598"/>
      <x:c r="B598"/>
      <x:c r="C598"/>
      <x:c r="D598"/>
      <x:c r="E598"/>
      <x:c r="F598"/>
      <x:c r="G598"/>
      <x:c r="H598" t="str">
        <x:f>IF(SUMIFS('İndirimler'!$C$2:$C$210,'İndirimler'!$A$2:$A$210,B598,'İndirimler'!$B$2:$B$210,C598)&gt;0,ROUND(G598*(1-SUMIFS('İndirimler'!$C$2:$C$210,'İndirimler'!$A$2:$A$210,B598,'İndirimler'!$B$2:$B$210,C598)),2),"")</x:f>
      </x:c>
      <x:c r="I598" t="str">
        <x:f>IF(SUMIFS('İndirimler'!$D$2:$D$210,'İndirimler'!$A$2:$A$210,B598,'İndirimler'!$B$2:$B$210,C598)&gt;0,ROUND(G598*(1-SUMIFS('İndirimler'!$D$2:$D$210,'İndirimler'!$A$2:$A$210,B598,'İndirimler'!$B$2:$B$210,C598)),2),"")</x:f>
      </x:c>
      <x:c r="J598"/>
      <x:c r="K598"/>
    </x:row>
    <x:row r="599">
      <x:c r="A599"/>
      <x:c r="B599"/>
      <x:c r="C599"/>
      <x:c r="D599"/>
      <x:c r="E599"/>
      <x:c r="F599"/>
      <x:c r="G599"/>
      <x:c r="H599" t="str">
        <x:f>IF(SUMIFS('İndirimler'!$C$2:$C$210,'İndirimler'!$A$2:$A$210,B599,'İndirimler'!$B$2:$B$210,C599)&gt;0,ROUND(G599*(1-SUMIFS('İndirimler'!$C$2:$C$210,'İndirimler'!$A$2:$A$210,B599,'İndirimler'!$B$2:$B$210,C599)),2),"")</x:f>
      </x:c>
      <x:c r="I599" t="str">
        <x:f>IF(SUMIFS('İndirimler'!$D$2:$D$210,'İndirimler'!$A$2:$A$210,B599,'İndirimler'!$B$2:$B$210,C599)&gt;0,ROUND(G599*(1-SUMIFS('İndirimler'!$D$2:$D$210,'İndirimler'!$A$2:$A$210,B599,'İndirimler'!$B$2:$B$210,C599)),2),"")</x:f>
      </x:c>
      <x:c r="J599"/>
      <x:c r="K599"/>
    </x:row>
    <x:row r="600">
      <x:c r="A600"/>
      <x:c r="B600"/>
      <x:c r="C600"/>
      <x:c r="D600"/>
      <x:c r="E600"/>
      <x:c r="F600"/>
      <x:c r="G600"/>
      <x:c r="H600" t="str">
        <x:f>IF(SUMIFS('İndirimler'!$C$2:$C$210,'İndirimler'!$A$2:$A$210,B600,'İndirimler'!$B$2:$B$210,C600)&gt;0,ROUND(G600*(1-SUMIFS('İndirimler'!$C$2:$C$210,'İndirimler'!$A$2:$A$210,B600,'İndirimler'!$B$2:$B$210,C600)),2),"")</x:f>
      </x:c>
      <x:c r="I600" t="str">
        <x:f>IF(SUMIFS('İndirimler'!$D$2:$D$210,'İndirimler'!$A$2:$A$210,B600,'İndirimler'!$B$2:$B$210,C600)&gt;0,ROUND(G600*(1-SUMIFS('İndirimler'!$D$2:$D$210,'İndirimler'!$A$2:$A$210,B600,'İndirimler'!$B$2:$B$210,C600)),2),"")</x:f>
      </x:c>
      <x:c r="J600"/>
      <x:c r="K600"/>
    </x:row>
    <x:row r="601">
      <x:c r="A601"/>
      <x:c r="B601"/>
      <x:c r="C601"/>
      <x:c r="D601"/>
      <x:c r="E601"/>
      <x:c r="F601"/>
      <x:c r="G601"/>
      <x:c r="H601" t="str">
        <x:f>IF(SUMIFS('İndirimler'!$C$2:$C$210,'İndirimler'!$A$2:$A$210,B601,'İndirimler'!$B$2:$B$210,C601)&gt;0,ROUND(G601*(1-SUMIFS('İndirimler'!$C$2:$C$210,'İndirimler'!$A$2:$A$210,B601,'İndirimler'!$B$2:$B$210,C601)),2),"")</x:f>
      </x:c>
      <x:c r="I601" t="str">
        <x:f>IF(SUMIFS('İndirimler'!$D$2:$D$210,'İndirimler'!$A$2:$A$210,B601,'İndirimler'!$B$2:$B$210,C601)&gt;0,ROUND(G601*(1-SUMIFS('İndirimler'!$D$2:$D$210,'İndirimler'!$A$2:$A$210,B601,'İndirimler'!$B$2:$B$210,C601)),2),"")</x:f>
      </x:c>
      <x:c r="J601"/>
      <x:c r="K601"/>
    </x:row>
    <x:row r="602">
      <x:c r="A602"/>
      <x:c r="B602"/>
      <x:c r="C602"/>
      <x:c r="D602"/>
      <x:c r="E602"/>
      <x:c r="F602"/>
      <x:c r="G602"/>
      <x:c r="H602" t="str">
        <x:f>IF(SUMIFS('İndirimler'!$C$2:$C$210,'İndirimler'!$A$2:$A$210,B602,'İndirimler'!$B$2:$B$210,C602)&gt;0,ROUND(G602*(1-SUMIFS('İndirimler'!$C$2:$C$210,'İndirimler'!$A$2:$A$210,B602,'İndirimler'!$B$2:$B$210,C602)),2),"")</x:f>
      </x:c>
      <x:c r="I602" t="str">
        <x:f>IF(SUMIFS('İndirimler'!$D$2:$D$210,'İndirimler'!$A$2:$A$210,B602,'İndirimler'!$B$2:$B$210,C602)&gt;0,ROUND(G602*(1-SUMIFS('İndirimler'!$D$2:$D$210,'İndirimler'!$A$2:$A$210,B602,'İndirimler'!$B$2:$B$210,C602)),2),"")</x:f>
      </x:c>
      <x:c r="J602"/>
      <x:c r="K602"/>
    </x:row>
    <x:row r="603">
      <x:c r="A603"/>
      <x:c r="B603"/>
      <x:c r="C603"/>
      <x:c r="D603"/>
      <x:c r="E603"/>
      <x:c r="F603"/>
      <x:c r="G603"/>
      <x:c r="H603" t="str">
        <x:f>IF(SUMIFS('İndirimler'!$C$2:$C$210,'İndirimler'!$A$2:$A$210,B603,'İndirimler'!$B$2:$B$210,C603)&gt;0,ROUND(G603*(1-SUMIFS('İndirimler'!$C$2:$C$210,'İndirimler'!$A$2:$A$210,B603,'İndirimler'!$B$2:$B$210,C603)),2),"")</x:f>
      </x:c>
      <x:c r="I603" t="str">
        <x:f>IF(SUMIFS('İndirimler'!$D$2:$D$210,'İndirimler'!$A$2:$A$210,B603,'İndirimler'!$B$2:$B$210,C603)&gt;0,ROUND(G603*(1-SUMIFS('İndirimler'!$D$2:$D$210,'İndirimler'!$A$2:$A$210,B603,'İndirimler'!$B$2:$B$210,C603)),2),"")</x:f>
      </x:c>
      <x:c r="J603"/>
      <x:c r="K603"/>
    </x:row>
    <x:row r="604">
      <x:c r="A604"/>
      <x:c r="B604"/>
      <x:c r="C604"/>
      <x:c r="D604"/>
      <x:c r="E604"/>
      <x:c r="F604"/>
      <x:c r="G604"/>
      <x:c r="H604" t="str">
        <x:f>IF(SUMIFS('İndirimler'!$C$2:$C$210,'İndirimler'!$A$2:$A$210,B604,'İndirimler'!$B$2:$B$210,C604)&gt;0,ROUND(G604*(1-SUMIFS('İndirimler'!$C$2:$C$210,'İndirimler'!$A$2:$A$210,B604,'İndirimler'!$B$2:$B$210,C604)),2),"")</x:f>
      </x:c>
      <x:c r="I604" t="str">
        <x:f>IF(SUMIFS('İndirimler'!$D$2:$D$210,'İndirimler'!$A$2:$A$210,B604,'İndirimler'!$B$2:$B$210,C604)&gt;0,ROUND(G604*(1-SUMIFS('İndirimler'!$D$2:$D$210,'İndirimler'!$A$2:$A$210,B604,'İndirimler'!$B$2:$B$210,C604)),2),"")</x:f>
      </x:c>
      <x:c r="J604"/>
      <x:c r="K604"/>
    </x:row>
    <x:row r="605">
      <x:c r="A605"/>
      <x:c r="B605"/>
      <x:c r="C605"/>
      <x:c r="D605"/>
      <x:c r="E605"/>
      <x:c r="F605"/>
      <x:c r="G605"/>
      <x:c r="H605" t="str">
        <x:f>IF(SUMIFS('İndirimler'!$C$2:$C$210,'İndirimler'!$A$2:$A$210,B605,'İndirimler'!$B$2:$B$210,C605)&gt;0,ROUND(G605*(1-SUMIFS('İndirimler'!$C$2:$C$210,'İndirimler'!$A$2:$A$210,B605,'İndirimler'!$B$2:$B$210,C605)),2),"")</x:f>
      </x:c>
      <x:c r="I605" t="str">
        <x:f>IF(SUMIFS('İndirimler'!$D$2:$D$210,'İndirimler'!$A$2:$A$210,B605,'İndirimler'!$B$2:$B$210,C605)&gt;0,ROUND(G605*(1-SUMIFS('İndirimler'!$D$2:$D$210,'İndirimler'!$A$2:$A$210,B605,'İndirimler'!$B$2:$B$210,C605)),2),"")</x:f>
      </x:c>
      <x:c r="J605"/>
      <x:c r="K605"/>
    </x:row>
    <x:row r="606">
      <x:c r="A606"/>
      <x:c r="B606"/>
      <x:c r="C606"/>
      <x:c r="D606"/>
      <x:c r="E606"/>
      <x:c r="F606"/>
      <x:c r="G606"/>
      <x:c r="H606" t="str">
        <x:f>IF(SUMIFS('İndirimler'!$C$2:$C$210,'İndirimler'!$A$2:$A$210,B606,'İndirimler'!$B$2:$B$210,C606)&gt;0,ROUND(G606*(1-SUMIFS('İndirimler'!$C$2:$C$210,'İndirimler'!$A$2:$A$210,B606,'İndirimler'!$B$2:$B$210,C606)),2),"")</x:f>
      </x:c>
      <x:c r="I606" t="str">
        <x:f>IF(SUMIFS('İndirimler'!$D$2:$D$210,'İndirimler'!$A$2:$A$210,B606,'İndirimler'!$B$2:$B$210,C606)&gt;0,ROUND(G606*(1-SUMIFS('İndirimler'!$D$2:$D$210,'İndirimler'!$A$2:$A$210,B606,'İndirimler'!$B$2:$B$210,C606)),2),"")</x:f>
      </x:c>
      <x:c r="J606"/>
      <x:c r="K606"/>
    </x:row>
    <x:row r="607">
      <x:c r="A607"/>
      <x:c r="B607"/>
      <x:c r="C607"/>
      <x:c r="D607"/>
      <x:c r="E607"/>
      <x:c r="F607"/>
      <x:c r="G607"/>
      <x:c r="H607" t="str">
        <x:f>IF(SUMIFS('İndirimler'!$C$2:$C$210,'İndirimler'!$A$2:$A$210,B607,'İndirimler'!$B$2:$B$210,C607)&gt;0,ROUND(G607*(1-SUMIFS('İndirimler'!$C$2:$C$210,'İndirimler'!$A$2:$A$210,B607,'İndirimler'!$B$2:$B$210,C607)),2),"")</x:f>
      </x:c>
      <x:c r="I607" t="str">
        <x:f>IF(SUMIFS('İndirimler'!$D$2:$D$210,'İndirimler'!$A$2:$A$210,B607,'İndirimler'!$B$2:$B$210,C607)&gt;0,ROUND(G607*(1-SUMIFS('İndirimler'!$D$2:$D$210,'İndirimler'!$A$2:$A$210,B607,'İndirimler'!$B$2:$B$210,C607)),2),"")</x:f>
      </x:c>
      <x:c r="J607"/>
      <x:c r="K607"/>
    </x:row>
    <x:row r="608">
      <x:c r="A608"/>
      <x:c r="B608"/>
      <x:c r="C608"/>
      <x:c r="D608"/>
      <x:c r="E608"/>
      <x:c r="F608"/>
      <x:c r="G608"/>
      <x:c r="H608" t="str">
        <x:f>IF(SUMIFS('İndirimler'!$C$2:$C$210,'İndirimler'!$A$2:$A$210,B608,'İndirimler'!$B$2:$B$210,C608)&gt;0,ROUND(G608*(1-SUMIFS('İndirimler'!$C$2:$C$210,'İndirimler'!$A$2:$A$210,B608,'İndirimler'!$B$2:$B$210,C608)),2),"")</x:f>
      </x:c>
      <x:c r="I608" t="str">
        <x:f>IF(SUMIFS('İndirimler'!$D$2:$D$210,'İndirimler'!$A$2:$A$210,B608,'İndirimler'!$B$2:$B$210,C608)&gt;0,ROUND(G608*(1-SUMIFS('İndirimler'!$D$2:$D$210,'İndirimler'!$A$2:$A$210,B608,'İndirimler'!$B$2:$B$210,C608)),2),"")</x:f>
      </x:c>
      <x:c r="J608"/>
      <x:c r="K608"/>
    </x:row>
    <x:row r="609">
      <x:c r="A609"/>
      <x:c r="B609"/>
      <x:c r="C609"/>
      <x:c r="D609"/>
      <x:c r="E609"/>
      <x:c r="F609"/>
      <x:c r="G609"/>
      <x:c r="H609" t="str">
        <x:f>IF(SUMIFS('İndirimler'!$C$2:$C$210,'İndirimler'!$A$2:$A$210,B609,'İndirimler'!$B$2:$B$210,C609)&gt;0,ROUND(G609*(1-SUMIFS('İndirimler'!$C$2:$C$210,'İndirimler'!$A$2:$A$210,B609,'İndirimler'!$B$2:$B$210,C609)),2),"")</x:f>
      </x:c>
      <x:c r="I609" t="str">
        <x:f>IF(SUMIFS('İndirimler'!$D$2:$D$210,'İndirimler'!$A$2:$A$210,B609,'İndirimler'!$B$2:$B$210,C609)&gt;0,ROUND(G609*(1-SUMIFS('İndirimler'!$D$2:$D$210,'İndirimler'!$A$2:$A$210,B609,'İndirimler'!$B$2:$B$210,C609)),2),"")</x:f>
      </x:c>
      <x:c r="J609"/>
      <x:c r="K609"/>
    </x:row>
    <x:row r="610">
      <x:c r="A610"/>
      <x:c r="B610"/>
      <x:c r="C610"/>
      <x:c r="D610"/>
      <x:c r="E610"/>
      <x:c r="F610"/>
      <x:c r="G610"/>
      <x:c r="H610" t="str">
        <x:f>IF(SUMIFS('İndirimler'!$C$2:$C$210,'İndirimler'!$A$2:$A$210,B610,'İndirimler'!$B$2:$B$210,C610)&gt;0,ROUND(G610*(1-SUMIFS('İndirimler'!$C$2:$C$210,'İndirimler'!$A$2:$A$210,B610,'İndirimler'!$B$2:$B$210,C610)),2),"")</x:f>
      </x:c>
      <x:c r="I610" t="str">
        <x:f>IF(SUMIFS('İndirimler'!$D$2:$D$210,'İndirimler'!$A$2:$A$210,B610,'İndirimler'!$B$2:$B$210,C610)&gt;0,ROUND(G610*(1-SUMIFS('İndirimler'!$D$2:$D$210,'İndirimler'!$A$2:$A$210,B610,'İndirimler'!$B$2:$B$210,C610)),2),"")</x:f>
      </x:c>
      <x:c r="J610"/>
      <x:c r="K610"/>
    </x:row>
    <x:row r="611">
      <x:c r="A611"/>
      <x:c r="B611"/>
      <x:c r="C611"/>
      <x:c r="D611"/>
      <x:c r="E611"/>
      <x:c r="F611"/>
      <x:c r="G611"/>
      <x:c r="H611" t="str">
        <x:f>IF(SUMIFS('İndirimler'!$C$2:$C$210,'İndirimler'!$A$2:$A$210,B611,'İndirimler'!$B$2:$B$210,C611)&gt;0,ROUND(G611*(1-SUMIFS('İndirimler'!$C$2:$C$210,'İndirimler'!$A$2:$A$210,B611,'İndirimler'!$B$2:$B$210,C611)),2),"")</x:f>
      </x:c>
      <x:c r="I611" t="str">
        <x:f>IF(SUMIFS('İndirimler'!$D$2:$D$210,'İndirimler'!$A$2:$A$210,B611,'İndirimler'!$B$2:$B$210,C611)&gt;0,ROUND(G611*(1-SUMIFS('İndirimler'!$D$2:$D$210,'İndirimler'!$A$2:$A$210,B611,'İndirimler'!$B$2:$B$210,C611)),2),"")</x:f>
      </x:c>
      <x:c r="J611"/>
      <x:c r="K611"/>
    </x:row>
    <x:row r="612">
      <x:c r="A612"/>
      <x:c r="B612"/>
      <x:c r="C612"/>
      <x:c r="D612"/>
      <x:c r="E612"/>
      <x:c r="F612"/>
      <x:c r="G612"/>
      <x:c r="H612" t="str">
        <x:f>IF(SUMIFS('İndirimler'!$C$2:$C$210,'İndirimler'!$A$2:$A$210,B612,'İndirimler'!$B$2:$B$210,C612)&gt;0,ROUND(G612*(1-SUMIFS('İndirimler'!$C$2:$C$210,'İndirimler'!$A$2:$A$210,B612,'İndirimler'!$B$2:$B$210,C612)),2),"")</x:f>
      </x:c>
      <x:c r="I612" t="str">
        <x:f>IF(SUMIFS('İndirimler'!$D$2:$D$210,'İndirimler'!$A$2:$A$210,B612,'İndirimler'!$B$2:$B$210,C612)&gt;0,ROUND(G612*(1-SUMIFS('İndirimler'!$D$2:$D$210,'İndirimler'!$A$2:$A$210,B612,'İndirimler'!$B$2:$B$210,C612)),2),"")</x:f>
      </x:c>
      <x:c r="J612"/>
      <x:c r="K612"/>
    </x:row>
    <x:row r="613">
      <x:c r="A613"/>
      <x:c r="B613"/>
      <x:c r="C613"/>
      <x:c r="D613"/>
      <x:c r="E613"/>
      <x:c r="F613"/>
      <x:c r="G613"/>
      <x:c r="H613" t="str">
        <x:f>IF(SUMIFS('İndirimler'!$C$2:$C$210,'İndirimler'!$A$2:$A$210,B613,'İndirimler'!$B$2:$B$210,C613)&gt;0,ROUND(G613*(1-SUMIFS('İndirimler'!$C$2:$C$210,'İndirimler'!$A$2:$A$210,B613,'İndirimler'!$B$2:$B$210,C613)),2),"")</x:f>
      </x:c>
      <x:c r="I613" t="str">
        <x:f>IF(SUMIFS('İndirimler'!$D$2:$D$210,'İndirimler'!$A$2:$A$210,B613,'İndirimler'!$B$2:$B$210,C613)&gt;0,ROUND(G613*(1-SUMIFS('İndirimler'!$D$2:$D$210,'İndirimler'!$A$2:$A$210,B613,'İndirimler'!$B$2:$B$210,C613)),2),"")</x:f>
      </x:c>
      <x:c r="J613"/>
      <x:c r="K613"/>
    </x:row>
    <x:row r="614">
      <x:c r="A614"/>
      <x:c r="B614"/>
      <x:c r="C614"/>
      <x:c r="D614"/>
      <x:c r="E614"/>
      <x:c r="F614"/>
      <x:c r="G614"/>
      <x:c r="H614" t="str">
        <x:f>IF(SUMIFS('İndirimler'!$C$2:$C$210,'İndirimler'!$A$2:$A$210,B614,'İndirimler'!$B$2:$B$210,C614)&gt;0,ROUND(G614*(1-SUMIFS('İndirimler'!$C$2:$C$210,'İndirimler'!$A$2:$A$210,B614,'İndirimler'!$B$2:$B$210,C614)),2),"")</x:f>
      </x:c>
      <x:c r="I614" t="str">
        <x:f>IF(SUMIFS('İndirimler'!$D$2:$D$210,'İndirimler'!$A$2:$A$210,B614,'İndirimler'!$B$2:$B$210,C614)&gt;0,ROUND(G614*(1-SUMIFS('İndirimler'!$D$2:$D$210,'İndirimler'!$A$2:$A$210,B614,'İndirimler'!$B$2:$B$210,C614)),2),"")</x:f>
      </x:c>
      <x:c r="J614"/>
      <x:c r="K614"/>
    </x:row>
    <x:row r="615">
      <x:c r="A615"/>
      <x:c r="B615"/>
      <x:c r="C615"/>
      <x:c r="D615"/>
      <x:c r="E615"/>
      <x:c r="F615"/>
      <x:c r="G615"/>
      <x:c r="H615" t="str">
        <x:f>IF(SUMIFS('İndirimler'!$C$2:$C$210,'İndirimler'!$A$2:$A$210,B615,'İndirimler'!$B$2:$B$210,C615)&gt;0,ROUND(G615*(1-SUMIFS('İndirimler'!$C$2:$C$210,'İndirimler'!$A$2:$A$210,B615,'İndirimler'!$B$2:$B$210,C615)),2),"")</x:f>
      </x:c>
      <x:c r="I615" t="str">
        <x:f>IF(SUMIFS('İndirimler'!$D$2:$D$210,'İndirimler'!$A$2:$A$210,B615,'İndirimler'!$B$2:$B$210,C615)&gt;0,ROUND(G615*(1-SUMIFS('İndirimler'!$D$2:$D$210,'İndirimler'!$A$2:$A$210,B615,'İndirimler'!$B$2:$B$210,C615)),2),"")</x:f>
      </x:c>
      <x:c r="J615"/>
      <x:c r="K615"/>
    </x:row>
    <x:row r="616">
      <x:c r="A616"/>
      <x:c r="B616"/>
      <x:c r="C616"/>
      <x:c r="D616"/>
      <x:c r="E616"/>
      <x:c r="F616"/>
      <x:c r="G616"/>
      <x:c r="H616" t="str">
        <x:f>IF(SUMIFS('İndirimler'!$C$2:$C$210,'İndirimler'!$A$2:$A$210,B616,'İndirimler'!$B$2:$B$210,C616)&gt;0,ROUND(G616*(1-SUMIFS('İndirimler'!$C$2:$C$210,'İndirimler'!$A$2:$A$210,B616,'İndirimler'!$B$2:$B$210,C616)),2),"")</x:f>
      </x:c>
      <x:c r="I616" t="str">
        <x:f>IF(SUMIFS('İndirimler'!$D$2:$D$210,'İndirimler'!$A$2:$A$210,B616,'İndirimler'!$B$2:$B$210,C616)&gt;0,ROUND(G616*(1-SUMIFS('İndirimler'!$D$2:$D$210,'İndirimler'!$A$2:$A$210,B616,'İndirimler'!$B$2:$B$210,C616)),2),"")</x:f>
      </x:c>
      <x:c r="J616"/>
      <x:c r="K616"/>
    </x:row>
    <x:row r="617">
      <x:c r="A617"/>
      <x:c r="B617"/>
      <x:c r="C617"/>
      <x:c r="D617"/>
      <x:c r="E617"/>
      <x:c r="F617"/>
      <x:c r="G617"/>
      <x:c r="H617" t="str">
        <x:f>IF(SUMIFS('İndirimler'!$C$2:$C$210,'İndirimler'!$A$2:$A$210,B617,'İndirimler'!$B$2:$B$210,C617)&gt;0,ROUND(G617*(1-SUMIFS('İndirimler'!$C$2:$C$210,'İndirimler'!$A$2:$A$210,B617,'İndirimler'!$B$2:$B$210,C617)),2),"")</x:f>
      </x:c>
      <x:c r="I617" t="str">
        <x:f>IF(SUMIFS('İndirimler'!$D$2:$D$210,'İndirimler'!$A$2:$A$210,B617,'İndirimler'!$B$2:$B$210,C617)&gt;0,ROUND(G617*(1-SUMIFS('İndirimler'!$D$2:$D$210,'İndirimler'!$A$2:$A$210,B617,'İndirimler'!$B$2:$B$210,C617)),2),"")</x:f>
      </x:c>
      <x:c r="J617"/>
      <x:c r="K617"/>
    </x:row>
    <x:row r="618">
      <x:c r="A618"/>
      <x:c r="B618"/>
      <x:c r="C618"/>
      <x:c r="D618"/>
      <x:c r="E618"/>
      <x:c r="F618"/>
      <x:c r="G618"/>
      <x:c r="H618" t="str">
        <x:f>IF(SUMIFS('İndirimler'!$C$2:$C$210,'İndirimler'!$A$2:$A$210,B618,'İndirimler'!$B$2:$B$210,C618)&gt;0,ROUND(G618*(1-SUMIFS('İndirimler'!$C$2:$C$210,'İndirimler'!$A$2:$A$210,B618,'İndirimler'!$B$2:$B$210,C618)),2),"")</x:f>
      </x:c>
      <x:c r="I618" t="str">
        <x:f>IF(SUMIFS('İndirimler'!$D$2:$D$210,'İndirimler'!$A$2:$A$210,B618,'İndirimler'!$B$2:$B$210,C618)&gt;0,ROUND(G618*(1-SUMIFS('İndirimler'!$D$2:$D$210,'İndirimler'!$A$2:$A$210,B618,'İndirimler'!$B$2:$B$210,C618)),2),"")</x:f>
      </x:c>
      <x:c r="J618"/>
      <x:c r="K618"/>
    </x:row>
    <x:row r="619">
      <x:c r="A619"/>
      <x:c r="B619"/>
      <x:c r="C619"/>
      <x:c r="D619"/>
      <x:c r="E619"/>
      <x:c r="F619"/>
      <x:c r="G619"/>
      <x:c r="H619" t="str">
        <x:f>IF(SUMIFS('İndirimler'!$C$2:$C$210,'İndirimler'!$A$2:$A$210,B619,'İndirimler'!$B$2:$B$210,C619)&gt;0,ROUND(G619*(1-SUMIFS('İndirimler'!$C$2:$C$210,'İndirimler'!$A$2:$A$210,B619,'İndirimler'!$B$2:$B$210,C619)),2),"")</x:f>
      </x:c>
      <x:c r="I619" t="str">
        <x:f>IF(SUMIFS('İndirimler'!$D$2:$D$210,'İndirimler'!$A$2:$A$210,B619,'İndirimler'!$B$2:$B$210,C619)&gt;0,ROUND(G619*(1-SUMIFS('İndirimler'!$D$2:$D$210,'İndirimler'!$A$2:$A$210,B619,'İndirimler'!$B$2:$B$210,C619)),2),"")</x:f>
      </x:c>
      <x:c r="J619"/>
      <x:c r="K619"/>
    </x:row>
    <x:row r="620">
      <x:c r="A620"/>
      <x:c r="B620"/>
      <x:c r="C620"/>
      <x:c r="D620"/>
      <x:c r="E620"/>
      <x:c r="F620"/>
      <x:c r="G620"/>
      <x:c r="H620" t="str">
        <x:f>IF(SUMIFS('İndirimler'!$C$2:$C$210,'İndirimler'!$A$2:$A$210,B620,'İndirimler'!$B$2:$B$210,C620)&gt;0,ROUND(G620*(1-SUMIFS('İndirimler'!$C$2:$C$210,'İndirimler'!$A$2:$A$210,B620,'İndirimler'!$B$2:$B$210,C620)),2),"")</x:f>
      </x:c>
      <x:c r="I620" t="str">
        <x:f>IF(SUMIFS('İndirimler'!$D$2:$D$210,'İndirimler'!$A$2:$A$210,B620,'İndirimler'!$B$2:$B$210,C620)&gt;0,ROUND(G620*(1-SUMIFS('İndirimler'!$D$2:$D$210,'İndirimler'!$A$2:$A$210,B620,'İndirimler'!$B$2:$B$210,C620)),2),"")</x:f>
      </x:c>
      <x:c r="J620"/>
      <x:c r="K620"/>
    </x:row>
    <x:row r="621">
      <x:c r="A621"/>
      <x:c r="B621"/>
      <x:c r="C621"/>
      <x:c r="D621"/>
      <x:c r="E621"/>
      <x:c r="F621"/>
      <x:c r="G621"/>
      <x:c r="H621" t="str">
        <x:f>IF(SUMIFS('İndirimler'!$C$2:$C$210,'İndirimler'!$A$2:$A$210,B621,'İndirimler'!$B$2:$B$210,C621)&gt;0,ROUND(G621*(1-SUMIFS('İndirimler'!$C$2:$C$210,'İndirimler'!$A$2:$A$210,B621,'İndirimler'!$B$2:$B$210,C621)),2),"")</x:f>
      </x:c>
      <x:c r="I621" t="str">
        <x:f>IF(SUMIFS('İndirimler'!$D$2:$D$210,'İndirimler'!$A$2:$A$210,B621,'İndirimler'!$B$2:$B$210,C621)&gt;0,ROUND(G621*(1-SUMIFS('İndirimler'!$D$2:$D$210,'İndirimler'!$A$2:$A$210,B621,'İndirimler'!$B$2:$B$210,C621)),2),"")</x:f>
      </x:c>
      <x:c r="J621"/>
      <x:c r="K621"/>
    </x:row>
    <x:row r="622">
      <x:c r="A622"/>
      <x:c r="B622"/>
      <x:c r="C622"/>
      <x:c r="D622"/>
      <x:c r="E622"/>
      <x:c r="F622"/>
      <x:c r="G622"/>
      <x:c r="H622" t="str">
        <x:f>IF(SUMIFS('İndirimler'!$C$2:$C$210,'İndirimler'!$A$2:$A$210,B622,'İndirimler'!$B$2:$B$210,C622)&gt;0,ROUND(G622*(1-SUMIFS('İndirimler'!$C$2:$C$210,'İndirimler'!$A$2:$A$210,B622,'İndirimler'!$B$2:$B$210,C622)),2),"")</x:f>
      </x:c>
      <x:c r="I622" t="str">
        <x:f>IF(SUMIFS('İndirimler'!$D$2:$D$210,'İndirimler'!$A$2:$A$210,B622,'İndirimler'!$B$2:$B$210,C622)&gt;0,ROUND(G622*(1-SUMIFS('İndirimler'!$D$2:$D$210,'İndirimler'!$A$2:$A$210,B622,'İndirimler'!$B$2:$B$210,C622)),2),"")</x:f>
      </x:c>
      <x:c r="J622"/>
      <x:c r="K622"/>
    </x:row>
    <x:row r="623">
      <x:c r="A623"/>
      <x:c r="B623"/>
      <x:c r="C623"/>
      <x:c r="D623"/>
      <x:c r="E623"/>
      <x:c r="F623"/>
      <x:c r="G623"/>
      <x:c r="H623" t="str">
        <x:f>IF(SUMIFS('İndirimler'!$C$2:$C$210,'İndirimler'!$A$2:$A$210,B623,'İndirimler'!$B$2:$B$210,C623)&gt;0,ROUND(G623*(1-SUMIFS('İndirimler'!$C$2:$C$210,'İndirimler'!$A$2:$A$210,B623,'İndirimler'!$B$2:$B$210,C623)),2),"")</x:f>
      </x:c>
      <x:c r="I623" t="str">
        <x:f>IF(SUMIFS('İndirimler'!$D$2:$D$210,'İndirimler'!$A$2:$A$210,B623,'İndirimler'!$B$2:$B$210,C623)&gt;0,ROUND(G623*(1-SUMIFS('İndirimler'!$D$2:$D$210,'İndirimler'!$A$2:$A$210,B623,'İndirimler'!$B$2:$B$210,C623)),2),"")</x:f>
      </x:c>
      <x:c r="J623"/>
      <x:c r="K623"/>
    </x:row>
    <x:row r="624">
      <x:c r="A624"/>
      <x:c r="B624"/>
      <x:c r="C624"/>
      <x:c r="D624"/>
      <x:c r="E624"/>
      <x:c r="F624"/>
      <x:c r="G624"/>
      <x:c r="H624" t="str">
        <x:f>IF(SUMIFS('İndirimler'!$C$2:$C$210,'İndirimler'!$A$2:$A$210,B624,'İndirimler'!$B$2:$B$210,C624)&gt;0,ROUND(G624*(1-SUMIFS('İndirimler'!$C$2:$C$210,'İndirimler'!$A$2:$A$210,B624,'İndirimler'!$B$2:$B$210,C624)),2),"")</x:f>
      </x:c>
      <x:c r="I624" t="str">
        <x:f>IF(SUMIFS('İndirimler'!$D$2:$D$210,'İndirimler'!$A$2:$A$210,B624,'İndirimler'!$B$2:$B$210,C624)&gt;0,ROUND(G624*(1-SUMIFS('İndirimler'!$D$2:$D$210,'İndirimler'!$A$2:$A$210,B624,'İndirimler'!$B$2:$B$210,C624)),2),"")</x:f>
      </x:c>
      <x:c r="J624"/>
      <x:c r="K624"/>
    </x:row>
    <x:row r="625">
      <x:c r="A625"/>
      <x:c r="B625"/>
      <x:c r="C625"/>
      <x:c r="D625"/>
      <x:c r="E625"/>
      <x:c r="F625"/>
      <x:c r="G625"/>
      <x:c r="H625" t="str">
        <x:f>IF(SUMIFS('İndirimler'!$C$2:$C$210,'İndirimler'!$A$2:$A$210,B625,'İndirimler'!$B$2:$B$210,C625)&gt;0,ROUND(G625*(1-SUMIFS('İndirimler'!$C$2:$C$210,'İndirimler'!$A$2:$A$210,B625,'İndirimler'!$B$2:$B$210,C625)),2),"")</x:f>
      </x:c>
      <x:c r="I625" t="str">
        <x:f>IF(SUMIFS('İndirimler'!$D$2:$D$210,'İndirimler'!$A$2:$A$210,B625,'İndirimler'!$B$2:$B$210,C625)&gt;0,ROUND(G625*(1-SUMIFS('İndirimler'!$D$2:$D$210,'İndirimler'!$A$2:$A$210,B625,'İndirimler'!$B$2:$B$210,C625)),2),"")</x:f>
      </x:c>
      <x:c r="J625"/>
      <x:c r="K625"/>
    </x:row>
    <x:row r="626">
      <x:c r="A626"/>
      <x:c r="B626"/>
      <x:c r="C626"/>
      <x:c r="D626"/>
      <x:c r="E626"/>
      <x:c r="F626"/>
      <x:c r="G626"/>
      <x:c r="H626" t="str">
        <x:f>IF(SUMIFS('İndirimler'!$C$2:$C$210,'İndirimler'!$A$2:$A$210,B626,'İndirimler'!$B$2:$B$210,C626)&gt;0,ROUND(G626*(1-SUMIFS('İndirimler'!$C$2:$C$210,'İndirimler'!$A$2:$A$210,B626,'İndirimler'!$B$2:$B$210,C626)),2),"")</x:f>
      </x:c>
      <x:c r="I626" t="str">
        <x:f>IF(SUMIFS('İndirimler'!$D$2:$D$210,'İndirimler'!$A$2:$A$210,B626,'İndirimler'!$B$2:$B$210,C626)&gt;0,ROUND(G626*(1-SUMIFS('İndirimler'!$D$2:$D$210,'İndirimler'!$A$2:$A$210,B626,'İndirimler'!$B$2:$B$210,C626)),2),"")</x:f>
      </x:c>
      <x:c r="J626"/>
      <x:c r="K626"/>
    </x:row>
    <x:row r="627">
      <x:c r="A627"/>
      <x:c r="B627"/>
      <x:c r="C627"/>
      <x:c r="D627"/>
      <x:c r="E627"/>
      <x:c r="F627"/>
      <x:c r="G627"/>
      <x:c r="H627" t="str">
        <x:f>IF(SUMIFS('İndirimler'!$C$2:$C$210,'İndirimler'!$A$2:$A$210,B627,'İndirimler'!$B$2:$B$210,C627)&gt;0,ROUND(G627*(1-SUMIFS('İndirimler'!$C$2:$C$210,'İndirimler'!$A$2:$A$210,B627,'İndirimler'!$B$2:$B$210,C627)),2),"")</x:f>
      </x:c>
      <x:c r="I627" t="str">
        <x:f>IF(SUMIFS('İndirimler'!$D$2:$D$210,'İndirimler'!$A$2:$A$210,B627,'İndirimler'!$B$2:$B$210,C627)&gt;0,ROUND(G627*(1-SUMIFS('İndirimler'!$D$2:$D$210,'İndirimler'!$A$2:$A$210,B627,'İndirimler'!$B$2:$B$210,C627)),2),"")</x:f>
      </x:c>
      <x:c r="J627"/>
      <x:c r="K627"/>
    </x:row>
    <x:row r="628">
      <x:c r="A628"/>
      <x:c r="B628"/>
      <x:c r="C628"/>
      <x:c r="D628"/>
      <x:c r="E628"/>
      <x:c r="F628"/>
      <x:c r="G628"/>
      <x:c r="H628" t="str">
        <x:f>IF(SUMIFS('İndirimler'!$C$2:$C$210,'İndirimler'!$A$2:$A$210,B628,'İndirimler'!$B$2:$B$210,C628)&gt;0,ROUND(G628*(1-SUMIFS('İndirimler'!$C$2:$C$210,'İndirimler'!$A$2:$A$210,B628,'İndirimler'!$B$2:$B$210,C628)),2),"")</x:f>
      </x:c>
      <x:c r="I628" t="str">
        <x:f>IF(SUMIFS('İndirimler'!$D$2:$D$210,'İndirimler'!$A$2:$A$210,B628,'İndirimler'!$B$2:$B$210,C628)&gt;0,ROUND(G628*(1-SUMIFS('İndirimler'!$D$2:$D$210,'İndirimler'!$A$2:$A$210,B628,'İndirimler'!$B$2:$B$210,C628)),2),"")</x:f>
      </x:c>
      <x:c r="J628"/>
      <x:c r="K628"/>
    </x:row>
    <x:row r="629">
      <x:c r="A629"/>
      <x:c r="B629"/>
      <x:c r="C629"/>
      <x:c r="D629"/>
      <x:c r="E629"/>
      <x:c r="F629"/>
      <x:c r="G629"/>
      <x:c r="H629" t="str">
        <x:f>IF(SUMIFS('İndirimler'!$C$2:$C$210,'İndirimler'!$A$2:$A$210,B629,'İndirimler'!$B$2:$B$210,C629)&gt;0,ROUND(G629*(1-SUMIFS('İndirimler'!$C$2:$C$210,'İndirimler'!$A$2:$A$210,B629,'İndirimler'!$B$2:$B$210,C629)),2),"")</x:f>
      </x:c>
      <x:c r="I629" t="str">
        <x:f>IF(SUMIFS('İndirimler'!$D$2:$D$210,'İndirimler'!$A$2:$A$210,B629,'İndirimler'!$B$2:$B$210,C629)&gt;0,ROUND(G629*(1-SUMIFS('İndirimler'!$D$2:$D$210,'İndirimler'!$A$2:$A$210,B629,'İndirimler'!$B$2:$B$210,C629)),2),"")</x:f>
      </x:c>
      <x:c r="J629"/>
      <x:c r="K629"/>
    </x:row>
    <x:row r="630">
      <x:c r="A630"/>
      <x:c r="B630"/>
      <x:c r="C630"/>
      <x:c r="D630"/>
      <x:c r="E630"/>
      <x:c r="F630"/>
      <x:c r="G630"/>
      <x:c r="H630" t="str">
        <x:f>IF(SUMIFS('İndirimler'!$C$2:$C$210,'İndirimler'!$A$2:$A$210,B630,'İndirimler'!$B$2:$B$210,C630)&gt;0,ROUND(G630*(1-SUMIFS('İndirimler'!$C$2:$C$210,'İndirimler'!$A$2:$A$210,B630,'İndirimler'!$B$2:$B$210,C630)),2),"")</x:f>
      </x:c>
      <x:c r="I630" t="str">
        <x:f>IF(SUMIFS('İndirimler'!$D$2:$D$210,'İndirimler'!$A$2:$A$210,B630,'İndirimler'!$B$2:$B$210,C630)&gt;0,ROUND(G630*(1-SUMIFS('İndirimler'!$D$2:$D$210,'İndirimler'!$A$2:$A$210,B630,'İndirimler'!$B$2:$B$210,C630)),2),"")</x:f>
      </x:c>
      <x:c r="J630"/>
      <x:c r="K630"/>
    </x:row>
    <x:row r="631">
      <x:c r="A631"/>
      <x:c r="B631"/>
      <x:c r="C631"/>
      <x:c r="D631"/>
      <x:c r="E631"/>
      <x:c r="F631"/>
      <x:c r="G631"/>
      <x:c r="H631" t="str">
        <x:f>IF(SUMIFS('İndirimler'!$C$2:$C$210,'İndirimler'!$A$2:$A$210,B631,'İndirimler'!$B$2:$B$210,C631)&gt;0,ROUND(G631*(1-SUMIFS('İndirimler'!$C$2:$C$210,'İndirimler'!$A$2:$A$210,B631,'İndirimler'!$B$2:$B$210,C631)),2),"")</x:f>
      </x:c>
      <x:c r="I631" t="str">
        <x:f>IF(SUMIFS('İndirimler'!$D$2:$D$210,'İndirimler'!$A$2:$A$210,B631,'İndirimler'!$B$2:$B$210,C631)&gt;0,ROUND(G631*(1-SUMIFS('İndirimler'!$D$2:$D$210,'İndirimler'!$A$2:$A$210,B631,'İndirimler'!$B$2:$B$210,C631)),2),"")</x:f>
      </x:c>
      <x:c r="J631"/>
      <x:c r="K631"/>
    </x:row>
    <x:row r="632">
      <x:c r="A632"/>
      <x:c r="B632"/>
      <x:c r="C632"/>
      <x:c r="D632"/>
      <x:c r="E632"/>
      <x:c r="F632"/>
      <x:c r="G632"/>
      <x:c r="H632" t="str">
        <x:f>IF(SUMIFS('İndirimler'!$C$2:$C$210,'İndirimler'!$A$2:$A$210,B632,'İndirimler'!$B$2:$B$210,C632)&gt;0,ROUND(G632*(1-SUMIFS('İndirimler'!$C$2:$C$210,'İndirimler'!$A$2:$A$210,B632,'İndirimler'!$B$2:$B$210,C632)),2),"")</x:f>
      </x:c>
      <x:c r="I632" t="str">
        <x:f>IF(SUMIFS('İndirimler'!$D$2:$D$210,'İndirimler'!$A$2:$A$210,B632,'İndirimler'!$B$2:$B$210,C632)&gt;0,ROUND(G632*(1-SUMIFS('İndirimler'!$D$2:$D$210,'İndirimler'!$A$2:$A$210,B632,'İndirimler'!$B$2:$B$210,C632)),2),"")</x:f>
      </x:c>
      <x:c r="J632"/>
      <x:c r="K632"/>
    </x:row>
    <x:row r="633">
      <x:c r="A633"/>
      <x:c r="B633"/>
      <x:c r="C633"/>
      <x:c r="D633"/>
      <x:c r="E633"/>
      <x:c r="F633"/>
      <x:c r="G633"/>
      <x:c r="H633" t="str">
        <x:f>IF(SUMIFS('İndirimler'!$C$2:$C$210,'İndirimler'!$A$2:$A$210,B633,'İndirimler'!$B$2:$B$210,C633)&gt;0,ROUND(G633*(1-SUMIFS('İndirimler'!$C$2:$C$210,'İndirimler'!$A$2:$A$210,B633,'İndirimler'!$B$2:$B$210,C633)),2),"")</x:f>
      </x:c>
      <x:c r="I633" t="str">
        <x:f>IF(SUMIFS('İndirimler'!$D$2:$D$210,'İndirimler'!$A$2:$A$210,B633,'İndirimler'!$B$2:$B$210,C633)&gt;0,ROUND(G633*(1-SUMIFS('İndirimler'!$D$2:$D$210,'İndirimler'!$A$2:$A$210,B633,'İndirimler'!$B$2:$B$210,C633)),2),"")</x:f>
      </x:c>
      <x:c r="J633"/>
      <x:c r="K633"/>
    </x:row>
    <x:row r="634">
      <x:c r="A634"/>
      <x:c r="B634"/>
      <x:c r="C634"/>
      <x:c r="D634"/>
      <x:c r="E634"/>
      <x:c r="F634"/>
      <x:c r="G634"/>
      <x:c r="H634" t="str">
        <x:f>IF(SUMIFS('İndirimler'!$C$2:$C$210,'İndirimler'!$A$2:$A$210,B634,'İndirimler'!$B$2:$B$210,C634)&gt;0,ROUND(G634*(1-SUMIFS('İndirimler'!$C$2:$C$210,'İndirimler'!$A$2:$A$210,B634,'İndirimler'!$B$2:$B$210,C634)),2),"")</x:f>
      </x:c>
      <x:c r="I634" t="str">
        <x:f>IF(SUMIFS('İndirimler'!$D$2:$D$210,'İndirimler'!$A$2:$A$210,B634,'İndirimler'!$B$2:$B$210,C634)&gt;0,ROUND(G634*(1-SUMIFS('İndirimler'!$D$2:$D$210,'İndirimler'!$A$2:$A$210,B634,'İndirimler'!$B$2:$B$210,C634)),2),"")</x:f>
      </x:c>
      <x:c r="J634"/>
      <x:c r="K634"/>
    </x:row>
    <x:row r="635">
      <x:c r="A635"/>
      <x:c r="B635"/>
      <x:c r="C635"/>
      <x:c r="D635"/>
      <x:c r="E635"/>
      <x:c r="F635"/>
      <x:c r="G635"/>
      <x:c r="H635" t="str">
        <x:f>IF(SUMIFS('İndirimler'!$C$2:$C$210,'İndirimler'!$A$2:$A$210,B635,'İndirimler'!$B$2:$B$210,C635)&gt;0,ROUND(G635*(1-SUMIFS('İndirimler'!$C$2:$C$210,'İndirimler'!$A$2:$A$210,B635,'İndirimler'!$B$2:$B$210,C635)),2),"")</x:f>
      </x:c>
      <x:c r="I635" t="str">
        <x:f>IF(SUMIFS('İndirimler'!$D$2:$D$210,'İndirimler'!$A$2:$A$210,B635,'İndirimler'!$B$2:$B$210,C635)&gt;0,ROUND(G635*(1-SUMIFS('İndirimler'!$D$2:$D$210,'İndirimler'!$A$2:$A$210,B635,'İndirimler'!$B$2:$B$210,C635)),2),"")</x:f>
      </x:c>
      <x:c r="J635"/>
      <x:c r="K635"/>
    </x:row>
    <x:row r="636">
      <x:c r="A636"/>
      <x:c r="B636"/>
      <x:c r="C636"/>
      <x:c r="D636"/>
      <x:c r="E636"/>
      <x:c r="F636"/>
      <x:c r="G636"/>
      <x:c r="H636" t="str">
        <x:f>IF(SUMIFS('İndirimler'!$C$2:$C$210,'İndirimler'!$A$2:$A$210,B636,'İndirimler'!$B$2:$B$210,C636)&gt;0,ROUND(G636*(1-SUMIFS('İndirimler'!$C$2:$C$210,'İndirimler'!$A$2:$A$210,B636,'İndirimler'!$B$2:$B$210,C636)),2),"")</x:f>
      </x:c>
      <x:c r="I636" t="str">
        <x:f>IF(SUMIFS('İndirimler'!$D$2:$D$210,'İndirimler'!$A$2:$A$210,B636,'İndirimler'!$B$2:$B$210,C636)&gt;0,ROUND(G636*(1-SUMIFS('İndirimler'!$D$2:$D$210,'İndirimler'!$A$2:$A$210,B636,'İndirimler'!$B$2:$B$210,C636)),2),"")</x:f>
      </x:c>
      <x:c r="J636"/>
      <x:c r="K636"/>
    </x:row>
    <x:row r="637">
      <x:c r="A637"/>
      <x:c r="B637"/>
      <x:c r="C637"/>
      <x:c r="D637"/>
      <x:c r="E637"/>
      <x:c r="F637"/>
      <x:c r="G637"/>
      <x:c r="H637" t="str">
        <x:f>IF(SUMIFS('İndirimler'!$C$2:$C$210,'İndirimler'!$A$2:$A$210,B637,'İndirimler'!$B$2:$B$210,C637)&gt;0,ROUND(G637*(1-SUMIFS('İndirimler'!$C$2:$C$210,'İndirimler'!$A$2:$A$210,B637,'İndirimler'!$B$2:$B$210,C637)),2),"")</x:f>
      </x:c>
      <x:c r="I637" t="str">
        <x:f>IF(SUMIFS('İndirimler'!$D$2:$D$210,'İndirimler'!$A$2:$A$210,B637,'İndirimler'!$B$2:$B$210,C637)&gt;0,ROUND(G637*(1-SUMIFS('İndirimler'!$D$2:$D$210,'İndirimler'!$A$2:$A$210,B637,'İndirimler'!$B$2:$B$210,C637)),2),"")</x:f>
      </x:c>
      <x:c r="J637"/>
      <x:c r="K637"/>
    </x:row>
    <x:row r="638">
      <x:c r="A638"/>
      <x:c r="B638"/>
      <x:c r="C638"/>
      <x:c r="D638"/>
      <x:c r="E638"/>
      <x:c r="F638"/>
      <x:c r="G638"/>
      <x:c r="H638" t="str">
        <x:f>IF(SUMIFS('İndirimler'!$C$2:$C$210,'İndirimler'!$A$2:$A$210,B638,'İndirimler'!$B$2:$B$210,C638)&gt;0,ROUND(G638*(1-SUMIFS('İndirimler'!$C$2:$C$210,'İndirimler'!$A$2:$A$210,B638,'İndirimler'!$B$2:$B$210,C638)),2),"")</x:f>
      </x:c>
      <x:c r="I638" t="str">
        <x:f>IF(SUMIFS('İndirimler'!$D$2:$D$210,'İndirimler'!$A$2:$A$210,B638,'İndirimler'!$B$2:$B$210,C638)&gt;0,ROUND(G638*(1-SUMIFS('İndirimler'!$D$2:$D$210,'İndirimler'!$A$2:$A$210,B638,'İndirimler'!$B$2:$B$210,C638)),2),"")</x:f>
      </x:c>
      <x:c r="J638"/>
      <x:c r="K638"/>
    </x:row>
    <x:row r="639">
      <x:c r="A639"/>
      <x:c r="B639"/>
      <x:c r="C639"/>
      <x:c r="D639"/>
      <x:c r="E639"/>
      <x:c r="F639"/>
      <x:c r="G639"/>
      <x:c r="H639" t="str">
        <x:f>IF(SUMIFS('İndirimler'!$C$2:$C$210,'İndirimler'!$A$2:$A$210,B639,'İndirimler'!$B$2:$B$210,C639)&gt;0,ROUND(G639*(1-SUMIFS('İndirimler'!$C$2:$C$210,'İndirimler'!$A$2:$A$210,B639,'İndirimler'!$B$2:$B$210,C639)),2),"")</x:f>
      </x:c>
      <x:c r="I639" t="str">
        <x:f>IF(SUMIFS('İndirimler'!$D$2:$D$210,'İndirimler'!$A$2:$A$210,B639,'İndirimler'!$B$2:$B$210,C639)&gt;0,ROUND(G639*(1-SUMIFS('İndirimler'!$D$2:$D$210,'İndirimler'!$A$2:$A$210,B639,'İndirimler'!$B$2:$B$210,C639)),2),"")</x:f>
      </x:c>
      <x:c r="J639"/>
      <x:c r="K639"/>
    </x:row>
    <x:row r="640">
      <x:c r="A640"/>
      <x:c r="B640"/>
      <x:c r="C640"/>
      <x:c r="D640"/>
      <x:c r="E640"/>
      <x:c r="F640"/>
      <x:c r="G640"/>
      <x:c r="H640" t="str">
        <x:f>IF(SUMIFS('İndirimler'!$C$2:$C$210,'İndirimler'!$A$2:$A$210,B640,'İndirimler'!$B$2:$B$210,C640)&gt;0,ROUND(G640*(1-SUMIFS('İndirimler'!$C$2:$C$210,'İndirimler'!$A$2:$A$210,B640,'İndirimler'!$B$2:$B$210,C640)),2),"")</x:f>
      </x:c>
      <x:c r="I640" t="str">
        <x:f>IF(SUMIFS('İndirimler'!$D$2:$D$210,'İndirimler'!$A$2:$A$210,B640,'İndirimler'!$B$2:$B$210,C640)&gt;0,ROUND(G640*(1-SUMIFS('İndirimler'!$D$2:$D$210,'İndirimler'!$A$2:$A$210,B640,'İndirimler'!$B$2:$B$210,C640)),2),"")</x:f>
      </x:c>
      <x:c r="J640"/>
      <x:c r="K640"/>
    </x:row>
    <x:row r="641">
      <x:c r="A641"/>
      <x:c r="B641"/>
      <x:c r="C641"/>
      <x:c r="D641"/>
      <x:c r="E641"/>
      <x:c r="F641"/>
      <x:c r="G641"/>
      <x:c r="H641" t="str">
        <x:f>IF(SUMIFS('İndirimler'!$C$2:$C$210,'İndirimler'!$A$2:$A$210,B641,'İndirimler'!$B$2:$B$210,C641)&gt;0,ROUND(G641*(1-SUMIFS('İndirimler'!$C$2:$C$210,'İndirimler'!$A$2:$A$210,B641,'İndirimler'!$B$2:$B$210,C641)),2),"")</x:f>
      </x:c>
      <x:c r="I641" t="str">
        <x:f>IF(SUMIFS('İndirimler'!$D$2:$D$210,'İndirimler'!$A$2:$A$210,B641,'İndirimler'!$B$2:$B$210,C641)&gt;0,ROUND(G641*(1-SUMIFS('İndirimler'!$D$2:$D$210,'İndirimler'!$A$2:$A$210,B641,'İndirimler'!$B$2:$B$210,C641)),2),"")</x:f>
      </x:c>
      <x:c r="J641"/>
      <x:c r="K641"/>
    </x:row>
    <x:row r="642">
      <x:c r="A642"/>
      <x:c r="B642"/>
      <x:c r="C642"/>
      <x:c r="D642"/>
      <x:c r="E642"/>
      <x:c r="F642"/>
      <x:c r="G642"/>
      <x:c r="H642" t="str">
        <x:f>IF(SUMIFS('İndirimler'!$C$2:$C$210,'İndirimler'!$A$2:$A$210,B642,'İndirimler'!$B$2:$B$210,C642)&gt;0,ROUND(G642*(1-SUMIFS('İndirimler'!$C$2:$C$210,'İndirimler'!$A$2:$A$210,B642,'İndirimler'!$B$2:$B$210,C642)),2),"")</x:f>
      </x:c>
      <x:c r="I642" t="str">
        <x:f>IF(SUMIFS('İndirimler'!$D$2:$D$210,'İndirimler'!$A$2:$A$210,B642,'İndirimler'!$B$2:$B$210,C642)&gt;0,ROUND(G642*(1-SUMIFS('İndirimler'!$D$2:$D$210,'İndirimler'!$A$2:$A$210,B642,'İndirimler'!$B$2:$B$210,C642)),2),"")</x:f>
      </x:c>
      <x:c r="J642"/>
      <x:c r="K642"/>
    </x:row>
    <x:row r="643">
      <x:c r="A643"/>
      <x:c r="B643"/>
      <x:c r="C643"/>
      <x:c r="D643"/>
      <x:c r="E643"/>
      <x:c r="F643"/>
      <x:c r="G643"/>
      <x:c r="H643" t="str">
        <x:f>IF(SUMIFS('İndirimler'!$C$2:$C$210,'İndirimler'!$A$2:$A$210,B643,'İndirimler'!$B$2:$B$210,C643)&gt;0,ROUND(G643*(1-SUMIFS('İndirimler'!$C$2:$C$210,'İndirimler'!$A$2:$A$210,B643,'İndirimler'!$B$2:$B$210,C643)),2),"")</x:f>
      </x:c>
      <x:c r="I643" t="str">
        <x:f>IF(SUMIFS('İndirimler'!$D$2:$D$210,'İndirimler'!$A$2:$A$210,B643,'İndirimler'!$B$2:$B$210,C643)&gt;0,ROUND(G643*(1-SUMIFS('İndirimler'!$D$2:$D$210,'İndirimler'!$A$2:$A$210,B643,'İndirimler'!$B$2:$B$210,C643)),2),"")</x:f>
      </x:c>
      <x:c r="J643"/>
      <x:c r="K643"/>
    </x:row>
    <x:row r="644">
      <x:c r="A644"/>
      <x:c r="B644"/>
      <x:c r="C644"/>
      <x:c r="D644"/>
      <x:c r="E644"/>
      <x:c r="F644"/>
      <x:c r="G644"/>
      <x:c r="H644" t="str">
        <x:f>IF(SUMIFS('İndirimler'!$C$2:$C$210,'İndirimler'!$A$2:$A$210,B644,'İndirimler'!$B$2:$B$210,C644)&gt;0,ROUND(G644*(1-SUMIFS('İndirimler'!$C$2:$C$210,'İndirimler'!$A$2:$A$210,B644,'İndirimler'!$B$2:$B$210,C644)),2),"")</x:f>
      </x:c>
      <x:c r="I644" t="str">
        <x:f>IF(SUMIFS('İndirimler'!$D$2:$D$210,'İndirimler'!$A$2:$A$210,B644,'İndirimler'!$B$2:$B$210,C644)&gt;0,ROUND(G644*(1-SUMIFS('İndirimler'!$D$2:$D$210,'İndirimler'!$A$2:$A$210,B644,'İndirimler'!$B$2:$B$210,C644)),2),"")</x:f>
      </x:c>
      <x:c r="J644"/>
      <x:c r="K644"/>
    </x:row>
    <x:row r="645">
      <x:c r="A645"/>
      <x:c r="B645"/>
      <x:c r="C645"/>
      <x:c r="D645"/>
      <x:c r="E645"/>
      <x:c r="F645"/>
      <x:c r="G645"/>
      <x:c r="H645" t="str">
        <x:f>IF(SUMIFS('İndirimler'!$C$2:$C$210,'İndirimler'!$A$2:$A$210,B645,'İndirimler'!$B$2:$B$210,C645)&gt;0,ROUND(G645*(1-SUMIFS('İndirimler'!$C$2:$C$210,'İndirimler'!$A$2:$A$210,B645,'İndirimler'!$B$2:$B$210,C645)),2),"")</x:f>
      </x:c>
      <x:c r="I645" t="str">
        <x:f>IF(SUMIFS('İndirimler'!$D$2:$D$210,'İndirimler'!$A$2:$A$210,B645,'İndirimler'!$B$2:$B$210,C645)&gt;0,ROUND(G645*(1-SUMIFS('İndirimler'!$D$2:$D$210,'İndirimler'!$A$2:$A$210,B645,'İndirimler'!$B$2:$B$210,C645)),2),"")</x:f>
      </x:c>
      <x:c r="J645"/>
      <x:c r="K645"/>
    </x:row>
    <x:row r="646">
      <x:c r="A646"/>
      <x:c r="B646"/>
      <x:c r="C646"/>
      <x:c r="D646"/>
      <x:c r="E646"/>
      <x:c r="F646"/>
      <x:c r="G646"/>
      <x:c r="H646" t="str">
        <x:f>IF(SUMIFS('İndirimler'!$C$2:$C$210,'İndirimler'!$A$2:$A$210,B646,'İndirimler'!$B$2:$B$210,C646)&gt;0,ROUND(G646*(1-SUMIFS('İndirimler'!$C$2:$C$210,'İndirimler'!$A$2:$A$210,B646,'İndirimler'!$B$2:$B$210,C646)),2),"")</x:f>
      </x:c>
      <x:c r="I646" t="str">
        <x:f>IF(SUMIFS('İndirimler'!$D$2:$D$210,'İndirimler'!$A$2:$A$210,B646,'İndirimler'!$B$2:$B$210,C646)&gt;0,ROUND(G646*(1-SUMIFS('İndirimler'!$D$2:$D$210,'İndirimler'!$A$2:$A$210,B646,'İndirimler'!$B$2:$B$210,C646)),2),"")</x:f>
      </x:c>
      <x:c r="J646"/>
      <x:c r="K646"/>
    </x:row>
    <x:row r="647">
      <x:c r="A647"/>
      <x:c r="B647"/>
      <x:c r="C647"/>
      <x:c r="D647"/>
      <x:c r="E647"/>
      <x:c r="F647"/>
      <x:c r="G647"/>
      <x:c r="H647" t="str">
        <x:f>IF(SUMIFS('İndirimler'!$C$2:$C$210,'İndirimler'!$A$2:$A$210,B647,'İndirimler'!$B$2:$B$210,C647)&gt;0,ROUND(G647*(1-SUMIFS('İndirimler'!$C$2:$C$210,'İndirimler'!$A$2:$A$210,B647,'İndirimler'!$B$2:$B$210,C647)),2),"")</x:f>
      </x:c>
      <x:c r="I647" t="str">
        <x:f>IF(SUMIFS('İndirimler'!$D$2:$D$210,'İndirimler'!$A$2:$A$210,B647,'İndirimler'!$B$2:$B$210,C647)&gt;0,ROUND(G647*(1-SUMIFS('İndirimler'!$D$2:$D$210,'İndirimler'!$A$2:$A$210,B647,'İndirimler'!$B$2:$B$210,C647)),2),"")</x:f>
      </x:c>
      <x:c r="J647"/>
      <x:c r="K647"/>
    </x:row>
    <x:row r="648">
      <x:c r="A648"/>
      <x:c r="B648"/>
      <x:c r="C648"/>
      <x:c r="D648"/>
      <x:c r="E648"/>
      <x:c r="F648"/>
      <x:c r="G648"/>
      <x:c r="H648" t="str">
        <x:f>IF(SUMIFS('İndirimler'!$C$2:$C$210,'İndirimler'!$A$2:$A$210,B648,'İndirimler'!$B$2:$B$210,C648)&gt;0,ROUND(G648*(1-SUMIFS('İndirimler'!$C$2:$C$210,'İndirimler'!$A$2:$A$210,B648,'İndirimler'!$B$2:$B$210,C648)),2),"")</x:f>
      </x:c>
      <x:c r="I648" t="str">
        <x:f>IF(SUMIFS('İndirimler'!$D$2:$D$210,'İndirimler'!$A$2:$A$210,B648,'İndirimler'!$B$2:$B$210,C648)&gt;0,ROUND(G648*(1-SUMIFS('İndirimler'!$D$2:$D$210,'İndirimler'!$A$2:$A$210,B648,'İndirimler'!$B$2:$B$210,C648)),2),"")</x:f>
      </x:c>
      <x:c r="J648"/>
      <x:c r="K648"/>
    </x:row>
    <x:row r="649">
      <x:c r="A649"/>
      <x:c r="B649"/>
      <x:c r="C649"/>
      <x:c r="D649"/>
      <x:c r="E649"/>
      <x:c r="F649"/>
      <x:c r="G649"/>
      <x:c r="H649" t="str">
        <x:f>IF(SUMIFS('İndirimler'!$C$2:$C$210,'İndirimler'!$A$2:$A$210,B649,'İndirimler'!$B$2:$B$210,C649)&gt;0,ROUND(G649*(1-SUMIFS('İndirimler'!$C$2:$C$210,'İndirimler'!$A$2:$A$210,B649,'İndirimler'!$B$2:$B$210,C649)),2),"")</x:f>
      </x:c>
      <x:c r="I649" t="str">
        <x:f>IF(SUMIFS('İndirimler'!$D$2:$D$210,'İndirimler'!$A$2:$A$210,B649,'İndirimler'!$B$2:$B$210,C649)&gt;0,ROUND(G649*(1-SUMIFS('İndirimler'!$D$2:$D$210,'İndirimler'!$A$2:$A$210,B649,'İndirimler'!$B$2:$B$210,C649)),2),"")</x:f>
      </x:c>
      <x:c r="J649"/>
      <x:c r="K649"/>
    </x:row>
    <x:row r="650">
      <x:c r="A650"/>
      <x:c r="B650"/>
      <x:c r="C650"/>
      <x:c r="D650"/>
      <x:c r="E650"/>
      <x:c r="F650"/>
      <x:c r="G650"/>
      <x:c r="H650" t="str">
        <x:f>IF(SUMIFS('İndirimler'!$C$2:$C$210,'İndirimler'!$A$2:$A$210,B650,'İndirimler'!$B$2:$B$210,C650)&gt;0,ROUND(G650*(1-SUMIFS('İndirimler'!$C$2:$C$210,'İndirimler'!$A$2:$A$210,B650,'İndirimler'!$B$2:$B$210,C650)),2),"")</x:f>
      </x:c>
      <x:c r="I650" t="str">
        <x:f>IF(SUMIFS('İndirimler'!$D$2:$D$210,'İndirimler'!$A$2:$A$210,B650,'İndirimler'!$B$2:$B$210,C650)&gt;0,ROUND(G650*(1-SUMIFS('İndirimler'!$D$2:$D$210,'İndirimler'!$A$2:$A$210,B650,'İndirimler'!$B$2:$B$210,C650)),2),"")</x:f>
      </x:c>
      <x:c r="J650"/>
      <x:c r="K650"/>
    </x:row>
    <x:row r="651">
      <x:c r="A651"/>
      <x:c r="B651"/>
      <x:c r="C651"/>
      <x:c r="D651"/>
      <x:c r="E651"/>
      <x:c r="F651"/>
      <x:c r="G651"/>
      <x:c r="H651" t="str">
        <x:f>IF(SUMIFS('İndirimler'!$C$2:$C$210,'İndirimler'!$A$2:$A$210,B651,'İndirimler'!$B$2:$B$210,C651)&gt;0,ROUND(G651*(1-SUMIFS('İndirimler'!$C$2:$C$210,'İndirimler'!$A$2:$A$210,B651,'İndirimler'!$B$2:$B$210,C651)),2),"")</x:f>
      </x:c>
      <x:c r="I651" t="str">
        <x:f>IF(SUMIFS('İndirimler'!$D$2:$D$210,'İndirimler'!$A$2:$A$210,B651,'İndirimler'!$B$2:$B$210,C651)&gt;0,ROUND(G651*(1-SUMIFS('İndirimler'!$D$2:$D$210,'İndirimler'!$A$2:$A$210,B651,'İndirimler'!$B$2:$B$210,C651)),2),"")</x:f>
      </x:c>
      <x:c r="J651"/>
      <x:c r="K651"/>
    </x:row>
    <x:row r="652">
      <x:c r="A652"/>
      <x:c r="B652"/>
      <x:c r="C652"/>
      <x:c r="D652"/>
      <x:c r="E652"/>
      <x:c r="F652"/>
      <x:c r="G652"/>
      <x:c r="H652" t="str">
        <x:f>IF(SUMIFS('İndirimler'!$C$2:$C$210,'İndirimler'!$A$2:$A$210,B652,'İndirimler'!$B$2:$B$210,C652)&gt;0,ROUND(G652*(1-SUMIFS('İndirimler'!$C$2:$C$210,'İndirimler'!$A$2:$A$210,B652,'İndirimler'!$B$2:$B$210,C652)),2),"")</x:f>
      </x:c>
      <x:c r="I652" t="str">
        <x:f>IF(SUMIFS('İndirimler'!$D$2:$D$210,'İndirimler'!$A$2:$A$210,B652,'İndirimler'!$B$2:$B$210,C652)&gt;0,ROUND(G652*(1-SUMIFS('İndirimler'!$D$2:$D$210,'İndirimler'!$A$2:$A$210,B652,'İndirimler'!$B$2:$B$210,C652)),2),"")</x:f>
      </x:c>
      <x:c r="J652"/>
      <x:c r="K652"/>
    </x:row>
    <x:row r="653">
      <x:c r="A653"/>
      <x:c r="B653"/>
      <x:c r="C653"/>
      <x:c r="D653"/>
      <x:c r="E653"/>
      <x:c r="F653"/>
      <x:c r="G653"/>
      <x:c r="H653" t="str">
        <x:f>IF(SUMIFS('İndirimler'!$C$2:$C$210,'İndirimler'!$A$2:$A$210,B653,'İndirimler'!$B$2:$B$210,C653)&gt;0,ROUND(G653*(1-SUMIFS('İndirimler'!$C$2:$C$210,'İndirimler'!$A$2:$A$210,B653,'İndirimler'!$B$2:$B$210,C653)),2),"")</x:f>
      </x:c>
      <x:c r="I653" t="str">
        <x:f>IF(SUMIFS('İndirimler'!$D$2:$D$210,'İndirimler'!$A$2:$A$210,B653,'İndirimler'!$B$2:$B$210,C653)&gt;0,ROUND(G653*(1-SUMIFS('İndirimler'!$D$2:$D$210,'İndirimler'!$A$2:$A$210,B653,'İndirimler'!$B$2:$B$210,C653)),2),"")</x:f>
      </x:c>
      <x:c r="J653"/>
      <x:c r="K653"/>
    </x:row>
    <x:row r="654">
      <x:c r="A654"/>
      <x:c r="B654"/>
      <x:c r="C654"/>
      <x:c r="D654"/>
      <x:c r="E654"/>
      <x:c r="F654"/>
      <x:c r="G654"/>
      <x:c r="H654" t="str">
        <x:f>IF(SUMIFS('İndirimler'!$C$2:$C$210,'İndirimler'!$A$2:$A$210,B654,'İndirimler'!$B$2:$B$210,C654)&gt;0,ROUND(G654*(1-SUMIFS('İndirimler'!$C$2:$C$210,'İndirimler'!$A$2:$A$210,B654,'İndirimler'!$B$2:$B$210,C654)),2),"")</x:f>
      </x:c>
      <x:c r="I654" t="str">
        <x:f>IF(SUMIFS('İndirimler'!$D$2:$D$210,'İndirimler'!$A$2:$A$210,B654,'İndirimler'!$B$2:$B$210,C654)&gt;0,ROUND(G654*(1-SUMIFS('İndirimler'!$D$2:$D$210,'İndirimler'!$A$2:$A$210,B654,'İndirimler'!$B$2:$B$210,C654)),2),"")</x:f>
      </x:c>
      <x:c r="J654"/>
      <x:c r="K654"/>
    </x:row>
    <x:row r="655">
      <x:c r="A655"/>
      <x:c r="B655"/>
      <x:c r="C655"/>
      <x:c r="D655"/>
      <x:c r="E655"/>
      <x:c r="F655"/>
      <x:c r="G655"/>
      <x:c r="H655" t="str">
        <x:f>IF(SUMIFS('İndirimler'!$C$2:$C$210,'İndirimler'!$A$2:$A$210,B655,'İndirimler'!$B$2:$B$210,C655)&gt;0,ROUND(G655*(1-SUMIFS('İndirimler'!$C$2:$C$210,'İndirimler'!$A$2:$A$210,B655,'İndirimler'!$B$2:$B$210,C655)),2),"")</x:f>
      </x:c>
      <x:c r="I655" t="str">
        <x:f>IF(SUMIFS('İndirimler'!$D$2:$D$210,'İndirimler'!$A$2:$A$210,B655,'İndirimler'!$B$2:$B$210,C655)&gt;0,ROUND(G655*(1-SUMIFS('İndirimler'!$D$2:$D$210,'İndirimler'!$A$2:$A$210,B655,'İndirimler'!$B$2:$B$210,C655)),2),"")</x:f>
      </x:c>
      <x:c r="J655"/>
      <x:c r="K655"/>
    </x:row>
    <x:row r="656">
      <x:c r="A656"/>
      <x:c r="B656"/>
      <x:c r="C656"/>
      <x:c r="D656"/>
      <x:c r="E656"/>
      <x:c r="F656"/>
      <x:c r="G656"/>
      <x:c r="H656" t="str">
        <x:f>IF(SUMIFS('İndirimler'!$C$2:$C$210,'İndirimler'!$A$2:$A$210,B656,'İndirimler'!$B$2:$B$210,C656)&gt;0,ROUND(G656*(1-SUMIFS('İndirimler'!$C$2:$C$210,'İndirimler'!$A$2:$A$210,B656,'İndirimler'!$B$2:$B$210,C656)),2),"")</x:f>
      </x:c>
      <x:c r="I656" t="str">
        <x:f>IF(SUMIFS('İndirimler'!$D$2:$D$210,'İndirimler'!$A$2:$A$210,B656,'İndirimler'!$B$2:$B$210,C656)&gt;0,ROUND(G656*(1-SUMIFS('İndirimler'!$D$2:$D$210,'İndirimler'!$A$2:$A$210,B656,'İndirimler'!$B$2:$B$210,C656)),2),"")</x:f>
      </x:c>
      <x:c r="J656"/>
      <x:c r="K656"/>
    </x:row>
    <x:row r="657">
      <x:c r="A657"/>
      <x:c r="B657"/>
      <x:c r="C657"/>
      <x:c r="D657"/>
      <x:c r="E657"/>
      <x:c r="F657"/>
      <x:c r="G657"/>
      <x:c r="H657" t="str">
        <x:f>IF(SUMIFS('İndirimler'!$C$2:$C$210,'İndirimler'!$A$2:$A$210,B657,'İndirimler'!$B$2:$B$210,C657)&gt;0,ROUND(G657*(1-SUMIFS('İndirimler'!$C$2:$C$210,'İndirimler'!$A$2:$A$210,B657,'İndirimler'!$B$2:$B$210,C657)),2),"")</x:f>
      </x:c>
      <x:c r="I657" t="str">
        <x:f>IF(SUMIFS('İndirimler'!$D$2:$D$210,'İndirimler'!$A$2:$A$210,B657,'İndirimler'!$B$2:$B$210,C657)&gt;0,ROUND(G657*(1-SUMIFS('İndirimler'!$D$2:$D$210,'İndirimler'!$A$2:$A$210,B657,'İndirimler'!$B$2:$B$210,C657)),2),"")</x:f>
      </x:c>
      <x:c r="J657"/>
      <x:c r="K657"/>
    </x:row>
    <x:row r="658">
      <x:c r="A658"/>
      <x:c r="B658"/>
      <x:c r="C658"/>
      <x:c r="D658"/>
      <x:c r="E658"/>
      <x:c r="F658"/>
      <x:c r="G658"/>
      <x:c r="H658" t="str">
        <x:f>IF(SUMIFS('İndirimler'!$C$2:$C$210,'İndirimler'!$A$2:$A$210,B658,'İndirimler'!$B$2:$B$210,C658)&gt;0,ROUND(G658*(1-SUMIFS('İndirimler'!$C$2:$C$210,'İndirimler'!$A$2:$A$210,B658,'İndirimler'!$B$2:$B$210,C658)),2),"")</x:f>
      </x:c>
      <x:c r="I658" t="str">
        <x:f>IF(SUMIFS('İndirimler'!$D$2:$D$210,'İndirimler'!$A$2:$A$210,B658,'İndirimler'!$B$2:$B$210,C658)&gt;0,ROUND(G658*(1-SUMIFS('İndirimler'!$D$2:$D$210,'İndirimler'!$A$2:$A$210,B658,'İndirimler'!$B$2:$B$210,C658)),2),"")</x:f>
      </x:c>
      <x:c r="J658"/>
      <x:c r="K658"/>
    </x:row>
    <x:row r="659">
      <x:c r="A659"/>
      <x:c r="B659"/>
      <x:c r="C659"/>
      <x:c r="D659"/>
      <x:c r="E659"/>
      <x:c r="F659"/>
      <x:c r="G659"/>
      <x:c r="H659" t="str">
        <x:f>IF(SUMIFS('İndirimler'!$C$2:$C$210,'İndirimler'!$A$2:$A$210,B659,'İndirimler'!$B$2:$B$210,C659)&gt;0,ROUND(G659*(1-SUMIFS('İndirimler'!$C$2:$C$210,'İndirimler'!$A$2:$A$210,B659,'İndirimler'!$B$2:$B$210,C659)),2),"")</x:f>
      </x:c>
      <x:c r="I659" t="str">
        <x:f>IF(SUMIFS('İndirimler'!$D$2:$D$210,'İndirimler'!$A$2:$A$210,B659,'İndirimler'!$B$2:$B$210,C659)&gt;0,ROUND(G659*(1-SUMIFS('İndirimler'!$D$2:$D$210,'İndirimler'!$A$2:$A$210,B659,'İndirimler'!$B$2:$B$210,C659)),2),"")</x:f>
      </x:c>
      <x:c r="J659"/>
      <x:c r="K659"/>
    </x:row>
    <x:row r="660">
      <x:c r="A660"/>
      <x:c r="B660"/>
      <x:c r="C660"/>
      <x:c r="D660"/>
      <x:c r="E660"/>
      <x:c r="F660"/>
      <x:c r="G660"/>
      <x:c r="H660" t="str">
        <x:f>IF(SUMIFS('İndirimler'!$C$2:$C$210,'İndirimler'!$A$2:$A$210,B660,'İndirimler'!$B$2:$B$210,C660)&gt;0,ROUND(G660*(1-SUMIFS('İndirimler'!$C$2:$C$210,'İndirimler'!$A$2:$A$210,B660,'İndirimler'!$B$2:$B$210,C660)),2),"")</x:f>
      </x:c>
      <x:c r="I660" t="str">
        <x:f>IF(SUMIFS('İndirimler'!$D$2:$D$210,'İndirimler'!$A$2:$A$210,B660,'İndirimler'!$B$2:$B$210,C660)&gt;0,ROUND(G660*(1-SUMIFS('İndirimler'!$D$2:$D$210,'İndirimler'!$A$2:$A$210,B660,'İndirimler'!$B$2:$B$210,C660)),2),"")</x:f>
      </x:c>
      <x:c r="J660"/>
      <x:c r="K660"/>
    </x:row>
    <x:row r="661">
      <x:c r="A661"/>
      <x:c r="B661"/>
      <x:c r="C661"/>
      <x:c r="D661"/>
      <x:c r="E661"/>
      <x:c r="F661"/>
      <x:c r="G661"/>
      <x:c r="H661" t="str">
        <x:f>IF(SUMIFS('İndirimler'!$C$2:$C$210,'İndirimler'!$A$2:$A$210,B661,'İndirimler'!$B$2:$B$210,C661)&gt;0,ROUND(G661*(1-SUMIFS('İndirimler'!$C$2:$C$210,'İndirimler'!$A$2:$A$210,B661,'İndirimler'!$B$2:$B$210,C661)),2),"")</x:f>
      </x:c>
      <x:c r="I661" t="str">
        <x:f>IF(SUMIFS('İndirimler'!$D$2:$D$210,'İndirimler'!$A$2:$A$210,B661,'İndirimler'!$B$2:$B$210,C661)&gt;0,ROUND(G661*(1-SUMIFS('İndirimler'!$D$2:$D$210,'İndirimler'!$A$2:$A$210,B661,'İndirimler'!$B$2:$B$210,C661)),2),"")</x:f>
      </x:c>
      <x:c r="J661"/>
      <x:c r="K661"/>
    </x:row>
    <x:row r="662">
      <x:c r="A662"/>
      <x:c r="B662"/>
      <x:c r="C662"/>
      <x:c r="D662"/>
      <x:c r="E662"/>
      <x:c r="F662"/>
      <x:c r="G662"/>
      <x:c r="H662" t="str">
        <x:f>IF(SUMIFS('İndirimler'!$C$2:$C$210,'İndirimler'!$A$2:$A$210,B662,'İndirimler'!$B$2:$B$210,C662)&gt;0,ROUND(G662*(1-SUMIFS('İndirimler'!$C$2:$C$210,'İndirimler'!$A$2:$A$210,B662,'İndirimler'!$B$2:$B$210,C662)),2),"")</x:f>
      </x:c>
      <x:c r="I662" t="str">
        <x:f>IF(SUMIFS('İndirimler'!$D$2:$D$210,'İndirimler'!$A$2:$A$210,B662,'İndirimler'!$B$2:$B$210,C662)&gt;0,ROUND(G662*(1-SUMIFS('İndirimler'!$D$2:$D$210,'İndirimler'!$A$2:$A$210,B662,'İndirimler'!$B$2:$B$210,C662)),2),"")</x:f>
      </x:c>
      <x:c r="J662"/>
      <x:c r="K662"/>
    </x:row>
    <x:row r="663">
      <x:c r="A663"/>
      <x:c r="B663"/>
      <x:c r="C663"/>
      <x:c r="D663"/>
      <x:c r="E663"/>
      <x:c r="F663"/>
      <x:c r="G663"/>
      <x:c r="H663" t="str">
        <x:f>IF(SUMIFS('İndirimler'!$C$2:$C$210,'İndirimler'!$A$2:$A$210,B663,'İndirimler'!$B$2:$B$210,C663)&gt;0,ROUND(G663*(1-SUMIFS('İndirimler'!$C$2:$C$210,'İndirimler'!$A$2:$A$210,B663,'İndirimler'!$B$2:$B$210,C663)),2),"")</x:f>
      </x:c>
      <x:c r="I663" t="str">
        <x:f>IF(SUMIFS('İndirimler'!$D$2:$D$210,'İndirimler'!$A$2:$A$210,B663,'İndirimler'!$B$2:$B$210,C663)&gt;0,ROUND(G663*(1-SUMIFS('İndirimler'!$D$2:$D$210,'İndirimler'!$A$2:$A$210,B663,'İndirimler'!$B$2:$B$210,C663)),2),"")</x:f>
      </x:c>
      <x:c r="J663"/>
      <x:c r="K663"/>
    </x:row>
    <x:row r="664">
      <x:c r="A664"/>
      <x:c r="B664"/>
      <x:c r="C664"/>
      <x:c r="D664"/>
      <x:c r="E664"/>
      <x:c r="F664"/>
      <x:c r="G664"/>
      <x:c r="H664" t="str">
        <x:f>IF(SUMIFS('İndirimler'!$C$2:$C$210,'İndirimler'!$A$2:$A$210,B664,'İndirimler'!$B$2:$B$210,C664)&gt;0,ROUND(G664*(1-SUMIFS('İndirimler'!$C$2:$C$210,'İndirimler'!$A$2:$A$210,B664,'İndirimler'!$B$2:$B$210,C664)),2),"")</x:f>
      </x:c>
      <x:c r="I664" t="str">
        <x:f>IF(SUMIFS('İndirimler'!$D$2:$D$210,'İndirimler'!$A$2:$A$210,B664,'İndirimler'!$B$2:$B$210,C664)&gt;0,ROUND(G664*(1-SUMIFS('İndirimler'!$D$2:$D$210,'İndirimler'!$A$2:$A$210,B664,'İndirimler'!$B$2:$B$210,C664)),2),"")</x:f>
      </x:c>
      <x:c r="J664"/>
      <x:c r="K664"/>
    </x:row>
    <x:row r="665">
      <x:c r="A665"/>
      <x:c r="B665"/>
      <x:c r="C665"/>
      <x:c r="D665"/>
      <x:c r="E665"/>
      <x:c r="F665"/>
      <x:c r="G665"/>
      <x:c r="H665" t="str">
        <x:f>IF(SUMIFS('İndirimler'!$C$2:$C$210,'İndirimler'!$A$2:$A$210,B665,'İndirimler'!$B$2:$B$210,C665)&gt;0,ROUND(G665*(1-SUMIFS('İndirimler'!$C$2:$C$210,'İndirimler'!$A$2:$A$210,B665,'İndirimler'!$B$2:$B$210,C665)),2),"")</x:f>
      </x:c>
      <x:c r="I665" t="str">
        <x:f>IF(SUMIFS('İndirimler'!$D$2:$D$210,'İndirimler'!$A$2:$A$210,B665,'İndirimler'!$B$2:$B$210,C665)&gt;0,ROUND(G665*(1-SUMIFS('İndirimler'!$D$2:$D$210,'İndirimler'!$A$2:$A$210,B665,'İndirimler'!$B$2:$B$210,C665)),2),"")</x:f>
      </x:c>
      <x:c r="J665"/>
      <x:c r="K665"/>
    </x:row>
    <x:row r="666">
      <x:c r="A666"/>
      <x:c r="B666"/>
      <x:c r="C666"/>
      <x:c r="D666"/>
      <x:c r="E666"/>
      <x:c r="F666"/>
      <x:c r="G666"/>
      <x:c r="H666" t="str">
        <x:f>IF(SUMIFS('İndirimler'!$C$2:$C$210,'İndirimler'!$A$2:$A$210,B666,'İndirimler'!$B$2:$B$210,C666)&gt;0,ROUND(G666*(1-SUMIFS('İndirimler'!$C$2:$C$210,'İndirimler'!$A$2:$A$210,B666,'İndirimler'!$B$2:$B$210,C666)),2),"")</x:f>
      </x:c>
      <x:c r="I666" t="str">
        <x:f>IF(SUMIFS('İndirimler'!$D$2:$D$210,'İndirimler'!$A$2:$A$210,B666,'İndirimler'!$B$2:$B$210,C666)&gt;0,ROUND(G666*(1-SUMIFS('İndirimler'!$D$2:$D$210,'İndirimler'!$A$2:$A$210,B666,'İndirimler'!$B$2:$B$210,C666)),2),"")</x:f>
      </x:c>
      <x:c r="J666"/>
      <x:c r="K666"/>
    </x:row>
    <x:row r="667">
      <x:c r="A667"/>
      <x:c r="B667"/>
      <x:c r="C667"/>
      <x:c r="D667"/>
      <x:c r="E667"/>
      <x:c r="F667"/>
      <x:c r="G667"/>
      <x:c r="H667" t="str">
        <x:f>IF(SUMIFS('İndirimler'!$C$2:$C$210,'İndirimler'!$A$2:$A$210,B667,'İndirimler'!$B$2:$B$210,C667)&gt;0,ROUND(G667*(1-SUMIFS('İndirimler'!$C$2:$C$210,'İndirimler'!$A$2:$A$210,B667,'İndirimler'!$B$2:$B$210,C667)),2),"")</x:f>
      </x:c>
      <x:c r="I667" t="str">
        <x:f>IF(SUMIFS('İndirimler'!$D$2:$D$210,'İndirimler'!$A$2:$A$210,B667,'İndirimler'!$B$2:$B$210,C667)&gt;0,ROUND(G667*(1-SUMIFS('İndirimler'!$D$2:$D$210,'İndirimler'!$A$2:$A$210,B667,'İndirimler'!$B$2:$B$210,C667)),2),"")</x:f>
      </x:c>
      <x:c r="J667"/>
      <x:c r="K667"/>
    </x:row>
    <x:row r="668">
      <x:c r="A668"/>
      <x:c r="B668"/>
      <x:c r="C668"/>
      <x:c r="D668"/>
      <x:c r="E668"/>
      <x:c r="F668"/>
      <x:c r="G668"/>
      <x:c r="H668" t="str">
        <x:f>IF(SUMIFS('İndirimler'!$C$2:$C$210,'İndirimler'!$A$2:$A$210,B668,'İndirimler'!$B$2:$B$210,C668)&gt;0,ROUND(G668*(1-SUMIFS('İndirimler'!$C$2:$C$210,'İndirimler'!$A$2:$A$210,B668,'İndirimler'!$B$2:$B$210,C668)),2),"")</x:f>
      </x:c>
      <x:c r="I668" t="str">
        <x:f>IF(SUMIFS('İndirimler'!$D$2:$D$210,'İndirimler'!$A$2:$A$210,B668,'İndirimler'!$B$2:$B$210,C668)&gt;0,ROUND(G668*(1-SUMIFS('İndirimler'!$D$2:$D$210,'İndirimler'!$A$2:$A$210,B668,'İndirimler'!$B$2:$B$210,C668)),2),"")</x:f>
      </x:c>
      <x:c r="J668"/>
      <x:c r="K668"/>
    </x:row>
    <x:row r="669">
      <x:c r="A669"/>
      <x:c r="B669"/>
      <x:c r="C669"/>
      <x:c r="D669"/>
      <x:c r="E669"/>
      <x:c r="F669"/>
      <x:c r="G669"/>
      <x:c r="H669" t="str">
        <x:f>IF(SUMIFS('İndirimler'!$C$2:$C$210,'İndirimler'!$A$2:$A$210,B669,'İndirimler'!$B$2:$B$210,C669)&gt;0,ROUND(G669*(1-SUMIFS('İndirimler'!$C$2:$C$210,'İndirimler'!$A$2:$A$210,B669,'İndirimler'!$B$2:$B$210,C669)),2),"")</x:f>
      </x:c>
      <x:c r="I669" t="str">
        <x:f>IF(SUMIFS('İndirimler'!$D$2:$D$210,'İndirimler'!$A$2:$A$210,B669,'İndirimler'!$B$2:$B$210,C669)&gt;0,ROUND(G669*(1-SUMIFS('İndirimler'!$D$2:$D$210,'İndirimler'!$A$2:$A$210,B669,'İndirimler'!$B$2:$B$210,C669)),2),"")</x:f>
      </x:c>
      <x:c r="J669"/>
      <x:c r="K669"/>
    </x:row>
    <x:row r="670">
      <x:c r="A670"/>
      <x:c r="B670"/>
      <x:c r="C670"/>
      <x:c r="D670"/>
      <x:c r="E670"/>
      <x:c r="F670"/>
      <x:c r="G670"/>
      <x:c r="H670" t="str">
        <x:f>IF(SUMIFS('İndirimler'!$C$2:$C$210,'İndirimler'!$A$2:$A$210,B670,'İndirimler'!$B$2:$B$210,C670)&gt;0,ROUND(G670*(1-SUMIFS('İndirimler'!$C$2:$C$210,'İndirimler'!$A$2:$A$210,B670,'İndirimler'!$B$2:$B$210,C670)),2),"")</x:f>
      </x:c>
      <x:c r="I670" t="str">
        <x:f>IF(SUMIFS('İndirimler'!$D$2:$D$210,'İndirimler'!$A$2:$A$210,B670,'İndirimler'!$B$2:$B$210,C670)&gt;0,ROUND(G670*(1-SUMIFS('İndirimler'!$D$2:$D$210,'İndirimler'!$A$2:$A$210,B670,'İndirimler'!$B$2:$B$210,C670)),2),"")</x:f>
      </x:c>
      <x:c r="J670"/>
      <x:c r="K670"/>
    </x:row>
    <x:row r="671">
      <x:c r="A671"/>
      <x:c r="B671"/>
      <x:c r="C671"/>
      <x:c r="D671"/>
      <x:c r="E671"/>
      <x:c r="F671"/>
      <x:c r="G671"/>
      <x:c r="H671" t="str">
        <x:f>IF(SUMIFS('İndirimler'!$C$2:$C$210,'İndirimler'!$A$2:$A$210,B671,'İndirimler'!$B$2:$B$210,C671)&gt;0,ROUND(G671*(1-SUMIFS('İndirimler'!$C$2:$C$210,'İndirimler'!$A$2:$A$210,B671,'İndirimler'!$B$2:$B$210,C671)),2),"")</x:f>
      </x:c>
      <x:c r="I671" t="str">
        <x:f>IF(SUMIFS('İndirimler'!$D$2:$D$210,'İndirimler'!$A$2:$A$210,B671,'İndirimler'!$B$2:$B$210,C671)&gt;0,ROUND(G671*(1-SUMIFS('İndirimler'!$D$2:$D$210,'İndirimler'!$A$2:$A$210,B671,'İndirimler'!$B$2:$B$210,C671)),2),"")</x:f>
      </x:c>
      <x:c r="J671"/>
      <x:c r="K671"/>
    </x:row>
    <x:row r="672">
      <x:c r="A672"/>
      <x:c r="B672"/>
      <x:c r="C672"/>
      <x:c r="D672"/>
      <x:c r="E672"/>
      <x:c r="F672"/>
      <x:c r="G672"/>
      <x:c r="H672" t="str">
        <x:f>IF(SUMIFS('İndirimler'!$C$2:$C$210,'İndirimler'!$A$2:$A$210,B672,'İndirimler'!$B$2:$B$210,C672)&gt;0,ROUND(G672*(1-SUMIFS('İndirimler'!$C$2:$C$210,'İndirimler'!$A$2:$A$210,B672,'İndirimler'!$B$2:$B$210,C672)),2),"")</x:f>
      </x:c>
      <x:c r="I672" t="str">
        <x:f>IF(SUMIFS('İndirimler'!$D$2:$D$210,'İndirimler'!$A$2:$A$210,B672,'İndirimler'!$B$2:$B$210,C672)&gt;0,ROUND(G672*(1-SUMIFS('İndirimler'!$D$2:$D$210,'İndirimler'!$A$2:$A$210,B672,'İndirimler'!$B$2:$B$210,C672)),2),"")</x:f>
      </x:c>
      <x:c r="J672"/>
      <x:c r="K672"/>
    </x:row>
    <x:row r="673">
      <x:c r="A673"/>
      <x:c r="B673"/>
      <x:c r="C673"/>
      <x:c r="D673"/>
      <x:c r="E673"/>
      <x:c r="F673"/>
      <x:c r="G673"/>
      <x:c r="H673" t="str">
        <x:f>IF(SUMIFS('İndirimler'!$C$2:$C$210,'İndirimler'!$A$2:$A$210,B673,'İndirimler'!$B$2:$B$210,C673)&gt;0,ROUND(G673*(1-SUMIFS('İndirimler'!$C$2:$C$210,'İndirimler'!$A$2:$A$210,B673,'İndirimler'!$B$2:$B$210,C673)),2),"")</x:f>
      </x:c>
      <x:c r="I673" t="str">
        <x:f>IF(SUMIFS('İndirimler'!$D$2:$D$210,'İndirimler'!$A$2:$A$210,B673,'İndirimler'!$B$2:$B$210,C673)&gt;0,ROUND(G673*(1-SUMIFS('İndirimler'!$D$2:$D$210,'İndirimler'!$A$2:$A$210,B673,'İndirimler'!$B$2:$B$210,C673)),2),"")</x:f>
      </x:c>
      <x:c r="J673"/>
      <x:c r="K673"/>
    </x:row>
    <x:row r="674">
      <x:c r="A674"/>
      <x:c r="B674"/>
      <x:c r="C674"/>
      <x:c r="D674"/>
      <x:c r="E674"/>
      <x:c r="F674"/>
      <x:c r="G674"/>
      <x:c r="H674" t="str">
        <x:f>IF(SUMIFS('İndirimler'!$C$2:$C$210,'İndirimler'!$A$2:$A$210,B674,'İndirimler'!$B$2:$B$210,C674)&gt;0,ROUND(G674*(1-SUMIFS('İndirimler'!$C$2:$C$210,'İndirimler'!$A$2:$A$210,B674,'İndirimler'!$B$2:$B$210,C674)),2),"")</x:f>
      </x:c>
      <x:c r="I674" t="str">
        <x:f>IF(SUMIFS('İndirimler'!$D$2:$D$210,'İndirimler'!$A$2:$A$210,B674,'İndirimler'!$B$2:$B$210,C674)&gt;0,ROUND(G674*(1-SUMIFS('İndirimler'!$D$2:$D$210,'İndirimler'!$A$2:$A$210,B674,'İndirimler'!$B$2:$B$210,C674)),2),"")</x:f>
      </x:c>
      <x:c r="J674"/>
      <x:c r="K674"/>
    </x:row>
    <x:row r="675">
      <x:c r="A675"/>
      <x:c r="B675"/>
      <x:c r="C675"/>
      <x:c r="D675"/>
      <x:c r="E675"/>
      <x:c r="F675"/>
      <x:c r="G675"/>
      <x:c r="H675" t="str">
        <x:f>IF(SUMIFS('İndirimler'!$C$2:$C$210,'İndirimler'!$A$2:$A$210,B675,'İndirimler'!$B$2:$B$210,C675)&gt;0,ROUND(G675*(1-SUMIFS('İndirimler'!$C$2:$C$210,'İndirimler'!$A$2:$A$210,B675,'İndirimler'!$B$2:$B$210,C675)),2),"")</x:f>
      </x:c>
      <x:c r="I675" t="str">
        <x:f>IF(SUMIFS('İndirimler'!$D$2:$D$210,'İndirimler'!$A$2:$A$210,B675,'İndirimler'!$B$2:$B$210,C675)&gt;0,ROUND(G675*(1-SUMIFS('İndirimler'!$D$2:$D$210,'İndirimler'!$A$2:$A$210,B675,'İndirimler'!$B$2:$B$210,C675)),2),"")</x:f>
      </x:c>
      <x:c r="J675"/>
      <x:c r="K675"/>
    </x:row>
    <x:row r="676">
      <x:c r="A676"/>
      <x:c r="B676"/>
      <x:c r="C676"/>
      <x:c r="D676"/>
      <x:c r="E676"/>
      <x:c r="F676"/>
      <x:c r="G676"/>
      <x:c r="H676" t="str">
        <x:f>IF(SUMIFS('İndirimler'!$C$2:$C$210,'İndirimler'!$A$2:$A$210,B676,'İndirimler'!$B$2:$B$210,C676)&gt;0,ROUND(G676*(1-SUMIFS('İndirimler'!$C$2:$C$210,'İndirimler'!$A$2:$A$210,B676,'İndirimler'!$B$2:$B$210,C676)),2),"")</x:f>
      </x:c>
      <x:c r="I676" t="str">
        <x:f>IF(SUMIFS('İndirimler'!$D$2:$D$210,'İndirimler'!$A$2:$A$210,B676,'İndirimler'!$B$2:$B$210,C676)&gt;0,ROUND(G676*(1-SUMIFS('İndirimler'!$D$2:$D$210,'İndirimler'!$A$2:$A$210,B676,'İndirimler'!$B$2:$B$210,C676)),2),"")</x:f>
      </x:c>
      <x:c r="J676"/>
      <x:c r="K676"/>
    </x:row>
    <x:row r="677">
      <x:c r="A677"/>
      <x:c r="B677"/>
      <x:c r="C677"/>
      <x:c r="D677"/>
      <x:c r="E677"/>
      <x:c r="F677"/>
      <x:c r="G677"/>
      <x:c r="H677" t="str">
        <x:f>IF(SUMIFS('İndirimler'!$C$2:$C$210,'İndirimler'!$A$2:$A$210,B677,'İndirimler'!$B$2:$B$210,C677)&gt;0,ROUND(G677*(1-SUMIFS('İndirimler'!$C$2:$C$210,'İndirimler'!$A$2:$A$210,B677,'İndirimler'!$B$2:$B$210,C677)),2),"")</x:f>
      </x:c>
      <x:c r="I677" t="str">
        <x:f>IF(SUMIFS('İndirimler'!$D$2:$D$210,'İndirimler'!$A$2:$A$210,B677,'İndirimler'!$B$2:$B$210,C677)&gt;0,ROUND(G677*(1-SUMIFS('İndirimler'!$D$2:$D$210,'İndirimler'!$A$2:$A$210,B677,'İndirimler'!$B$2:$B$210,C677)),2),"")</x:f>
      </x:c>
      <x:c r="J677"/>
      <x:c r="K677"/>
    </x:row>
    <x:row r="678">
      <x:c r="A678"/>
      <x:c r="B678"/>
      <x:c r="C678"/>
      <x:c r="D678"/>
      <x:c r="E678"/>
      <x:c r="F678"/>
      <x:c r="G678"/>
      <x:c r="H678" t="str">
        <x:f>IF(SUMIFS('İndirimler'!$C$2:$C$210,'İndirimler'!$A$2:$A$210,B678,'İndirimler'!$B$2:$B$210,C678)&gt;0,ROUND(G678*(1-SUMIFS('İndirimler'!$C$2:$C$210,'İndirimler'!$A$2:$A$210,B678,'İndirimler'!$B$2:$B$210,C678)),2),"")</x:f>
      </x:c>
      <x:c r="I678" t="str">
        <x:f>IF(SUMIFS('İndirimler'!$D$2:$D$210,'İndirimler'!$A$2:$A$210,B678,'İndirimler'!$B$2:$B$210,C678)&gt;0,ROUND(G678*(1-SUMIFS('İndirimler'!$D$2:$D$210,'İndirimler'!$A$2:$A$210,B678,'İndirimler'!$B$2:$B$210,C678)),2),"")</x:f>
      </x:c>
      <x:c r="J678"/>
      <x:c r="K678"/>
    </x:row>
    <x:row r="679">
      <x:c r="A679"/>
      <x:c r="B679"/>
      <x:c r="C679"/>
      <x:c r="D679"/>
      <x:c r="E679"/>
      <x:c r="F679"/>
      <x:c r="G679"/>
      <x:c r="H679" t="str">
        <x:f>IF(SUMIFS('İndirimler'!$C$2:$C$210,'İndirimler'!$A$2:$A$210,B679,'İndirimler'!$B$2:$B$210,C679)&gt;0,ROUND(G679*(1-SUMIFS('İndirimler'!$C$2:$C$210,'İndirimler'!$A$2:$A$210,B679,'İndirimler'!$B$2:$B$210,C679)),2),"")</x:f>
      </x:c>
      <x:c r="I679" t="str">
        <x:f>IF(SUMIFS('İndirimler'!$D$2:$D$210,'İndirimler'!$A$2:$A$210,B679,'İndirimler'!$B$2:$B$210,C679)&gt;0,ROUND(G679*(1-SUMIFS('İndirimler'!$D$2:$D$210,'İndirimler'!$A$2:$A$210,B679,'İndirimler'!$B$2:$B$210,C679)),2),"")</x:f>
      </x:c>
      <x:c r="J679"/>
      <x:c r="K679"/>
    </x:row>
    <x:row r="680">
      <x:c r="A680"/>
      <x:c r="B680"/>
      <x:c r="C680"/>
      <x:c r="D680"/>
      <x:c r="E680"/>
      <x:c r="F680"/>
      <x:c r="G680"/>
      <x:c r="H680" t="str">
        <x:f>IF(SUMIFS('İndirimler'!$C$2:$C$210,'İndirimler'!$A$2:$A$210,B680,'İndirimler'!$B$2:$B$210,C680)&gt;0,ROUND(G680*(1-SUMIFS('İndirimler'!$C$2:$C$210,'İndirimler'!$A$2:$A$210,B680,'İndirimler'!$B$2:$B$210,C680)),2),"")</x:f>
      </x:c>
      <x:c r="I680" t="str">
        <x:f>IF(SUMIFS('İndirimler'!$D$2:$D$210,'İndirimler'!$A$2:$A$210,B680,'İndirimler'!$B$2:$B$210,C680)&gt;0,ROUND(G680*(1-SUMIFS('İndirimler'!$D$2:$D$210,'İndirimler'!$A$2:$A$210,B680,'İndirimler'!$B$2:$B$210,C680)),2),"")</x:f>
      </x:c>
      <x:c r="J680"/>
      <x:c r="K680"/>
    </x:row>
    <x:row r="681">
      <x:c r="A681"/>
      <x:c r="B681"/>
      <x:c r="C681"/>
      <x:c r="D681"/>
      <x:c r="E681"/>
      <x:c r="F681"/>
      <x:c r="G681"/>
      <x:c r="H681" t="str">
        <x:f>IF(SUMIFS('İndirimler'!$C$2:$C$210,'İndirimler'!$A$2:$A$210,B681,'İndirimler'!$B$2:$B$210,C681)&gt;0,ROUND(G681*(1-SUMIFS('İndirimler'!$C$2:$C$210,'İndirimler'!$A$2:$A$210,B681,'İndirimler'!$B$2:$B$210,C681)),2),"")</x:f>
      </x:c>
      <x:c r="I681" t="str">
        <x:f>IF(SUMIFS('İndirimler'!$D$2:$D$210,'İndirimler'!$A$2:$A$210,B681,'İndirimler'!$B$2:$B$210,C681)&gt;0,ROUND(G681*(1-SUMIFS('İndirimler'!$D$2:$D$210,'İndirimler'!$A$2:$A$210,B681,'İndirimler'!$B$2:$B$210,C681)),2),"")</x:f>
      </x:c>
      <x:c r="J681"/>
      <x:c r="K681"/>
    </x:row>
    <x:row r="682">
      <x:c r="A682"/>
      <x:c r="B682"/>
      <x:c r="C682"/>
      <x:c r="D682"/>
      <x:c r="E682"/>
      <x:c r="F682"/>
      <x:c r="G682"/>
      <x:c r="H682" t="str">
        <x:f>IF(SUMIFS('İndirimler'!$C$2:$C$210,'İndirimler'!$A$2:$A$210,B682,'İndirimler'!$B$2:$B$210,C682)&gt;0,ROUND(G682*(1-SUMIFS('İndirimler'!$C$2:$C$210,'İndirimler'!$A$2:$A$210,B682,'İndirimler'!$B$2:$B$210,C682)),2),"")</x:f>
      </x:c>
      <x:c r="I682" t="str">
        <x:f>IF(SUMIFS('İndirimler'!$D$2:$D$210,'İndirimler'!$A$2:$A$210,B682,'İndirimler'!$B$2:$B$210,C682)&gt;0,ROUND(G682*(1-SUMIFS('İndirimler'!$D$2:$D$210,'İndirimler'!$A$2:$A$210,B682,'İndirimler'!$B$2:$B$210,C682)),2),"")</x:f>
      </x:c>
      <x:c r="J682"/>
      <x:c r="K682"/>
    </x:row>
    <x:row r="683">
      <x:c r="A683"/>
      <x:c r="B683"/>
      <x:c r="C683"/>
      <x:c r="D683"/>
      <x:c r="E683"/>
      <x:c r="F683"/>
      <x:c r="G683"/>
      <x:c r="H683" t="str">
        <x:f>IF(SUMIFS('İndirimler'!$C$2:$C$210,'İndirimler'!$A$2:$A$210,B683,'İndirimler'!$B$2:$B$210,C683)&gt;0,ROUND(G683*(1-SUMIFS('İndirimler'!$C$2:$C$210,'İndirimler'!$A$2:$A$210,B683,'İndirimler'!$B$2:$B$210,C683)),2),"")</x:f>
      </x:c>
      <x:c r="I683" t="str">
        <x:f>IF(SUMIFS('İndirimler'!$D$2:$D$210,'İndirimler'!$A$2:$A$210,B683,'İndirimler'!$B$2:$B$210,C683)&gt;0,ROUND(G683*(1-SUMIFS('İndirimler'!$D$2:$D$210,'İndirimler'!$A$2:$A$210,B683,'İndirimler'!$B$2:$B$210,C683)),2),"")</x:f>
      </x:c>
      <x:c r="J683"/>
      <x:c r="K683"/>
    </x:row>
    <x:row r="684">
      <x:c r="A684"/>
      <x:c r="B684"/>
      <x:c r="C684"/>
      <x:c r="D684"/>
      <x:c r="E684"/>
      <x:c r="F684"/>
      <x:c r="G684"/>
      <x:c r="H684" t="str">
        <x:f>IF(SUMIFS('İndirimler'!$C$2:$C$210,'İndirimler'!$A$2:$A$210,B684,'İndirimler'!$B$2:$B$210,C684)&gt;0,ROUND(G684*(1-SUMIFS('İndirimler'!$C$2:$C$210,'İndirimler'!$A$2:$A$210,B684,'İndirimler'!$B$2:$B$210,C684)),2),"")</x:f>
      </x:c>
      <x:c r="I684" t="str">
        <x:f>IF(SUMIFS('İndirimler'!$D$2:$D$210,'İndirimler'!$A$2:$A$210,B684,'İndirimler'!$B$2:$B$210,C684)&gt;0,ROUND(G684*(1-SUMIFS('İndirimler'!$D$2:$D$210,'İndirimler'!$A$2:$A$210,B684,'İndirimler'!$B$2:$B$210,C684)),2),"")</x:f>
      </x:c>
      <x:c r="J684"/>
      <x:c r="K684"/>
    </x:row>
    <x:row r="685">
      <x:c r="A685"/>
      <x:c r="B685"/>
      <x:c r="C685"/>
      <x:c r="D685"/>
      <x:c r="E685"/>
      <x:c r="F685"/>
      <x:c r="G685"/>
      <x:c r="H685" t="str">
        <x:f>IF(SUMIFS('İndirimler'!$C$2:$C$210,'İndirimler'!$A$2:$A$210,B685,'İndirimler'!$B$2:$B$210,C685)&gt;0,ROUND(G685*(1-SUMIFS('İndirimler'!$C$2:$C$210,'İndirimler'!$A$2:$A$210,B685,'İndirimler'!$B$2:$B$210,C685)),2),"")</x:f>
      </x:c>
      <x:c r="I685" t="str">
        <x:f>IF(SUMIFS('İndirimler'!$D$2:$D$210,'İndirimler'!$A$2:$A$210,B685,'İndirimler'!$B$2:$B$210,C685)&gt;0,ROUND(G685*(1-SUMIFS('İndirimler'!$D$2:$D$210,'İndirimler'!$A$2:$A$210,B685,'İndirimler'!$B$2:$B$210,C685)),2),"")</x:f>
      </x:c>
      <x:c r="J685"/>
      <x:c r="K685"/>
    </x:row>
    <x:row r="686">
      <x:c r="A686"/>
      <x:c r="B686"/>
      <x:c r="C686"/>
      <x:c r="D686"/>
      <x:c r="E686"/>
      <x:c r="F686"/>
      <x:c r="G686"/>
      <x:c r="H686" t="str">
        <x:f>IF(SUMIFS('İndirimler'!$C$2:$C$210,'İndirimler'!$A$2:$A$210,B686,'İndirimler'!$B$2:$B$210,C686)&gt;0,ROUND(G686*(1-SUMIFS('İndirimler'!$C$2:$C$210,'İndirimler'!$A$2:$A$210,B686,'İndirimler'!$B$2:$B$210,C686)),2),"")</x:f>
      </x:c>
      <x:c r="I686" t="str">
        <x:f>IF(SUMIFS('İndirimler'!$D$2:$D$210,'İndirimler'!$A$2:$A$210,B686,'İndirimler'!$B$2:$B$210,C686)&gt;0,ROUND(G686*(1-SUMIFS('İndirimler'!$D$2:$D$210,'İndirimler'!$A$2:$A$210,B686,'İndirimler'!$B$2:$B$210,C686)),2),"")</x:f>
      </x:c>
      <x:c r="J686"/>
      <x:c r="K686"/>
    </x:row>
    <x:row r="687">
      <x:c r="A687"/>
      <x:c r="B687"/>
      <x:c r="C687"/>
      <x:c r="D687"/>
      <x:c r="E687"/>
      <x:c r="F687"/>
      <x:c r="G687"/>
      <x:c r="H687" t="str">
        <x:f>IF(SUMIFS('İndirimler'!$C$2:$C$210,'İndirimler'!$A$2:$A$210,B687,'İndirimler'!$B$2:$B$210,C687)&gt;0,ROUND(G687*(1-SUMIFS('İndirimler'!$C$2:$C$210,'İndirimler'!$A$2:$A$210,B687,'İndirimler'!$B$2:$B$210,C687)),2),"")</x:f>
      </x:c>
      <x:c r="I687" t="str">
        <x:f>IF(SUMIFS('İndirimler'!$D$2:$D$210,'İndirimler'!$A$2:$A$210,B687,'İndirimler'!$B$2:$B$210,C687)&gt;0,ROUND(G687*(1-SUMIFS('İndirimler'!$D$2:$D$210,'İndirimler'!$A$2:$A$210,B687,'İndirimler'!$B$2:$B$210,C687)),2),"")</x:f>
      </x:c>
      <x:c r="J687"/>
      <x:c r="K687"/>
    </x:row>
    <x:row r="688">
      <x:c r="A688"/>
      <x:c r="B688"/>
      <x:c r="C688"/>
      <x:c r="D688"/>
      <x:c r="E688"/>
      <x:c r="F688"/>
      <x:c r="G688"/>
      <x:c r="H688" t="str">
        <x:f>IF(SUMIFS('İndirimler'!$C$2:$C$210,'İndirimler'!$A$2:$A$210,B688,'İndirimler'!$B$2:$B$210,C688)&gt;0,ROUND(G688*(1-SUMIFS('İndirimler'!$C$2:$C$210,'İndirimler'!$A$2:$A$210,B688,'İndirimler'!$B$2:$B$210,C688)),2),"")</x:f>
      </x:c>
      <x:c r="I688" t="str">
        <x:f>IF(SUMIFS('İndirimler'!$D$2:$D$210,'İndirimler'!$A$2:$A$210,B688,'İndirimler'!$B$2:$B$210,C688)&gt;0,ROUND(G688*(1-SUMIFS('İndirimler'!$D$2:$D$210,'İndirimler'!$A$2:$A$210,B688,'İndirimler'!$B$2:$B$210,C688)),2),"")</x:f>
      </x:c>
      <x:c r="J688"/>
      <x:c r="K688"/>
    </x:row>
    <x:row r="689">
      <x:c r="A689"/>
      <x:c r="B689"/>
      <x:c r="C689"/>
      <x:c r="D689"/>
      <x:c r="E689"/>
      <x:c r="F689"/>
      <x:c r="G689"/>
      <x:c r="H689" t="str">
        <x:f>IF(SUMIFS('İndirimler'!$C$2:$C$210,'İndirimler'!$A$2:$A$210,B689,'İndirimler'!$B$2:$B$210,C689)&gt;0,ROUND(G689*(1-SUMIFS('İndirimler'!$C$2:$C$210,'İndirimler'!$A$2:$A$210,B689,'İndirimler'!$B$2:$B$210,C689)),2),"")</x:f>
      </x:c>
      <x:c r="I689" t="str">
        <x:f>IF(SUMIFS('İndirimler'!$D$2:$D$210,'İndirimler'!$A$2:$A$210,B689,'İndirimler'!$B$2:$B$210,C689)&gt;0,ROUND(G689*(1-SUMIFS('İndirimler'!$D$2:$D$210,'İndirimler'!$A$2:$A$210,B689,'İndirimler'!$B$2:$B$210,C689)),2),"")</x:f>
      </x:c>
      <x:c r="J689"/>
      <x:c r="K689"/>
    </x:row>
    <x:row r="690">
      <x:c r="A690"/>
      <x:c r="B690"/>
      <x:c r="C690"/>
      <x:c r="D690"/>
      <x:c r="E690"/>
      <x:c r="F690"/>
      <x:c r="G690"/>
      <x:c r="H690" t="str">
        <x:f>IF(SUMIFS('İndirimler'!$C$2:$C$210,'İndirimler'!$A$2:$A$210,B690,'İndirimler'!$B$2:$B$210,C690)&gt;0,ROUND(G690*(1-SUMIFS('İndirimler'!$C$2:$C$210,'İndirimler'!$A$2:$A$210,B690,'İndirimler'!$B$2:$B$210,C690)),2),"")</x:f>
      </x:c>
      <x:c r="I690" t="str">
        <x:f>IF(SUMIFS('İndirimler'!$D$2:$D$210,'İndirimler'!$A$2:$A$210,B690,'İndirimler'!$B$2:$B$210,C690)&gt;0,ROUND(G690*(1-SUMIFS('İndirimler'!$D$2:$D$210,'İndirimler'!$A$2:$A$210,B690,'İndirimler'!$B$2:$B$210,C690)),2),"")</x:f>
      </x:c>
      <x:c r="J690"/>
      <x:c r="K690"/>
    </x:row>
    <x:row r="691">
      <x:c r="A691"/>
      <x:c r="B691"/>
      <x:c r="C691"/>
      <x:c r="D691"/>
      <x:c r="E691"/>
      <x:c r="F691"/>
      <x:c r="G691"/>
      <x:c r="H691" t="str">
        <x:f>IF(SUMIFS('İndirimler'!$C$2:$C$210,'İndirimler'!$A$2:$A$210,B691,'İndirimler'!$B$2:$B$210,C691)&gt;0,ROUND(G691*(1-SUMIFS('İndirimler'!$C$2:$C$210,'İndirimler'!$A$2:$A$210,B691,'İndirimler'!$B$2:$B$210,C691)),2),"")</x:f>
      </x:c>
      <x:c r="I691" t="str">
        <x:f>IF(SUMIFS('İndirimler'!$D$2:$D$210,'İndirimler'!$A$2:$A$210,B691,'İndirimler'!$B$2:$B$210,C691)&gt;0,ROUND(G691*(1-SUMIFS('İndirimler'!$D$2:$D$210,'İndirimler'!$A$2:$A$210,B691,'İndirimler'!$B$2:$B$210,C691)),2),"")</x:f>
      </x:c>
      <x:c r="J691"/>
      <x:c r="K691"/>
    </x:row>
    <x:row r="692">
      <x:c r="A692"/>
      <x:c r="B692"/>
      <x:c r="C692"/>
      <x:c r="D692"/>
      <x:c r="E692"/>
      <x:c r="F692"/>
      <x:c r="G692"/>
      <x:c r="H692" t="str">
        <x:f>IF(SUMIFS('İndirimler'!$C$2:$C$210,'İndirimler'!$A$2:$A$210,B692,'İndirimler'!$B$2:$B$210,C692)&gt;0,ROUND(G692*(1-SUMIFS('İndirimler'!$C$2:$C$210,'İndirimler'!$A$2:$A$210,B692,'İndirimler'!$B$2:$B$210,C692)),2),"")</x:f>
      </x:c>
      <x:c r="I692" t="str">
        <x:f>IF(SUMIFS('İndirimler'!$D$2:$D$210,'İndirimler'!$A$2:$A$210,B692,'İndirimler'!$B$2:$B$210,C692)&gt;0,ROUND(G692*(1-SUMIFS('İndirimler'!$D$2:$D$210,'İndirimler'!$A$2:$A$210,B692,'İndirimler'!$B$2:$B$210,C692)),2),"")</x:f>
      </x:c>
      <x:c r="J692"/>
      <x:c r="K692"/>
    </x:row>
    <x:row r="693">
      <x:c r="A693"/>
      <x:c r="B693"/>
      <x:c r="C693"/>
      <x:c r="D693"/>
      <x:c r="E693"/>
      <x:c r="F693"/>
      <x:c r="G693"/>
      <x:c r="H693" t="str">
        <x:f>IF(SUMIFS('İndirimler'!$C$2:$C$210,'İndirimler'!$A$2:$A$210,B693,'İndirimler'!$B$2:$B$210,C693)&gt;0,ROUND(G693*(1-SUMIFS('İndirimler'!$C$2:$C$210,'İndirimler'!$A$2:$A$210,B693,'İndirimler'!$B$2:$B$210,C693)),2),"")</x:f>
      </x:c>
      <x:c r="I693" t="str">
        <x:f>IF(SUMIFS('İndirimler'!$D$2:$D$210,'İndirimler'!$A$2:$A$210,B693,'İndirimler'!$B$2:$B$210,C693)&gt;0,ROUND(G693*(1-SUMIFS('İndirimler'!$D$2:$D$210,'İndirimler'!$A$2:$A$210,B693,'İndirimler'!$B$2:$B$210,C693)),2),"")</x:f>
      </x:c>
      <x:c r="J693"/>
      <x:c r="K693"/>
    </x:row>
    <x:row r="694">
      <x:c r="A694"/>
      <x:c r="B694"/>
      <x:c r="C694"/>
      <x:c r="D694"/>
      <x:c r="E694"/>
      <x:c r="F694"/>
      <x:c r="G694"/>
      <x:c r="H694" t="str">
        <x:f>IF(SUMIFS('İndirimler'!$C$2:$C$210,'İndirimler'!$A$2:$A$210,B694,'İndirimler'!$B$2:$B$210,C694)&gt;0,ROUND(G694*(1-SUMIFS('İndirimler'!$C$2:$C$210,'İndirimler'!$A$2:$A$210,B694,'İndirimler'!$B$2:$B$210,C694)),2),"")</x:f>
      </x:c>
      <x:c r="I694" t="str">
        <x:f>IF(SUMIFS('İndirimler'!$D$2:$D$210,'İndirimler'!$A$2:$A$210,B694,'İndirimler'!$B$2:$B$210,C694)&gt;0,ROUND(G694*(1-SUMIFS('İndirimler'!$D$2:$D$210,'İndirimler'!$A$2:$A$210,B694,'İndirimler'!$B$2:$B$210,C694)),2),"")</x:f>
      </x:c>
      <x:c r="J694"/>
      <x:c r="K694"/>
    </x:row>
    <x:row r="695">
      <x:c r="A695"/>
      <x:c r="B695"/>
      <x:c r="C695"/>
      <x:c r="D695"/>
      <x:c r="E695"/>
      <x:c r="F695"/>
      <x:c r="G695"/>
      <x:c r="H695" t="str">
        <x:f>IF(SUMIFS('İndirimler'!$C$2:$C$210,'İndirimler'!$A$2:$A$210,B695,'İndirimler'!$B$2:$B$210,C695)&gt;0,ROUND(G695*(1-SUMIFS('İndirimler'!$C$2:$C$210,'İndirimler'!$A$2:$A$210,B695,'İndirimler'!$B$2:$B$210,C695)),2),"")</x:f>
      </x:c>
      <x:c r="I695" t="str">
        <x:f>IF(SUMIFS('İndirimler'!$D$2:$D$210,'İndirimler'!$A$2:$A$210,B695,'İndirimler'!$B$2:$B$210,C695)&gt;0,ROUND(G695*(1-SUMIFS('İndirimler'!$D$2:$D$210,'İndirimler'!$A$2:$A$210,B695,'İndirimler'!$B$2:$B$210,C695)),2),"")</x:f>
      </x:c>
      <x:c r="J695"/>
      <x:c r="K695"/>
    </x:row>
    <x:row r="696">
      <x:c r="A696"/>
      <x:c r="B696"/>
      <x:c r="C696"/>
      <x:c r="D696"/>
      <x:c r="E696"/>
      <x:c r="F696"/>
      <x:c r="G696"/>
      <x:c r="H696" t="str">
        <x:f>IF(SUMIFS('İndirimler'!$C$2:$C$210,'İndirimler'!$A$2:$A$210,B696,'İndirimler'!$B$2:$B$210,C696)&gt;0,ROUND(G696*(1-SUMIFS('İndirimler'!$C$2:$C$210,'İndirimler'!$A$2:$A$210,B696,'İndirimler'!$B$2:$B$210,C696)),2),"")</x:f>
      </x:c>
      <x:c r="I696" t="str">
        <x:f>IF(SUMIFS('İndirimler'!$D$2:$D$210,'İndirimler'!$A$2:$A$210,B696,'İndirimler'!$B$2:$B$210,C696)&gt;0,ROUND(G696*(1-SUMIFS('İndirimler'!$D$2:$D$210,'İndirimler'!$A$2:$A$210,B696,'İndirimler'!$B$2:$B$210,C696)),2),"")</x:f>
      </x:c>
      <x:c r="J696"/>
      <x:c r="K696"/>
    </x:row>
    <x:row r="697">
      <x:c r="A697"/>
      <x:c r="B697"/>
      <x:c r="C697"/>
      <x:c r="D697"/>
      <x:c r="E697"/>
      <x:c r="F697"/>
      <x:c r="G697"/>
      <x:c r="H697" t="str">
        <x:f>IF(SUMIFS('İndirimler'!$C$2:$C$210,'İndirimler'!$A$2:$A$210,B697,'İndirimler'!$B$2:$B$210,C697)&gt;0,ROUND(G697*(1-SUMIFS('İndirimler'!$C$2:$C$210,'İndirimler'!$A$2:$A$210,B697,'İndirimler'!$B$2:$B$210,C697)),2),"")</x:f>
      </x:c>
      <x:c r="I697" t="str">
        <x:f>IF(SUMIFS('İndirimler'!$D$2:$D$210,'İndirimler'!$A$2:$A$210,B697,'İndirimler'!$B$2:$B$210,C697)&gt;0,ROUND(G697*(1-SUMIFS('İndirimler'!$D$2:$D$210,'İndirimler'!$A$2:$A$210,B697,'İndirimler'!$B$2:$B$210,C697)),2),"")</x:f>
      </x:c>
      <x:c r="J697"/>
      <x:c r="K697"/>
    </x:row>
    <x:row r="698">
      <x:c r="A698"/>
      <x:c r="B698"/>
      <x:c r="C698"/>
      <x:c r="D698"/>
      <x:c r="E698"/>
      <x:c r="F698"/>
      <x:c r="G698"/>
      <x:c r="H698" t="str">
        <x:f>IF(SUMIFS('İndirimler'!$C$2:$C$210,'İndirimler'!$A$2:$A$210,B698,'İndirimler'!$B$2:$B$210,C698)&gt;0,ROUND(G698*(1-SUMIFS('İndirimler'!$C$2:$C$210,'İndirimler'!$A$2:$A$210,B698,'İndirimler'!$B$2:$B$210,C698)),2),"")</x:f>
      </x:c>
      <x:c r="I698" t="str">
        <x:f>IF(SUMIFS('İndirimler'!$D$2:$D$210,'İndirimler'!$A$2:$A$210,B698,'İndirimler'!$B$2:$B$210,C698)&gt;0,ROUND(G698*(1-SUMIFS('İndirimler'!$D$2:$D$210,'İndirimler'!$A$2:$A$210,B698,'İndirimler'!$B$2:$B$210,C698)),2),"")</x:f>
      </x:c>
      <x:c r="J698"/>
      <x:c r="K698"/>
    </x:row>
    <x:row r="699">
      <x:c r="A699"/>
      <x:c r="B699"/>
      <x:c r="C699"/>
      <x:c r="D699"/>
      <x:c r="E699"/>
      <x:c r="F699"/>
      <x:c r="G699"/>
      <x:c r="H699" t="str">
        <x:f>IF(SUMIFS('İndirimler'!$C$2:$C$210,'İndirimler'!$A$2:$A$210,B699,'İndirimler'!$B$2:$B$210,C699)&gt;0,ROUND(G699*(1-SUMIFS('İndirimler'!$C$2:$C$210,'İndirimler'!$A$2:$A$210,B699,'İndirimler'!$B$2:$B$210,C699)),2),"")</x:f>
      </x:c>
      <x:c r="I699" t="str">
        <x:f>IF(SUMIFS('İndirimler'!$D$2:$D$210,'İndirimler'!$A$2:$A$210,B699,'İndirimler'!$B$2:$B$210,C699)&gt;0,ROUND(G699*(1-SUMIFS('İndirimler'!$D$2:$D$210,'İndirimler'!$A$2:$A$210,B699,'İndirimler'!$B$2:$B$210,C699)),2),"")</x:f>
      </x:c>
      <x:c r="J699"/>
      <x:c r="K699"/>
    </x:row>
    <x:row r="700">
      <x:c r="A700"/>
      <x:c r="B700"/>
      <x:c r="C700"/>
      <x:c r="D700"/>
      <x:c r="E700"/>
      <x:c r="F700"/>
      <x:c r="G700"/>
      <x:c r="H700" t="str">
        <x:f>IF(SUMIFS('İndirimler'!$C$2:$C$210,'İndirimler'!$A$2:$A$210,B700,'İndirimler'!$B$2:$B$210,C700)&gt;0,ROUND(G700*(1-SUMIFS('İndirimler'!$C$2:$C$210,'İndirimler'!$A$2:$A$210,B700,'İndirimler'!$B$2:$B$210,C700)),2),"")</x:f>
      </x:c>
      <x:c r="I700" t="str">
        <x:f>IF(SUMIFS('İndirimler'!$D$2:$D$210,'İndirimler'!$A$2:$A$210,B700,'İndirimler'!$B$2:$B$210,C700)&gt;0,ROUND(G700*(1-SUMIFS('İndirimler'!$D$2:$D$210,'İndirimler'!$A$2:$A$210,B700,'İndirimler'!$B$2:$B$210,C700)),2),"")</x:f>
      </x:c>
      <x:c r="J700"/>
      <x:c r="K700"/>
    </x:row>
    <x:row r="701">
      <x:c r="A701"/>
      <x:c r="B701"/>
      <x:c r="C701"/>
      <x:c r="D701"/>
      <x:c r="E701"/>
      <x:c r="F701"/>
      <x:c r="G701"/>
      <x:c r="H701" t="str">
        <x:f>IF(SUMIFS('İndirimler'!$C$2:$C$210,'İndirimler'!$A$2:$A$210,B701,'İndirimler'!$B$2:$B$210,C701)&gt;0,ROUND(G701*(1-SUMIFS('İndirimler'!$C$2:$C$210,'İndirimler'!$A$2:$A$210,B701,'İndirimler'!$B$2:$B$210,C701)),2),"")</x:f>
      </x:c>
      <x:c r="I701" t="str">
        <x:f>IF(SUMIFS('İndirimler'!$D$2:$D$210,'İndirimler'!$A$2:$A$210,B701,'İndirimler'!$B$2:$B$210,C701)&gt;0,ROUND(G701*(1-SUMIFS('İndirimler'!$D$2:$D$210,'İndirimler'!$A$2:$A$210,B701,'İndirimler'!$B$2:$B$210,C701)),2),"")</x:f>
      </x:c>
      <x:c r="J701"/>
      <x:c r="K701"/>
    </x:row>
    <x:row r="702">
      <x:c r="A702"/>
      <x:c r="B702"/>
      <x:c r="C702"/>
      <x:c r="D702"/>
      <x:c r="E702"/>
      <x:c r="F702"/>
      <x:c r="G702"/>
      <x:c r="H702" t="str">
        <x:f>IF(SUMIFS('İndirimler'!$C$2:$C$210,'İndirimler'!$A$2:$A$210,B702,'İndirimler'!$B$2:$B$210,C702)&gt;0,ROUND(G702*(1-SUMIFS('İndirimler'!$C$2:$C$210,'İndirimler'!$A$2:$A$210,B702,'İndirimler'!$B$2:$B$210,C702)),2),"")</x:f>
      </x:c>
      <x:c r="I702" t="str">
        <x:f>IF(SUMIFS('İndirimler'!$D$2:$D$210,'İndirimler'!$A$2:$A$210,B702,'İndirimler'!$B$2:$B$210,C702)&gt;0,ROUND(G702*(1-SUMIFS('İndirimler'!$D$2:$D$210,'İndirimler'!$A$2:$A$210,B702,'İndirimler'!$B$2:$B$210,C702)),2),"")</x:f>
      </x:c>
      <x:c r="J702"/>
      <x:c r="K702"/>
    </x:row>
    <x:row r="703">
      <x:c r="A703"/>
      <x:c r="B703"/>
      <x:c r="C703"/>
      <x:c r="D703"/>
      <x:c r="E703"/>
      <x:c r="F703"/>
      <x:c r="G703"/>
      <x:c r="H703" t="str">
        <x:f>IF(SUMIFS('İndirimler'!$C$2:$C$210,'İndirimler'!$A$2:$A$210,B703,'İndirimler'!$B$2:$B$210,C703)&gt;0,ROUND(G703*(1-SUMIFS('İndirimler'!$C$2:$C$210,'İndirimler'!$A$2:$A$210,B703,'İndirimler'!$B$2:$B$210,C703)),2),"")</x:f>
      </x:c>
      <x:c r="I703" t="str">
        <x:f>IF(SUMIFS('İndirimler'!$D$2:$D$210,'İndirimler'!$A$2:$A$210,B703,'İndirimler'!$B$2:$B$210,C703)&gt;0,ROUND(G703*(1-SUMIFS('İndirimler'!$D$2:$D$210,'İndirimler'!$A$2:$A$210,B703,'İndirimler'!$B$2:$B$210,C703)),2),"")</x:f>
      </x:c>
      <x:c r="J703"/>
      <x:c r="K703"/>
    </x:row>
    <x:row r="704">
      <x:c r="A704"/>
      <x:c r="B704"/>
      <x:c r="C704"/>
      <x:c r="D704"/>
      <x:c r="E704"/>
      <x:c r="F704"/>
      <x:c r="G704"/>
      <x:c r="H704" t="str">
        <x:f>IF(SUMIFS('İndirimler'!$C$2:$C$210,'İndirimler'!$A$2:$A$210,B704,'İndirimler'!$B$2:$B$210,C704)&gt;0,ROUND(G704*(1-SUMIFS('İndirimler'!$C$2:$C$210,'İndirimler'!$A$2:$A$210,B704,'İndirimler'!$B$2:$B$210,C704)),2),"")</x:f>
      </x:c>
      <x:c r="I704" t="str">
        <x:f>IF(SUMIFS('İndirimler'!$D$2:$D$210,'İndirimler'!$A$2:$A$210,B704,'İndirimler'!$B$2:$B$210,C704)&gt;0,ROUND(G704*(1-SUMIFS('İndirimler'!$D$2:$D$210,'İndirimler'!$A$2:$A$210,B704,'İndirimler'!$B$2:$B$210,C704)),2),"")</x:f>
      </x:c>
      <x:c r="J704"/>
      <x:c r="K704"/>
    </x:row>
    <x:row r="705">
      <x:c r="A705"/>
      <x:c r="B705"/>
      <x:c r="C705"/>
      <x:c r="D705"/>
      <x:c r="E705"/>
      <x:c r="F705"/>
      <x:c r="G705"/>
      <x:c r="H705" t="str">
        <x:f>IF(SUMIFS('İndirimler'!$C$2:$C$210,'İndirimler'!$A$2:$A$210,B705,'İndirimler'!$B$2:$B$210,C705)&gt;0,ROUND(G705*(1-SUMIFS('İndirimler'!$C$2:$C$210,'İndirimler'!$A$2:$A$210,B705,'İndirimler'!$B$2:$B$210,C705)),2),"")</x:f>
      </x:c>
      <x:c r="I705" t="str">
        <x:f>IF(SUMIFS('İndirimler'!$D$2:$D$210,'İndirimler'!$A$2:$A$210,B705,'İndirimler'!$B$2:$B$210,C705)&gt;0,ROUND(G705*(1-SUMIFS('İndirimler'!$D$2:$D$210,'İndirimler'!$A$2:$A$210,B705,'İndirimler'!$B$2:$B$210,C705)),2),"")</x:f>
      </x:c>
      <x:c r="J705"/>
      <x:c r="K705"/>
    </x:row>
    <x:row r="706">
      <x:c r="A706"/>
      <x:c r="B706"/>
      <x:c r="C706"/>
      <x:c r="D706"/>
      <x:c r="E706"/>
      <x:c r="F706"/>
      <x:c r="G706"/>
      <x:c r="H706" t="str">
        <x:f>IF(SUMIFS('İndirimler'!$C$2:$C$210,'İndirimler'!$A$2:$A$210,B706,'İndirimler'!$B$2:$B$210,C706)&gt;0,ROUND(G706*(1-SUMIFS('İndirimler'!$C$2:$C$210,'İndirimler'!$A$2:$A$210,B706,'İndirimler'!$B$2:$B$210,C706)),2),"")</x:f>
      </x:c>
      <x:c r="I706" t="str">
        <x:f>IF(SUMIFS('İndirimler'!$D$2:$D$210,'İndirimler'!$A$2:$A$210,B706,'İndirimler'!$B$2:$B$210,C706)&gt;0,ROUND(G706*(1-SUMIFS('İndirimler'!$D$2:$D$210,'İndirimler'!$A$2:$A$210,B706,'İndirimler'!$B$2:$B$210,C706)),2),"")</x:f>
      </x:c>
      <x:c r="J706"/>
      <x:c r="K706"/>
    </x:row>
    <x:row r="707">
      <x:c r="A707"/>
      <x:c r="B707"/>
      <x:c r="C707"/>
      <x:c r="D707"/>
      <x:c r="E707"/>
      <x:c r="F707"/>
      <x:c r="G707"/>
      <x:c r="H707" t="str">
        <x:f>IF(SUMIFS('İndirimler'!$C$2:$C$210,'İndirimler'!$A$2:$A$210,B707,'İndirimler'!$B$2:$B$210,C707)&gt;0,ROUND(G707*(1-SUMIFS('İndirimler'!$C$2:$C$210,'İndirimler'!$A$2:$A$210,B707,'İndirimler'!$B$2:$B$210,C707)),2),"")</x:f>
      </x:c>
      <x:c r="I707" t="str">
        <x:f>IF(SUMIFS('İndirimler'!$D$2:$D$210,'İndirimler'!$A$2:$A$210,B707,'İndirimler'!$B$2:$B$210,C707)&gt;0,ROUND(G707*(1-SUMIFS('İndirimler'!$D$2:$D$210,'İndirimler'!$A$2:$A$210,B707,'İndirimler'!$B$2:$B$210,C707)),2),"")</x:f>
      </x:c>
      <x:c r="J707"/>
      <x:c r="K707"/>
    </x:row>
    <x:row r="708">
      <x:c r="A708"/>
      <x:c r="B708"/>
      <x:c r="C708"/>
      <x:c r="D708"/>
      <x:c r="E708"/>
      <x:c r="F708"/>
      <x:c r="G708"/>
      <x:c r="H708" t="str">
        <x:f>IF(SUMIFS('İndirimler'!$C$2:$C$210,'İndirimler'!$A$2:$A$210,B708,'İndirimler'!$B$2:$B$210,C708)&gt;0,ROUND(G708*(1-SUMIFS('İndirimler'!$C$2:$C$210,'İndirimler'!$A$2:$A$210,B708,'İndirimler'!$B$2:$B$210,C708)),2),"")</x:f>
      </x:c>
      <x:c r="I708" t="str">
        <x:f>IF(SUMIFS('İndirimler'!$D$2:$D$210,'İndirimler'!$A$2:$A$210,B708,'İndirimler'!$B$2:$B$210,C708)&gt;0,ROUND(G708*(1-SUMIFS('İndirimler'!$D$2:$D$210,'İndirimler'!$A$2:$A$210,B708,'İndirimler'!$B$2:$B$210,C708)),2),"")</x:f>
      </x:c>
      <x:c r="J708"/>
      <x:c r="K708"/>
    </x:row>
    <x:row r="709">
      <x:c r="A709"/>
      <x:c r="B709"/>
      <x:c r="C709"/>
      <x:c r="D709"/>
      <x:c r="E709"/>
      <x:c r="F709"/>
      <x:c r="G709"/>
      <x:c r="H709" t="str">
        <x:f>IF(SUMIFS('İndirimler'!$C$2:$C$210,'İndirimler'!$A$2:$A$210,B709,'İndirimler'!$B$2:$B$210,C709)&gt;0,ROUND(G709*(1-SUMIFS('İndirimler'!$C$2:$C$210,'İndirimler'!$A$2:$A$210,B709,'İndirimler'!$B$2:$B$210,C709)),2),"")</x:f>
      </x:c>
      <x:c r="I709" t="str">
        <x:f>IF(SUMIFS('İndirimler'!$D$2:$D$210,'İndirimler'!$A$2:$A$210,B709,'İndirimler'!$B$2:$B$210,C709)&gt;0,ROUND(G709*(1-SUMIFS('İndirimler'!$D$2:$D$210,'İndirimler'!$A$2:$A$210,B709,'İndirimler'!$B$2:$B$210,C709)),2),"")</x:f>
      </x:c>
      <x:c r="J709"/>
      <x:c r="K709"/>
    </x:row>
    <x:row r="710">
      <x:c r="A710"/>
      <x:c r="B710"/>
      <x:c r="C710"/>
      <x:c r="D710"/>
      <x:c r="E710"/>
      <x:c r="F710"/>
      <x:c r="G710"/>
      <x:c r="H710" t="str">
        <x:f>IF(SUMIFS('İndirimler'!$C$2:$C$210,'İndirimler'!$A$2:$A$210,B710,'İndirimler'!$B$2:$B$210,C710)&gt;0,ROUND(G710*(1-SUMIFS('İndirimler'!$C$2:$C$210,'İndirimler'!$A$2:$A$210,B710,'İndirimler'!$B$2:$B$210,C710)),2),"")</x:f>
      </x:c>
      <x:c r="I710" t="str">
        <x:f>IF(SUMIFS('İndirimler'!$D$2:$D$210,'İndirimler'!$A$2:$A$210,B710,'İndirimler'!$B$2:$B$210,C710)&gt;0,ROUND(G710*(1-SUMIFS('İndirimler'!$D$2:$D$210,'İndirimler'!$A$2:$A$210,B710,'İndirimler'!$B$2:$B$210,C710)),2),"")</x:f>
      </x:c>
      <x:c r="J710"/>
      <x:c r="K710"/>
    </x:row>
    <x:row r="711">
      <x:c r="A711"/>
      <x:c r="B711"/>
      <x:c r="C711"/>
      <x:c r="D711"/>
      <x:c r="E711"/>
      <x:c r="F711"/>
      <x:c r="G711"/>
      <x:c r="H711" t="str">
        <x:f>IF(SUMIFS('İndirimler'!$C$2:$C$210,'İndirimler'!$A$2:$A$210,B711,'İndirimler'!$B$2:$B$210,C711)&gt;0,ROUND(G711*(1-SUMIFS('İndirimler'!$C$2:$C$210,'İndirimler'!$A$2:$A$210,B711,'İndirimler'!$B$2:$B$210,C711)),2),"")</x:f>
      </x:c>
      <x:c r="I711" t="str">
        <x:f>IF(SUMIFS('İndirimler'!$D$2:$D$210,'İndirimler'!$A$2:$A$210,B711,'İndirimler'!$B$2:$B$210,C711)&gt;0,ROUND(G711*(1-SUMIFS('İndirimler'!$D$2:$D$210,'İndirimler'!$A$2:$A$210,B711,'İndirimler'!$B$2:$B$210,C711)),2),"")</x:f>
      </x:c>
      <x:c r="J711"/>
      <x:c r="K711"/>
    </x:row>
    <x:row r="712">
      <x:c r="A712"/>
      <x:c r="B712"/>
      <x:c r="C712"/>
      <x:c r="D712"/>
      <x:c r="E712"/>
      <x:c r="F712"/>
      <x:c r="G712"/>
      <x:c r="H712" t="str">
        <x:f>IF(SUMIFS('İndirimler'!$C$2:$C$210,'İndirimler'!$A$2:$A$210,B712,'İndirimler'!$B$2:$B$210,C712)&gt;0,ROUND(G712*(1-SUMIFS('İndirimler'!$C$2:$C$210,'İndirimler'!$A$2:$A$210,B712,'İndirimler'!$B$2:$B$210,C712)),2),"")</x:f>
      </x:c>
      <x:c r="I712" t="str">
        <x:f>IF(SUMIFS('İndirimler'!$D$2:$D$210,'İndirimler'!$A$2:$A$210,B712,'İndirimler'!$B$2:$B$210,C712)&gt;0,ROUND(G712*(1-SUMIFS('İndirimler'!$D$2:$D$210,'İndirimler'!$A$2:$A$210,B712,'İndirimler'!$B$2:$B$210,C712)),2),"")</x:f>
      </x:c>
      <x:c r="J712"/>
      <x:c r="K712"/>
    </x:row>
    <x:row r="713">
      <x:c r="A713"/>
      <x:c r="B713"/>
      <x:c r="C713"/>
      <x:c r="D713"/>
      <x:c r="E713"/>
      <x:c r="F713"/>
      <x:c r="G713"/>
      <x:c r="H713" t="str">
        <x:f>IF(SUMIFS('İndirimler'!$C$2:$C$210,'İndirimler'!$A$2:$A$210,B713,'İndirimler'!$B$2:$B$210,C713)&gt;0,ROUND(G713*(1-SUMIFS('İndirimler'!$C$2:$C$210,'İndirimler'!$A$2:$A$210,B713,'İndirimler'!$B$2:$B$210,C713)),2),"")</x:f>
      </x:c>
      <x:c r="I713" t="str">
        <x:f>IF(SUMIFS('İndirimler'!$D$2:$D$210,'İndirimler'!$A$2:$A$210,B713,'İndirimler'!$B$2:$B$210,C713)&gt;0,ROUND(G713*(1-SUMIFS('İndirimler'!$D$2:$D$210,'İndirimler'!$A$2:$A$210,B713,'İndirimler'!$B$2:$B$210,C713)),2),"")</x:f>
      </x:c>
      <x:c r="J713"/>
      <x:c r="K713"/>
    </x:row>
    <x:row r="714">
      <x:c r="A714"/>
      <x:c r="B714"/>
      <x:c r="C714"/>
      <x:c r="D714"/>
      <x:c r="E714"/>
      <x:c r="F714"/>
      <x:c r="G714"/>
      <x:c r="H714" t="str">
        <x:f>IF(SUMIFS('İndirimler'!$C$2:$C$210,'İndirimler'!$A$2:$A$210,B714,'İndirimler'!$B$2:$B$210,C714)&gt;0,ROUND(G714*(1-SUMIFS('İndirimler'!$C$2:$C$210,'İndirimler'!$A$2:$A$210,B714,'İndirimler'!$B$2:$B$210,C714)),2),"")</x:f>
      </x:c>
      <x:c r="I714" t="str">
        <x:f>IF(SUMIFS('İndirimler'!$D$2:$D$210,'İndirimler'!$A$2:$A$210,B714,'İndirimler'!$B$2:$B$210,C714)&gt;0,ROUND(G714*(1-SUMIFS('İndirimler'!$D$2:$D$210,'İndirimler'!$A$2:$A$210,B714,'İndirimler'!$B$2:$B$210,C714)),2),"")</x:f>
      </x:c>
      <x:c r="J714"/>
      <x:c r="K714"/>
    </x:row>
    <x:row r="715">
      <x:c r="A715"/>
      <x:c r="B715"/>
      <x:c r="C715"/>
      <x:c r="D715"/>
      <x:c r="E715"/>
      <x:c r="F715"/>
      <x:c r="G715"/>
      <x:c r="H715" t="str">
        <x:f>IF(SUMIFS('İndirimler'!$C$2:$C$210,'İndirimler'!$A$2:$A$210,B715,'İndirimler'!$B$2:$B$210,C715)&gt;0,ROUND(G715*(1-SUMIFS('İndirimler'!$C$2:$C$210,'İndirimler'!$A$2:$A$210,B715,'İndirimler'!$B$2:$B$210,C715)),2),"")</x:f>
      </x:c>
      <x:c r="I715" t="str">
        <x:f>IF(SUMIFS('İndirimler'!$D$2:$D$210,'İndirimler'!$A$2:$A$210,B715,'İndirimler'!$B$2:$B$210,C715)&gt;0,ROUND(G715*(1-SUMIFS('İndirimler'!$D$2:$D$210,'İndirimler'!$A$2:$A$210,B715,'İndirimler'!$B$2:$B$210,C715)),2),"")</x:f>
      </x:c>
      <x:c r="J715"/>
      <x:c r="K715"/>
    </x:row>
    <x:row r="716">
      <x:c r="A716"/>
      <x:c r="B716"/>
      <x:c r="C716"/>
      <x:c r="D716"/>
      <x:c r="E716"/>
      <x:c r="F716"/>
      <x:c r="G716"/>
      <x:c r="H716" t="str">
        <x:f>IF(SUMIFS('İndirimler'!$C$2:$C$210,'İndirimler'!$A$2:$A$210,B716,'İndirimler'!$B$2:$B$210,C716)&gt;0,ROUND(G716*(1-SUMIFS('İndirimler'!$C$2:$C$210,'İndirimler'!$A$2:$A$210,B716,'İndirimler'!$B$2:$B$210,C716)),2),"")</x:f>
      </x:c>
      <x:c r="I716" t="str">
        <x:f>IF(SUMIFS('İndirimler'!$D$2:$D$210,'İndirimler'!$A$2:$A$210,B716,'İndirimler'!$B$2:$B$210,C716)&gt;0,ROUND(G716*(1-SUMIFS('İndirimler'!$D$2:$D$210,'İndirimler'!$A$2:$A$210,B716,'İndirimler'!$B$2:$B$210,C716)),2),"")</x:f>
      </x:c>
      <x:c r="J716"/>
      <x:c r="K716"/>
    </x:row>
    <x:row r="717">
      <x:c r="A717"/>
      <x:c r="B717"/>
      <x:c r="C717"/>
      <x:c r="D717"/>
      <x:c r="E717"/>
      <x:c r="F717"/>
      <x:c r="G717"/>
      <x:c r="H717" t="str">
        <x:f>IF(SUMIFS('İndirimler'!$C$2:$C$210,'İndirimler'!$A$2:$A$210,B717,'İndirimler'!$B$2:$B$210,C717)&gt;0,ROUND(G717*(1-SUMIFS('İndirimler'!$C$2:$C$210,'İndirimler'!$A$2:$A$210,B717,'İndirimler'!$B$2:$B$210,C717)),2),"")</x:f>
      </x:c>
      <x:c r="I717" t="str">
        <x:f>IF(SUMIFS('İndirimler'!$D$2:$D$210,'İndirimler'!$A$2:$A$210,B717,'İndirimler'!$B$2:$B$210,C717)&gt;0,ROUND(G717*(1-SUMIFS('İndirimler'!$D$2:$D$210,'İndirimler'!$A$2:$A$210,B717,'İndirimler'!$B$2:$B$210,C717)),2),"")</x:f>
      </x:c>
      <x:c r="J717"/>
      <x:c r="K717"/>
    </x:row>
    <x:row r="718">
      <x:c r="A718"/>
      <x:c r="B718"/>
      <x:c r="C718"/>
      <x:c r="D718"/>
      <x:c r="E718"/>
      <x:c r="F718"/>
      <x:c r="G718"/>
      <x:c r="H718" t="str">
        <x:f>IF(SUMIFS('İndirimler'!$C$2:$C$210,'İndirimler'!$A$2:$A$210,B718,'İndirimler'!$B$2:$B$210,C718)&gt;0,ROUND(G718*(1-SUMIFS('İndirimler'!$C$2:$C$210,'İndirimler'!$A$2:$A$210,B718,'İndirimler'!$B$2:$B$210,C718)),2),"")</x:f>
      </x:c>
      <x:c r="I718" t="str">
        <x:f>IF(SUMIFS('İndirimler'!$D$2:$D$210,'İndirimler'!$A$2:$A$210,B718,'İndirimler'!$B$2:$B$210,C718)&gt;0,ROUND(G718*(1-SUMIFS('İndirimler'!$D$2:$D$210,'İndirimler'!$A$2:$A$210,B718,'İndirimler'!$B$2:$B$210,C718)),2),"")</x:f>
      </x:c>
      <x:c r="J718"/>
      <x:c r="K718"/>
    </x:row>
    <x:row r="719">
      <x:c r="A719"/>
      <x:c r="B719"/>
      <x:c r="C719"/>
      <x:c r="D719"/>
      <x:c r="E719"/>
      <x:c r="F719"/>
      <x:c r="G719"/>
      <x:c r="H719" t="str">
        <x:f>IF(SUMIFS('İndirimler'!$C$2:$C$210,'İndirimler'!$A$2:$A$210,B719,'İndirimler'!$B$2:$B$210,C719)&gt;0,ROUND(G719*(1-SUMIFS('İndirimler'!$C$2:$C$210,'İndirimler'!$A$2:$A$210,B719,'İndirimler'!$B$2:$B$210,C719)),2),"")</x:f>
      </x:c>
      <x:c r="I719" t="str">
        <x:f>IF(SUMIFS('İndirimler'!$D$2:$D$210,'İndirimler'!$A$2:$A$210,B719,'İndirimler'!$B$2:$B$210,C719)&gt;0,ROUND(G719*(1-SUMIFS('İndirimler'!$D$2:$D$210,'İndirimler'!$A$2:$A$210,B719,'İndirimler'!$B$2:$B$210,C719)),2),"")</x:f>
      </x:c>
      <x:c r="J719"/>
      <x:c r="K719"/>
    </x:row>
    <x:row r="720">
      <x:c r="A720"/>
      <x:c r="B720"/>
      <x:c r="C720"/>
      <x:c r="D720"/>
      <x:c r="E720"/>
      <x:c r="F720"/>
      <x:c r="G720"/>
      <x:c r="H720" t="str">
        <x:f>IF(SUMIFS('İndirimler'!$C$2:$C$210,'İndirimler'!$A$2:$A$210,B720,'İndirimler'!$B$2:$B$210,C720)&gt;0,ROUND(G720*(1-SUMIFS('İndirimler'!$C$2:$C$210,'İndirimler'!$A$2:$A$210,B720,'İndirimler'!$B$2:$B$210,C720)),2),"")</x:f>
      </x:c>
      <x:c r="I720" t="str">
        <x:f>IF(SUMIFS('İndirimler'!$D$2:$D$210,'İndirimler'!$A$2:$A$210,B720,'İndirimler'!$B$2:$B$210,C720)&gt;0,ROUND(G720*(1-SUMIFS('İndirimler'!$D$2:$D$210,'İndirimler'!$A$2:$A$210,B720,'İndirimler'!$B$2:$B$210,C720)),2),"")</x:f>
      </x:c>
      <x:c r="J720"/>
      <x:c r="K720"/>
    </x:row>
    <x:row r="721">
      <x:c r="A721"/>
      <x:c r="B721"/>
      <x:c r="C721"/>
      <x:c r="D721"/>
      <x:c r="E721"/>
      <x:c r="F721"/>
      <x:c r="G721"/>
      <x:c r="H721" t="str">
        <x:f>IF(SUMIFS('İndirimler'!$C$2:$C$210,'İndirimler'!$A$2:$A$210,B721,'İndirimler'!$B$2:$B$210,C721)&gt;0,ROUND(G721*(1-SUMIFS('İndirimler'!$C$2:$C$210,'İndirimler'!$A$2:$A$210,B721,'İndirimler'!$B$2:$B$210,C721)),2),"")</x:f>
      </x:c>
      <x:c r="I721" t="str">
        <x:f>IF(SUMIFS('İndirimler'!$D$2:$D$210,'İndirimler'!$A$2:$A$210,B721,'İndirimler'!$B$2:$B$210,C721)&gt;0,ROUND(G721*(1-SUMIFS('İndirimler'!$D$2:$D$210,'İndirimler'!$A$2:$A$210,B721,'İndirimler'!$B$2:$B$210,C721)),2),"")</x:f>
      </x:c>
      <x:c r="J721"/>
      <x:c r="K721"/>
    </x:row>
    <x:row r="722">
      <x:c r="A722"/>
      <x:c r="B722"/>
      <x:c r="C722"/>
      <x:c r="D722"/>
      <x:c r="E722"/>
      <x:c r="F722"/>
      <x:c r="G722"/>
      <x:c r="H722" t="str">
        <x:f>IF(SUMIFS('İndirimler'!$C$2:$C$210,'İndirimler'!$A$2:$A$210,B722,'İndirimler'!$B$2:$B$210,C722)&gt;0,ROUND(G722*(1-SUMIFS('İndirimler'!$C$2:$C$210,'İndirimler'!$A$2:$A$210,B722,'İndirimler'!$B$2:$B$210,C722)),2),"")</x:f>
      </x:c>
      <x:c r="I722" t="str">
        <x:f>IF(SUMIFS('İndirimler'!$D$2:$D$210,'İndirimler'!$A$2:$A$210,B722,'İndirimler'!$B$2:$B$210,C722)&gt;0,ROUND(G722*(1-SUMIFS('İndirimler'!$D$2:$D$210,'İndirimler'!$A$2:$A$210,B722,'İndirimler'!$B$2:$B$210,C722)),2),"")</x:f>
      </x:c>
      <x:c r="J722"/>
      <x:c r="K722"/>
    </x:row>
    <x:row r="723">
      <x:c r="A723"/>
      <x:c r="B723"/>
      <x:c r="C723"/>
      <x:c r="D723"/>
      <x:c r="E723"/>
      <x:c r="F723"/>
      <x:c r="G723"/>
      <x:c r="H723" t="str">
        <x:f>IF(SUMIFS('İndirimler'!$C$2:$C$210,'İndirimler'!$A$2:$A$210,B723,'İndirimler'!$B$2:$B$210,C723)&gt;0,ROUND(G723*(1-SUMIFS('İndirimler'!$C$2:$C$210,'İndirimler'!$A$2:$A$210,B723,'İndirimler'!$B$2:$B$210,C723)),2),"")</x:f>
      </x:c>
      <x:c r="I723" t="str">
        <x:f>IF(SUMIFS('İndirimler'!$D$2:$D$210,'İndirimler'!$A$2:$A$210,B723,'İndirimler'!$B$2:$B$210,C723)&gt;0,ROUND(G723*(1-SUMIFS('İndirimler'!$D$2:$D$210,'İndirimler'!$A$2:$A$210,B723,'İndirimler'!$B$2:$B$210,C723)),2),"")</x:f>
      </x:c>
      <x:c r="J723"/>
      <x:c r="K723"/>
    </x:row>
    <x:row r="724">
      <x:c r="A724"/>
      <x:c r="B724"/>
      <x:c r="C724"/>
      <x:c r="D724"/>
      <x:c r="E724"/>
      <x:c r="F724"/>
      <x:c r="G724"/>
      <x:c r="H724" t="str">
        <x:f>IF(SUMIFS('İndirimler'!$C$2:$C$210,'İndirimler'!$A$2:$A$210,B724,'İndirimler'!$B$2:$B$210,C724)&gt;0,ROUND(G724*(1-SUMIFS('İndirimler'!$C$2:$C$210,'İndirimler'!$A$2:$A$210,B724,'İndirimler'!$B$2:$B$210,C724)),2),"")</x:f>
      </x:c>
      <x:c r="I724" t="str">
        <x:f>IF(SUMIFS('İndirimler'!$D$2:$D$210,'İndirimler'!$A$2:$A$210,B724,'İndirimler'!$B$2:$B$210,C724)&gt;0,ROUND(G724*(1-SUMIFS('İndirimler'!$D$2:$D$210,'İndirimler'!$A$2:$A$210,B724,'İndirimler'!$B$2:$B$210,C724)),2),"")</x:f>
      </x:c>
      <x:c r="J724"/>
      <x:c r="K724"/>
    </x:row>
    <x:row r="725">
      <x:c r="A725"/>
      <x:c r="B725"/>
      <x:c r="C725"/>
      <x:c r="D725"/>
      <x:c r="E725"/>
      <x:c r="F725"/>
      <x:c r="G725"/>
      <x:c r="H725" t="str">
        <x:f>IF(SUMIFS('İndirimler'!$C$2:$C$210,'İndirimler'!$A$2:$A$210,B725,'İndirimler'!$B$2:$B$210,C725)&gt;0,ROUND(G725*(1-SUMIFS('İndirimler'!$C$2:$C$210,'İndirimler'!$A$2:$A$210,B725,'İndirimler'!$B$2:$B$210,C725)),2),"")</x:f>
      </x:c>
      <x:c r="I725" t="str">
        <x:f>IF(SUMIFS('İndirimler'!$D$2:$D$210,'İndirimler'!$A$2:$A$210,B725,'İndirimler'!$B$2:$B$210,C725)&gt;0,ROUND(G725*(1-SUMIFS('İndirimler'!$D$2:$D$210,'İndirimler'!$A$2:$A$210,B725,'İndirimler'!$B$2:$B$210,C725)),2),"")</x:f>
      </x:c>
      <x:c r="J725"/>
      <x:c r="K725"/>
    </x:row>
    <x:row r="726">
      <x:c r="A726"/>
      <x:c r="B726"/>
      <x:c r="C726"/>
      <x:c r="D726"/>
      <x:c r="E726"/>
      <x:c r="F726"/>
      <x:c r="G726"/>
      <x:c r="H726" t="str">
        <x:f>IF(SUMIFS('İndirimler'!$C$2:$C$210,'İndirimler'!$A$2:$A$210,B726,'İndirimler'!$B$2:$B$210,C726)&gt;0,ROUND(G726*(1-SUMIFS('İndirimler'!$C$2:$C$210,'İndirimler'!$A$2:$A$210,B726,'İndirimler'!$B$2:$B$210,C726)),2),"")</x:f>
      </x:c>
      <x:c r="I726" t="str">
        <x:f>IF(SUMIFS('İndirimler'!$D$2:$D$210,'İndirimler'!$A$2:$A$210,B726,'İndirimler'!$B$2:$B$210,C726)&gt;0,ROUND(G726*(1-SUMIFS('İndirimler'!$D$2:$D$210,'İndirimler'!$A$2:$A$210,B726,'İndirimler'!$B$2:$B$210,C726)),2),"")</x:f>
      </x:c>
      <x:c r="J726"/>
      <x:c r="K726"/>
    </x:row>
    <x:row r="727">
      <x:c r="A727"/>
      <x:c r="B727"/>
      <x:c r="C727"/>
      <x:c r="D727"/>
      <x:c r="E727"/>
      <x:c r="F727"/>
      <x:c r="G727"/>
      <x:c r="H727" t="str">
        <x:f>IF(SUMIFS('İndirimler'!$C$2:$C$210,'İndirimler'!$A$2:$A$210,B727,'İndirimler'!$B$2:$B$210,C727)&gt;0,ROUND(G727*(1-SUMIFS('İndirimler'!$C$2:$C$210,'İndirimler'!$A$2:$A$210,B727,'İndirimler'!$B$2:$B$210,C727)),2),"")</x:f>
      </x:c>
      <x:c r="I727" t="str">
        <x:f>IF(SUMIFS('İndirimler'!$D$2:$D$210,'İndirimler'!$A$2:$A$210,B727,'İndirimler'!$B$2:$B$210,C727)&gt;0,ROUND(G727*(1-SUMIFS('İndirimler'!$D$2:$D$210,'İndirimler'!$A$2:$A$210,B727,'İndirimler'!$B$2:$B$210,C727)),2),"")</x:f>
      </x:c>
      <x:c r="J727"/>
      <x:c r="K727"/>
    </x:row>
    <x:row r="728">
      <x:c r="A728"/>
      <x:c r="B728"/>
      <x:c r="C728"/>
      <x:c r="D728"/>
      <x:c r="E728"/>
      <x:c r="F728"/>
      <x:c r="G728"/>
      <x:c r="H728" t="str">
        <x:f>IF(SUMIFS('İndirimler'!$C$2:$C$210,'İndirimler'!$A$2:$A$210,B728,'İndirimler'!$B$2:$B$210,C728)&gt;0,ROUND(G728*(1-SUMIFS('İndirimler'!$C$2:$C$210,'İndirimler'!$A$2:$A$210,B728,'İndirimler'!$B$2:$B$210,C728)),2),"")</x:f>
      </x:c>
      <x:c r="I728" t="str">
        <x:f>IF(SUMIFS('İndirimler'!$D$2:$D$210,'İndirimler'!$A$2:$A$210,B728,'İndirimler'!$B$2:$B$210,C728)&gt;0,ROUND(G728*(1-SUMIFS('İndirimler'!$D$2:$D$210,'İndirimler'!$A$2:$A$210,B728,'İndirimler'!$B$2:$B$210,C728)),2),"")</x:f>
      </x:c>
      <x:c r="J728"/>
      <x:c r="K728"/>
    </x:row>
    <x:row r="729">
      <x:c r="A729"/>
      <x:c r="B729"/>
      <x:c r="C729"/>
      <x:c r="D729"/>
      <x:c r="E729"/>
      <x:c r="F729"/>
      <x:c r="G729"/>
      <x:c r="H729" t="str">
        <x:f>IF(SUMIFS('İndirimler'!$C$2:$C$210,'İndirimler'!$A$2:$A$210,B729,'İndirimler'!$B$2:$B$210,C729)&gt;0,ROUND(G729*(1-SUMIFS('İndirimler'!$C$2:$C$210,'İndirimler'!$A$2:$A$210,B729,'İndirimler'!$B$2:$B$210,C729)),2),"")</x:f>
      </x:c>
      <x:c r="I729" t="str">
        <x:f>IF(SUMIFS('İndirimler'!$D$2:$D$210,'İndirimler'!$A$2:$A$210,B729,'İndirimler'!$B$2:$B$210,C729)&gt;0,ROUND(G729*(1-SUMIFS('İndirimler'!$D$2:$D$210,'İndirimler'!$A$2:$A$210,B729,'İndirimler'!$B$2:$B$210,C729)),2),"")</x:f>
      </x:c>
      <x:c r="J729"/>
      <x:c r="K729"/>
    </x:row>
    <x:row r="730">
      <x:c r="A730"/>
      <x:c r="B730"/>
      <x:c r="C730"/>
      <x:c r="D730"/>
      <x:c r="E730"/>
      <x:c r="F730"/>
      <x:c r="G730"/>
      <x:c r="H730" t="str">
        <x:f>IF(SUMIFS('İndirimler'!$C$2:$C$210,'İndirimler'!$A$2:$A$210,B730,'İndirimler'!$B$2:$B$210,C730)&gt;0,ROUND(G730*(1-SUMIFS('İndirimler'!$C$2:$C$210,'İndirimler'!$A$2:$A$210,B730,'İndirimler'!$B$2:$B$210,C730)),2),"")</x:f>
      </x:c>
      <x:c r="I730" t="str">
        <x:f>IF(SUMIFS('İndirimler'!$D$2:$D$210,'İndirimler'!$A$2:$A$210,B730,'İndirimler'!$B$2:$B$210,C730)&gt;0,ROUND(G730*(1-SUMIFS('İndirimler'!$D$2:$D$210,'İndirimler'!$A$2:$A$210,B730,'İndirimler'!$B$2:$B$210,C730)),2),"")</x:f>
      </x:c>
      <x:c r="J730"/>
      <x:c r="K730"/>
    </x:row>
    <x:row r="731">
      <x:c r="A731"/>
      <x:c r="B731"/>
      <x:c r="C731"/>
      <x:c r="D731"/>
      <x:c r="E731"/>
      <x:c r="F731"/>
      <x:c r="G731"/>
      <x:c r="H731" t="str">
        <x:f>IF(SUMIFS('İndirimler'!$C$2:$C$210,'İndirimler'!$A$2:$A$210,B731,'İndirimler'!$B$2:$B$210,C731)&gt;0,ROUND(G731*(1-SUMIFS('İndirimler'!$C$2:$C$210,'İndirimler'!$A$2:$A$210,B731,'İndirimler'!$B$2:$B$210,C731)),2),"")</x:f>
      </x:c>
      <x:c r="I731" t="str">
        <x:f>IF(SUMIFS('İndirimler'!$D$2:$D$210,'İndirimler'!$A$2:$A$210,B731,'İndirimler'!$B$2:$B$210,C731)&gt;0,ROUND(G731*(1-SUMIFS('İndirimler'!$D$2:$D$210,'İndirimler'!$A$2:$A$210,B731,'İndirimler'!$B$2:$B$210,C731)),2),"")</x:f>
      </x:c>
      <x:c r="J731"/>
      <x:c r="K731"/>
    </x:row>
    <x:row r="732">
      <x:c r="A732"/>
      <x:c r="B732"/>
      <x:c r="C732"/>
      <x:c r="D732"/>
      <x:c r="E732"/>
      <x:c r="F732"/>
      <x:c r="G732"/>
      <x:c r="H732" t="str">
        <x:f>IF(SUMIFS('İndirimler'!$C$2:$C$210,'İndirimler'!$A$2:$A$210,B732,'İndirimler'!$B$2:$B$210,C732)&gt;0,ROUND(G732*(1-SUMIFS('İndirimler'!$C$2:$C$210,'İndirimler'!$A$2:$A$210,B732,'İndirimler'!$B$2:$B$210,C732)),2),"")</x:f>
      </x:c>
      <x:c r="I732" t="str">
        <x:f>IF(SUMIFS('İndirimler'!$D$2:$D$210,'İndirimler'!$A$2:$A$210,B732,'İndirimler'!$B$2:$B$210,C732)&gt;0,ROUND(G732*(1-SUMIFS('İndirimler'!$D$2:$D$210,'İndirimler'!$A$2:$A$210,B732,'İndirimler'!$B$2:$B$210,C732)),2),"")</x:f>
      </x:c>
      <x:c r="J732"/>
      <x:c r="K732"/>
    </x:row>
    <x:row r="733">
      <x:c r="A733"/>
      <x:c r="B733"/>
      <x:c r="C733"/>
      <x:c r="D733"/>
      <x:c r="E733"/>
      <x:c r="F733"/>
      <x:c r="G733"/>
      <x:c r="H733" t="str">
        <x:f>IF(SUMIFS('İndirimler'!$C$2:$C$210,'İndirimler'!$A$2:$A$210,B733,'İndirimler'!$B$2:$B$210,C733)&gt;0,ROUND(G733*(1-SUMIFS('İndirimler'!$C$2:$C$210,'İndirimler'!$A$2:$A$210,B733,'İndirimler'!$B$2:$B$210,C733)),2),"")</x:f>
      </x:c>
      <x:c r="I733" t="str">
        <x:f>IF(SUMIFS('İndirimler'!$D$2:$D$210,'İndirimler'!$A$2:$A$210,B733,'İndirimler'!$B$2:$B$210,C733)&gt;0,ROUND(G733*(1-SUMIFS('İndirimler'!$D$2:$D$210,'İndirimler'!$A$2:$A$210,B733,'İndirimler'!$B$2:$B$210,C733)),2),"")</x:f>
      </x:c>
      <x:c r="J733"/>
      <x:c r="K733"/>
    </x:row>
    <x:row r="734">
      <x:c r="A734"/>
      <x:c r="B734"/>
      <x:c r="C734"/>
      <x:c r="D734"/>
      <x:c r="E734"/>
      <x:c r="F734"/>
      <x:c r="G734"/>
      <x:c r="H734" t="str">
        <x:f>IF(SUMIFS('İndirimler'!$C$2:$C$210,'İndirimler'!$A$2:$A$210,B734,'İndirimler'!$B$2:$B$210,C734)&gt;0,ROUND(G734*(1-SUMIFS('İndirimler'!$C$2:$C$210,'İndirimler'!$A$2:$A$210,B734,'İndirimler'!$B$2:$B$210,C734)),2),"")</x:f>
      </x:c>
      <x:c r="I734" t="str">
        <x:f>IF(SUMIFS('İndirimler'!$D$2:$D$210,'İndirimler'!$A$2:$A$210,B734,'İndirimler'!$B$2:$B$210,C734)&gt;0,ROUND(G734*(1-SUMIFS('İndirimler'!$D$2:$D$210,'İndirimler'!$A$2:$A$210,B734,'İndirimler'!$B$2:$B$210,C734)),2),"")</x:f>
      </x:c>
      <x:c r="J734"/>
      <x:c r="K734"/>
    </x:row>
    <x:row r="735">
      <x:c r="A735"/>
      <x:c r="B735"/>
      <x:c r="C735"/>
      <x:c r="D735"/>
      <x:c r="E735"/>
      <x:c r="F735"/>
      <x:c r="G735"/>
      <x:c r="H735" t="str">
        <x:f>IF(SUMIFS('İndirimler'!$C$2:$C$210,'İndirimler'!$A$2:$A$210,B735,'İndirimler'!$B$2:$B$210,C735)&gt;0,ROUND(G735*(1-SUMIFS('İndirimler'!$C$2:$C$210,'İndirimler'!$A$2:$A$210,B735,'İndirimler'!$B$2:$B$210,C735)),2),"")</x:f>
      </x:c>
      <x:c r="I735" t="str">
        <x:f>IF(SUMIFS('İndirimler'!$D$2:$D$210,'İndirimler'!$A$2:$A$210,B735,'İndirimler'!$B$2:$B$210,C735)&gt;0,ROUND(G735*(1-SUMIFS('İndirimler'!$D$2:$D$210,'İndirimler'!$A$2:$A$210,B735,'İndirimler'!$B$2:$B$210,C735)),2),"")</x:f>
      </x:c>
      <x:c r="J735"/>
      <x:c r="K735"/>
    </x:row>
    <x:row r="736">
      <x:c r="A736"/>
      <x:c r="B736"/>
      <x:c r="C736"/>
      <x:c r="D736"/>
      <x:c r="E736"/>
      <x:c r="F736"/>
      <x:c r="G736"/>
      <x:c r="H736" t="str">
        <x:f>IF(SUMIFS('İndirimler'!$C$2:$C$210,'İndirimler'!$A$2:$A$210,B736,'İndirimler'!$B$2:$B$210,C736)&gt;0,ROUND(G736*(1-SUMIFS('İndirimler'!$C$2:$C$210,'İndirimler'!$A$2:$A$210,B736,'İndirimler'!$B$2:$B$210,C736)),2),"")</x:f>
      </x:c>
      <x:c r="I736" t="str">
        <x:f>IF(SUMIFS('İndirimler'!$D$2:$D$210,'İndirimler'!$A$2:$A$210,B736,'İndirimler'!$B$2:$B$210,C736)&gt;0,ROUND(G736*(1-SUMIFS('İndirimler'!$D$2:$D$210,'İndirimler'!$A$2:$A$210,B736,'İndirimler'!$B$2:$B$210,C736)),2),"")</x:f>
      </x:c>
      <x:c r="J736"/>
      <x:c r="K736"/>
    </x:row>
    <x:row r="737">
      <x:c r="A737"/>
      <x:c r="B737"/>
      <x:c r="C737"/>
      <x:c r="D737"/>
      <x:c r="E737"/>
      <x:c r="F737"/>
      <x:c r="G737"/>
      <x:c r="H737" t="str">
        <x:f>IF(SUMIFS('İndirimler'!$C$2:$C$210,'İndirimler'!$A$2:$A$210,B737,'İndirimler'!$B$2:$B$210,C737)&gt;0,ROUND(G737*(1-SUMIFS('İndirimler'!$C$2:$C$210,'İndirimler'!$A$2:$A$210,B737,'İndirimler'!$B$2:$B$210,C737)),2),"")</x:f>
      </x:c>
      <x:c r="I737" t="str">
        <x:f>IF(SUMIFS('İndirimler'!$D$2:$D$210,'İndirimler'!$A$2:$A$210,B737,'İndirimler'!$B$2:$B$210,C737)&gt;0,ROUND(G737*(1-SUMIFS('İndirimler'!$D$2:$D$210,'İndirimler'!$A$2:$A$210,B737,'İndirimler'!$B$2:$B$210,C737)),2),"")</x:f>
      </x:c>
      <x:c r="J737"/>
      <x:c r="K737"/>
    </x:row>
    <x:row r="738">
      <x:c r="A738"/>
      <x:c r="B738"/>
      <x:c r="C738"/>
      <x:c r="D738"/>
      <x:c r="E738"/>
      <x:c r="F738"/>
      <x:c r="G738"/>
      <x:c r="H738" t="str">
        <x:f>IF(SUMIFS('İndirimler'!$C$2:$C$210,'İndirimler'!$A$2:$A$210,B738,'İndirimler'!$B$2:$B$210,C738)&gt;0,ROUND(G738*(1-SUMIFS('İndirimler'!$C$2:$C$210,'İndirimler'!$A$2:$A$210,B738,'İndirimler'!$B$2:$B$210,C738)),2),"")</x:f>
      </x:c>
      <x:c r="I738" t="str">
        <x:f>IF(SUMIFS('İndirimler'!$D$2:$D$210,'İndirimler'!$A$2:$A$210,B738,'İndirimler'!$B$2:$B$210,C738)&gt;0,ROUND(G738*(1-SUMIFS('İndirimler'!$D$2:$D$210,'İndirimler'!$A$2:$A$210,B738,'İndirimler'!$B$2:$B$210,C738)),2),"")</x:f>
      </x:c>
      <x:c r="J738"/>
      <x:c r="K738"/>
    </x:row>
    <x:row r="739">
      <x:c r="A739"/>
      <x:c r="B739"/>
      <x:c r="C739"/>
      <x:c r="D739"/>
      <x:c r="E739"/>
      <x:c r="F739"/>
      <x:c r="G739"/>
      <x:c r="H739" t="str">
        <x:f>IF(SUMIFS('İndirimler'!$C$2:$C$210,'İndirimler'!$A$2:$A$210,B739,'İndirimler'!$B$2:$B$210,C739)&gt;0,ROUND(G739*(1-SUMIFS('İndirimler'!$C$2:$C$210,'İndirimler'!$A$2:$A$210,B739,'İndirimler'!$B$2:$B$210,C739)),2),"")</x:f>
      </x:c>
      <x:c r="I739" t="str">
        <x:f>IF(SUMIFS('İndirimler'!$D$2:$D$210,'İndirimler'!$A$2:$A$210,B739,'İndirimler'!$B$2:$B$210,C739)&gt;0,ROUND(G739*(1-SUMIFS('İndirimler'!$D$2:$D$210,'İndirimler'!$A$2:$A$210,B739,'İndirimler'!$B$2:$B$210,C739)),2),"")</x:f>
      </x:c>
      <x:c r="J739"/>
      <x:c r="K739"/>
    </x:row>
    <x:row r="740">
      <x:c r="A740"/>
      <x:c r="B740"/>
      <x:c r="C740"/>
      <x:c r="D740"/>
      <x:c r="E740"/>
      <x:c r="F740"/>
      <x:c r="G740"/>
      <x:c r="H740" t="str">
        <x:f>IF(SUMIFS('İndirimler'!$C$2:$C$210,'İndirimler'!$A$2:$A$210,B740,'İndirimler'!$B$2:$B$210,C740)&gt;0,ROUND(G740*(1-SUMIFS('İndirimler'!$C$2:$C$210,'İndirimler'!$A$2:$A$210,B740,'İndirimler'!$B$2:$B$210,C740)),2),"")</x:f>
      </x:c>
      <x:c r="I740" t="str">
        <x:f>IF(SUMIFS('İndirimler'!$D$2:$D$210,'İndirimler'!$A$2:$A$210,B740,'İndirimler'!$B$2:$B$210,C740)&gt;0,ROUND(G740*(1-SUMIFS('İndirimler'!$D$2:$D$210,'İndirimler'!$A$2:$A$210,B740,'İndirimler'!$B$2:$B$210,C740)),2),"")</x:f>
      </x:c>
      <x:c r="J740"/>
      <x:c r="K740"/>
    </x:row>
    <x:row r="741">
      <x:c r="A741"/>
      <x:c r="B741"/>
      <x:c r="C741"/>
      <x:c r="D741"/>
      <x:c r="E741"/>
      <x:c r="F741"/>
      <x:c r="G741"/>
      <x:c r="H741" t="str">
        <x:f>IF(SUMIFS('İndirimler'!$C$2:$C$210,'İndirimler'!$A$2:$A$210,B741,'İndirimler'!$B$2:$B$210,C741)&gt;0,ROUND(G741*(1-SUMIFS('İndirimler'!$C$2:$C$210,'İndirimler'!$A$2:$A$210,B741,'İndirimler'!$B$2:$B$210,C741)),2),"")</x:f>
      </x:c>
      <x:c r="I741" t="str">
        <x:f>IF(SUMIFS('İndirimler'!$D$2:$D$210,'İndirimler'!$A$2:$A$210,B741,'İndirimler'!$B$2:$B$210,C741)&gt;0,ROUND(G741*(1-SUMIFS('İndirimler'!$D$2:$D$210,'İndirimler'!$A$2:$A$210,B741,'İndirimler'!$B$2:$B$210,C741)),2),"")</x:f>
      </x:c>
      <x:c r="J741"/>
      <x:c r="K741"/>
    </x:row>
    <x:row r="742">
      <x:c r="A742"/>
      <x:c r="B742"/>
      <x:c r="C742"/>
      <x:c r="D742"/>
      <x:c r="E742"/>
      <x:c r="F742"/>
      <x:c r="G742"/>
      <x:c r="H742" t="str">
        <x:f>IF(SUMIFS('İndirimler'!$C$2:$C$210,'İndirimler'!$A$2:$A$210,B742,'İndirimler'!$B$2:$B$210,C742)&gt;0,ROUND(G742*(1-SUMIFS('İndirimler'!$C$2:$C$210,'İndirimler'!$A$2:$A$210,B742,'İndirimler'!$B$2:$B$210,C742)),2),"")</x:f>
      </x:c>
      <x:c r="I742" t="str">
        <x:f>IF(SUMIFS('İndirimler'!$D$2:$D$210,'İndirimler'!$A$2:$A$210,B742,'İndirimler'!$B$2:$B$210,C742)&gt;0,ROUND(G742*(1-SUMIFS('İndirimler'!$D$2:$D$210,'İndirimler'!$A$2:$A$210,B742,'İndirimler'!$B$2:$B$210,C742)),2),"")</x:f>
      </x:c>
      <x:c r="J742"/>
      <x:c r="K742"/>
    </x:row>
    <x:row r="743">
      <x:c r="A743"/>
      <x:c r="B743"/>
      <x:c r="C743"/>
      <x:c r="D743"/>
      <x:c r="E743"/>
      <x:c r="F743"/>
      <x:c r="G743"/>
      <x:c r="H743" t="str">
        <x:f>IF(SUMIFS('İndirimler'!$C$2:$C$210,'İndirimler'!$A$2:$A$210,B743,'İndirimler'!$B$2:$B$210,C743)&gt;0,ROUND(G743*(1-SUMIFS('İndirimler'!$C$2:$C$210,'İndirimler'!$A$2:$A$210,B743,'İndirimler'!$B$2:$B$210,C743)),2),"")</x:f>
      </x:c>
      <x:c r="I743" t="str">
        <x:f>IF(SUMIFS('İndirimler'!$D$2:$D$210,'İndirimler'!$A$2:$A$210,B743,'İndirimler'!$B$2:$B$210,C743)&gt;0,ROUND(G743*(1-SUMIFS('İndirimler'!$D$2:$D$210,'İndirimler'!$A$2:$A$210,B743,'İndirimler'!$B$2:$B$210,C743)),2),"")</x:f>
      </x:c>
      <x:c r="J743"/>
      <x:c r="K743"/>
    </x:row>
    <x:row r="744">
      <x:c r="A744"/>
      <x:c r="B744"/>
      <x:c r="C744"/>
      <x:c r="D744"/>
      <x:c r="E744"/>
      <x:c r="F744"/>
      <x:c r="G744"/>
      <x:c r="H744" t="str">
        <x:f>IF(SUMIFS('İndirimler'!$C$2:$C$210,'İndirimler'!$A$2:$A$210,B744,'İndirimler'!$B$2:$B$210,C744)&gt;0,ROUND(G744*(1-SUMIFS('İndirimler'!$C$2:$C$210,'İndirimler'!$A$2:$A$210,B744,'İndirimler'!$B$2:$B$210,C744)),2),"")</x:f>
      </x:c>
      <x:c r="I744" t="str">
        <x:f>IF(SUMIFS('İndirimler'!$D$2:$D$210,'İndirimler'!$A$2:$A$210,B744,'İndirimler'!$B$2:$B$210,C744)&gt;0,ROUND(G744*(1-SUMIFS('İndirimler'!$D$2:$D$210,'İndirimler'!$A$2:$A$210,B744,'İndirimler'!$B$2:$B$210,C744)),2),"")</x:f>
      </x:c>
      <x:c r="J744"/>
      <x:c r="K744"/>
    </x:row>
    <x:row r="745">
      <x:c r="A745"/>
      <x:c r="B745"/>
      <x:c r="C745"/>
      <x:c r="D745"/>
      <x:c r="E745"/>
      <x:c r="F745"/>
      <x:c r="G745"/>
      <x:c r="H745" t="str">
        <x:f>IF(SUMIFS('İndirimler'!$C$2:$C$210,'İndirimler'!$A$2:$A$210,B745,'İndirimler'!$B$2:$B$210,C745)&gt;0,ROUND(G745*(1-SUMIFS('İndirimler'!$C$2:$C$210,'İndirimler'!$A$2:$A$210,B745,'İndirimler'!$B$2:$B$210,C745)),2),"")</x:f>
      </x:c>
      <x:c r="I745" t="str">
        <x:f>IF(SUMIFS('İndirimler'!$D$2:$D$210,'İndirimler'!$A$2:$A$210,B745,'İndirimler'!$B$2:$B$210,C745)&gt;0,ROUND(G745*(1-SUMIFS('İndirimler'!$D$2:$D$210,'İndirimler'!$A$2:$A$210,B745,'İndirimler'!$B$2:$B$210,C745)),2),"")</x:f>
      </x:c>
      <x:c r="J745"/>
      <x:c r="K745"/>
    </x:row>
    <x:row r="746">
      <x:c r="A746"/>
      <x:c r="B746"/>
      <x:c r="C746"/>
      <x:c r="D746"/>
      <x:c r="E746"/>
      <x:c r="F746"/>
      <x:c r="G746"/>
      <x:c r="H746" t="str">
        <x:f>IF(SUMIFS('İndirimler'!$C$2:$C$210,'İndirimler'!$A$2:$A$210,B746,'İndirimler'!$B$2:$B$210,C746)&gt;0,ROUND(G746*(1-SUMIFS('İndirimler'!$C$2:$C$210,'İndirimler'!$A$2:$A$210,B746,'İndirimler'!$B$2:$B$210,C746)),2),"")</x:f>
      </x:c>
      <x:c r="I746" t="str">
        <x:f>IF(SUMIFS('İndirimler'!$D$2:$D$210,'İndirimler'!$A$2:$A$210,B746,'İndirimler'!$B$2:$B$210,C746)&gt;0,ROUND(G746*(1-SUMIFS('İndirimler'!$D$2:$D$210,'İndirimler'!$A$2:$A$210,B746,'İndirimler'!$B$2:$B$210,C746)),2),"")</x:f>
      </x:c>
      <x:c r="J746"/>
      <x:c r="K746"/>
    </x:row>
    <x:row r="747">
      <x:c r="A747"/>
      <x:c r="B747"/>
      <x:c r="C747"/>
      <x:c r="D747"/>
      <x:c r="E747"/>
      <x:c r="F747"/>
      <x:c r="G747"/>
      <x:c r="H747" t="str">
        <x:f>IF(SUMIFS('İndirimler'!$C$2:$C$210,'İndirimler'!$A$2:$A$210,B747,'İndirimler'!$B$2:$B$210,C747)&gt;0,ROUND(G747*(1-SUMIFS('İndirimler'!$C$2:$C$210,'İndirimler'!$A$2:$A$210,B747,'İndirimler'!$B$2:$B$210,C747)),2),"")</x:f>
      </x:c>
      <x:c r="I747" t="str">
        <x:f>IF(SUMIFS('İndirimler'!$D$2:$D$210,'İndirimler'!$A$2:$A$210,B747,'İndirimler'!$B$2:$B$210,C747)&gt;0,ROUND(G747*(1-SUMIFS('İndirimler'!$D$2:$D$210,'İndirimler'!$A$2:$A$210,B747,'İndirimler'!$B$2:$B$210,C747)),2),"")</x:f>
      </x:c>
      <x:c r="J747"/>
      <x:c r="K747"/>
    </x:row>
    <x:row r="748">
      <x:c r="A748"/>
      <x:c r="B748"/>
      <x:c r="C748"/>
      <x:c r="D748"/>
      <x:c r="E748"/>
      <x:c r="F748"/>
      <x:c r="G748"/>
      <x:c r="H748" t="str">
        <x:f>IF(SUMIFS('İndirimler'!$C$2:$C$210,'İndirimler'!$A$2:$A$210,B748,'İndirimler'!$B$2:$B$210,C748)&gt;0,ROUND(G748*(1-SUMIFS('İndirimler'!$C$2:$C$210,'İndirimler'!$A$2:$A$210,B748,'İndirimler'!$B$2:$B$210,C748)),2),"")</x:f>
      </x:c>
      <x:c r="I748" t="str">
        <x:f>IF(SUMIFS('İndirimler'!$D$2:$D$210,'İndirimler'!$A$2:$A$210,B748,'İndirimler'!$B$2:$B$210,C748)&gt;0,ROUND(G748*(1-SUMIFS('İndirimler'!$D$2:$D$210,'İndirimler'!$A$2:$A$210,B748,'İndirimler'!$B$2:$B$210,C748)),2),"")</x:f>
      </x:c>
      <x:c r="J748"/>
      <x:c r="K748"/>
    </x:row>
    <x:row r="749">
      <x:c r="A749"/>
      <x:c r="B749"/>
      <x:c r="C749"/>
      <x:c r="D749"/>
      <x:c r="E749"/>
      <x:c r="F749"/>
      <x:c r="G749"/>
      <x:c r="H749" t="str">
        <x:f>IF(SUMIFS('İndirimler'!$C$2:$C$210,'İndirimler'!$A$2:$A$210,B749,'İndirimler'!$B$2:$B$210,C749)&gt;0,ROUND(G749*(1-SUMIFS('İndirimler'!$C$2:$C$210,'İndirimler'!$A$2:$A$210,B749,'İndirimler'!$B$2:$B$210,C749)),2),"")</x:f>
      </x:c>
      <x:c r="I749" t="str">
        <x:f>IF(SUMIFS('İndirimler'!$D$2:$D$210,'İndirimler'!$A$2:$A$210,B749,'İndirimler'!$B$2:$B$210,C749)&gt;0,ROUND(G749*(1-SUMIFS('İndirimler'!$D$2:$D$210,'İndirimler'!$A$2:$A$210,B749,'İndirimler'!$B$2:$B$210,C749)),2),"")</x:f>
      </x:c>
      <x:c r="J749"/>
      <x:c r="K749"/>
    </x:row>
    <x:row r="750">
      <x:c r="A750"/>
      <x:c r="B750"/>
      <x:c r="C750"/>
      <x:c r="D750"/>
      <x:c r="E750"/>
      <x:c r="F750"/>
      <x:c r="G750"/>
      <x:c r="H750" t="str">
        <x:f>IF(SUMIFS('İndirimler'!$C$2:$C$210,'İndirimler'!$A$2:$A$210,B750,'İndirimler'!$B$2:$B$210,C750)&gt;0,ROUND(G750*(1-SUMIFS('İndirimler'!$C$2:$C$210,'İndirimler'!$A$2:$A$210,B750,'İndirimler'!$B$2:$B$210,C750)),2),"")</x:f>
      </x:c>
      <x:c r="I750" t="str">
        <x:f>IF(SUMIFS('İndirimler'!$D$2:$D$210,'İndirimler'!$A$2:$A$210,B750,'İndirimler'!$B$2:$B$210,C750)&gt;0,ROUND(G750*(1-SUMIFS('İndirimler'!$D$2:$D$210,'İndirimler'!$A$2:$A$210,B750,'İndirimler'!$B$2:$B$210,C750)),2),"")</x:f>
      </x:c>
      <x:c r="J750"/>
      <x:c r="K750"/>
    </x:row>
    <x:row r="751">
      <x:c r="A751"/>
      <x:c r="B751"/>
      <x:c r="C751"/>
      <x:c r="D751"/>
      <x:c r="E751"/>
      <x:c r="F751"/>
      <x:c r="G751"/>
      <x:c r="H751" t="str">
        <x:f>IF(SUMIFS('İndirimler'!$C$2:$C$210,'İndirimler'!$A$2:$A$210,B751,'İndirimler'!$B$2:$B$210,C751)&gt;0,ROUND(G751*(1-SUMIFS('İndirimler'!$C$2:$C$210,'İndirimler'!$A$2:$A$210,B751,'İndirimler'!$B$2:$B$210,C751)),2),"")</x:f>
      </x:c>
      <x:c r="I751" t="str">
        <x:f>IF(SUMIFS('İndirimler'!$D$2:$D$210,'İndirimler'!$A$2:$A$210,B751,'İndirimler'!$B$2:$B$210,C751)&gt;0,ROUND(G751*(1-SUMIFS('İndirimler'!$D$2:$D$210,'İndirimler'!$A$2:$A$210,B751,'İndirimler'!$B$2:$B$210,C751)),2),"")</x:f>
      </x:c>
      <x:c r="J751"/>
      <x:c r="K751"/>
    </x:row>
    <x:row r="752">
      <x:c r="A752"/>
      <x:c r="B752"/>
      <x:c r="C752"/>
      <x:c r="D752"/>
      <x:c r="E752"/>
      <x:c r="F752"/>
      <x:c r="G752"/>
      <x:c r="H752" t="str">
        <x:f>IF(SUMIFS('İndirimler'!$C$2:$C$210,'İndirimler'!$A$2:$A$210,B752,'İndirimler'!$B$2:$B$210,C752)&gt;0,ROUND(G752*(1-SUMIFS('İndirimler'!$C$2:$C$210,'İndirimler'!$A$2:$A$210,B752,'İndirimler'!$B$2:$B$210,C752)),2),"")</x:f>
      </x:c>
      <x:c r="I752" t="str">
        <x:f>IF(SUMIFS('İndirimler'!$D$2:$D$210,'İndirimler'!$A$2:$A$210,B752,'İndirimler'!$B$2:$B$210,C752)&gt;0,ROUND(G752*(1-SUMIFS('İndirimler'!$D$2:$D$210,'İndirimler'!$A$2:$A$210,B752,'İndirimler'!$B$2:$B$210,C752)),2),"")</x:f>
      </x:c>
      <x:c r="J752"/>
      <x:c r="K752"/>
    </x:row>
    <x:row r="753">
      <x:c r="A753"/>
      <x:c r="B753"/>
      <x:c r="C753"/>
      <x:c r="D753"/>
      <x:c r="E753"/>
      <x:c r="F753"/>
      <x:c r="G753"/>
      <x:c r="H753" t="str">
        <x:f>IF(SUMIFS('İndirimler'!$C$2:$C$210,'İndirimler'!$A$2:$A$210,B753,'İndirimler'!$B$2:$B$210,C753)&gt;0,ROUND(G753*(1-SUMIFS('İndirimler'!$C$2:$C$210,'İndirimler'!$A$2:$A$210,B753,'İndirimler'!$B$2:$B$210,C753)),2),"")</x:f>
      </x:c>
      <x:c r="I753" t="str">
        <x:f>IF(SUMIFS('İndirimler'!$D$2:$D$210,'İndirimler'!$A$2:$A$210,B753,'İndirimler'!$B$2:$B$210,C753)&gt;0,ROUND(G753*(1-SUMIFS('İndirimler'!$D$2:$D$210,'İndirimler'!$A$2:$A$210,B753,'İndirimler'!$B$2:$B$210,C753)),2),"")</x:f>
      </x:c>
      <x:c r="J753"/>
      <x:c r="K753"/>
    </x:row>
    <x:row r="754">
      <x:c r="A754"/>
      <x:c r="B754"/>
      <x:c r="C754"/>
      <x:c r="D754"/>
      <x:c r="E754"/>
      <x:c r="F754"/>
      <x:c r="G754"/>
      <x:c r="H754" t="str">
        <x:f>IF(SUMIFS('İndirimler'!$C$2:$C$210,'İndirimler'!$A$2:$A$210,B754,'İndirimler'!$B$2:$B$210,C754)&gt;0,ROUND(G754*(1-SUMIFS('İndirimler'!$C$2:$C$210,'İndirimler'!$A$2:$A$210,B754,'İndirimler'!$B$2:$B$210,C754)),2),"")</x:f>
      </x:c>
      <x:c r="I754" t="str">
        <x:f>IF(SUMIFS('İndirimler'!$D$2:$D$210,'İndirimler'!$A$2:$A$210,B754,'İndirimler'!$B$2:$B$210,C754)&gt;0,ROUND(G754*(1-SUMIFS('İndirimler'!$D$2:$D$210,'İndirimler'!$A$2:$A$210,B754,'İndirimler'!$B$2:$B$210,C754)),2),"")</x:f>
      </x:c>
      <x:c r="J754"/>
      <x:c r="K754"/>
    </x:row>
    <x:row r="755">
      <x:c r="A755"/>
      <x:c r="B755"/>
      <x:c r="C755"/>
      <x:c r="D755"/>
      <x:c r="E755"/>
      <x:c r="F755"/>
      <x:c r="G755"/>
      <x:c r="H755" t="str">
        <x:f>IF(SUMIFS('İndirimler'!$C$2:$C$210,'İndirimler'!$A$2:$A$210,B755,'İndirimler'!$B$2:$B$210,C755)&gt;0,ROUND(G755*(1-SUMIFS('İndirimler'!$C$2:$C$210,'İndirimler'!$A$2:$A$210,B755,'İndirimler'!$B$2:$B$210,C755)),2),"")</x:f>
      </x:c>
      <x:c r="I755" t="str">
        <x:f>IF(SUMIFS('İndirimler'!$D$2:$D$210,'İndirimler'!$A$2:$A$210,B755,'İndirimler'!$B$2:$B$210,C755)&gt;0,ROUND(G755*(1-SUMIFS('İndirimler'!$D$2:$D$210,'İndirimler'!$A$2:$A$210,B755,'İndirimler'!$B$2:$B$210,C755)),2),"")</x:f>
      </x:c>
      <x:c r="J755"/>
      <x:c r="K755"/>
    </x:row>
    <x:row r="756">
      <x:c r="A756"/>
      <x:c r="B756"/>
      <x:c r="C756"/>
      <x:c r="D756"/>
      <x:c r="E756"/>
      <x:c r="F756"/>
      <x:c r="G756"/>
      <x:c r="H756" t="str">
        <x:f>IF(SUMIFS('İndirimler'!$C$2:$C$210,'İndirimler'!$A$2:$A$210,B756,'İndirimler'!$B$2:$B$210,C756)&gt;0,ROUND(G756*(1-SUMIFS('İndirimler'!$C$2:$C$210,'İndirimler'!$A$2:$A$210,B756,'İndirimler'!$B$2:$B$210,C756)),2),"")</x:f>
      </x:c>
      <x:c r="I756" t="str">
        <x:f>IF(SUMIFS('İndirimler'!$D$2:$D$210,'İndirimler'!$A$2:$A$210,B756,'İndirimler'!$B$2:$B$210,C756)&gt;0,ROUND(G756*(1-SUMIFS('İndirimler'!$D$2:$D$210,'İndirimler'!$A$2:$A$210,B756,'İndirimler'!$B$2:$B$210,C756)),2),"")</x:f>
      </x:c>
      <x:c r="J756"/>
      <x:c r="K756"/>
    </x:row>
    <x:row r="757">
      <x:c r="A757"/>
      <x:c r="B757"/>
      <x:c r="C757"/>
      <x:c r="D757"/>
      <x:c r="E757"/>
      <x:c r="F757"/>
      <x:c r="G757"/>
      <x:c r="H757" t="str">
        <x:f>IF(SUMIFS('İndirimler'!$C$2:$C$210,'İndirimler'!$A$2:$A$210,B757,'İndirimler'!$B$2:$B$210,C757)&gt;0,ROUND(G757*(1-SUMIFS('İndirimler'!$C$2:$C$210,'İndirimler'!$A$2:$A$210,B757,'İndirimler'!$B$2:$B$210,C757)),2),"")</x:f>
      </x:c>
      <x:c r="I757" t="str">
        <x:f>IF(SUMIFS('İndirimler'!$D$2:$D$210,'İndirimler'!$A$2:$A$210,B757,'İndirimler'!$B$2:$B$210,C757)&gt;0,ROUND(G757*(1-SUMIFS('İndirimler'!$D$2:$D$210,'İndirimler'!$A$2:$A$210,B757,'İndirimler'!$B$2:$B$210,C757)),2),"")</x:f>
      </x:c>
      <x:c r="J757"/>
      <x:c r="K757"/>
    </x:row>
    <x:row r="758">
      <x:c r="A758"/>
      <x:c r="B758"/>
      <x:c r="C758"/>
      <x:c r="D758"/>
      <x:c r="E758"/>
      <x:c r="F758"/>
      <x:c r="G758"/>
      <x:c r="H758" t="str">
        <x:f>IF(SUMIFS('İndirimler'!$C$2:$C$210,'İndirimler'!$A$2:$A$210,B758,'İndirimler'!$B$2:$B$210,C758)&gt;0,ROUND(G758*(1-SUMIFS('İndirimler'!$C$2:$C$210,'İndirimler'!$A$2:$A$210,B758,'İndirimler'!$B$2:$B$210,C758)),2),"")</x:f>
      </x:c>
      <x:c r="I758" t="str">
        <x:f>IF(SUMIFS('İndirimler'!$D$2:$D$210,'İndirimler'!$A$2:$A$210,B758,'İndirimler'!$B$2:$B$210,C758)&gt;0,ROUND(G758*(1-SUMIFS('İndirimler'!$D$2:$D$210,'İndirimler'!$A$2:$A$210,B758,'İndirimler'!$B$2:$B$210,C758)),2),"")</x:f>
      </x:c>
      <x:c r="J758"/>
      <x:c r="K758"/>
    </x:row>
    <x:row r="759">
      <x:c r="A759"/>
      <x:c r="B759"/>
      <x:c r="C759"/>
      <x:c r="D759"/>
      <x:c r="E759"/>
      <x:c r="F759"/>
      <x:c r="G759"/>
      <x:c r="H759" t="str">
        <x:f>IF(SUMIFS('İndirimler'!$C$2:$C$210,'İndirimler'!$A$2:$A$210,B759,'İndirimler'!$B$2:$B$210,C759)&gt;0,ROUND(G759*(1-SUMIFS('İndirimler'!$C$2:$C$210,'İndirimler'!$A$2:$A$210,B759,'İndirimler'!$B$2:$B$210,C759)),2),"")</x:f>
      </x:c>
      <x:c r="I759" t="str">
        <x:f>IF(SUMIFS('İndirimler'!$D$2:$D$210,'İndirimler'!$A$2:$A$210,B759,'İndirimler'!$B$2:$B$210,C759)&gt;0,ROUND(G759*(1-SUMIFS('İndirimler'!$D$2:$D$210,'İndirimler'!$A$2:$A$210,B759,'İndirimler'!$B$2:$B$210,C759)),2),"")</x:f>
      </x:c>
      <x:c r="J759"/>
      <x:c r="K759"/>
    </x:row>
    <x:row r="760">
      <x:c r="A760"/>
      <x:c r="B760"/>
      <x:c r="C760"/>
      <x:c r="D760"/>
      <x:c r="E760"/>
      <x:c r="F760"/>
      <x:c r="G760"/>
      <x:c r="H760" t="str">
        <x:f>IF(SUMIFS('İndirimler'!$C$2:$C$210,'İndirimler'!$A$2:$A$210,B760,'İndirimler'!$B$2:$B$210,C760)&gt;0,ROUND(G760*(1-SUMIFS('İndirimler'!$C$2:$C$210,'İndirimler'!$A$2:$A$210,B760,'İndirimler'!$B$2:$B$210,C760)),2),"")</x:f>
      </x:c>
      <x:c r="I760" t="str">
        <x:f>IF(SUMIFS('İndirimler'!$D$2:$D$210,'İndirimler'!$A$2:$A$210,B760,'İndirimler'!$B$2:$B$210,C760)&gt;0,ROUND(G760*(1-SUMIFS('İndirimler'!$D$2:$D$210,'İndirimler'!$A$2:$A$210,B760,'İndirimler'!$B$2:$B$210,C760)),2),"")</x:f>
      </x:c>
      <x:c r="J760"/>
      <x:c r="K760"/>
    </x:row>
    <x:row r="761">
      <x:c r="A761"/>
      <x:c r="B761"/>
      <x:c r="C761"/>
      <x:c r="D761"/>
      <x:c r="E761"/>
      <x:c r="F761"/>
      <x:c r="G761"/>
      <x:c r="H761" t="str">
        <x:f>IF(SUMIFS('İndirimler'!$C$2:$C$210,'İndirimler'!$A$2:$A$210,B761,'İndirimler'!$B$2:$B$210,C761)&gt;0,ROUND(G761*(1-SUMIFS('İndirimler'!$C$2:$C$210,'İndirimler'!$A$2:$A$210,B761,'İndirimler'!$B$2:$B$210,C761)),2),"")</x:f>
      </x:c>
      <x:c r="I761" t="str">
        <x:f>IF(SUMIFS('İndirimler'!$D$2:$D$210,'İndirimler'!$A$2:$A$210,B761,'İndirimler'!$B$2:$B$210,C761)&gt;0,ROUND(G761*(1-SUMIFS('İndirimler'!$D$2:$D$210,'İndirimler'!$A$2:$A$210,B761,'İndirimler'!$B$2:$B$210,C761)),2),"")</x:f>
      </x:c>
      <x:c r="J761"/>
      <x:c r="K761"/>
    </x:row>
    <x:row r="762">
      <x:c r="A762"/>
      <x:c r="B762"/>
      <x:c r="C762"/>
      <x:c r="D762"/>
      <x:c r="E762"/>
      <x:c r="F762"/>
      <x:c r="G762"/>
      <x:c r="H762" t="str">
        <x:f>IF(SUMIFS('İndirimler'!$C$2:$C$210,'İndirimler'!$A$2:$A$210,B762,'İndirimler'!$B$2:$B$210,C762)&gt;0,ROUND(G762*(1-SUMIFS('İndirimler'!$C$2:$C$210,'İndirimler'!$A$2:$A$210,B762,'İndirimler'!$B$2:$B$210,C762)),2),"")</x:f>
      </x:c>
      <x:c r="I762" t="str">
        <x:f>IF(SUMIFS('İndirimler'!$D$2:$D$210,'İndirimler'!$A$2:$A$210,B762,'İndirimler'!$B$2:$B$210,C762)&gt;0,ROUND(G762*(1-SUMIFS('İndirimler'!$D$2:$D$210,'İndirimler'!$A$2:$A$210,B762,'İndirimler'!$B$2:$B$210,C762)),2),"")</x:f>
      </x:c>
      <x:c r="J762"/>
      <x:c r="K762"/>
    </x:row>
    <x:row r="763">
      <x:c r="A763"/>
      <x:c r="B763"/>
      <x:c r="C763"/>
      <x:c r="D763"/>
      <x:c r="E763"/>
      <x:c r="F763"/>
      <x:c r="G763"/>
      <x:c r="H763" t="str">
        <x:f>IF(SUMIFS('İndirimler'!$C$2:$C$210,'İndirimler'!$A$2:$A$210,B763,'İndirimler'!$B$2:$B$210,C763)&gt;0,ROUND(G763*(1-SUMIFS('İndirimler'!$C$2:$C$210,'İndirimler'!$A$2:$A$210,B763,'İndirimler'!$B$2:$B$210,C763)),2),"")</x:f>
      </x:c>
      <x:c r="I763" t="str">
        <x:f>IF(SUMIFS('İndirimler'!$D$2:$D$210,'İndirimler'!$A$2:$A$210,B763,'İndirimler'!$B$2:$B$210,C763)&gt;0,ROUND(G763*(1-SUMIFS('İndirimler'!$D$2:$D$210,'İndirimler'!$A$2:$A$210,B763,'İndirimler'!$B$2:$B$210,C763)),2),"")</x:f>
      </x:c>
      <x:c r="J763"/>
      <x:c r="K763"/>
    </x:row>
    <x:row r="764">
      <x:c r="A764"/>
      <x:c r="B764"/>
      <x:c r="C764"/>
      <x:c r="D764"/>
      <x:c r="E764"/>
      <x:c r="F764"/>
      <x:c r="G764"/>
      <x:c r="H764" t="str">
        <x:f>IF(SUMIFS('İndirimler'!$C$2:$C$210,'İndirimler'!$A$2:$A$210,B764,'İndirimler'!$B$2:$B$210,C764)&gt;0,ROUND(G764*(1-SUMIFS('İndirimler'!$C$2:$C$210,'İndirimler'!$A$2:$A$210,B764,'İndirimler'!$B$2:$B$210,C764)),2),"")</x:f>
      </x:c>
      <x:c r="I764" t="str">
        <x:f>IF(SUMIFS('İndirimler'!$D$2:$D$210,'İndirimler'!$A$2:$A$210,B764,'İndirimler'!$B$2:$B$210,C764)&gt;0,ROUND(G764*(1-SUMIFS('İndirimler'!$D$2:$D$210,'İndirimler'!$A$2:$A$210,B764,'İndirimler'!$B$2:$B$210,C764)),2),"")</x:f>
      </x:c>
      <x:c r="J764"/>
      <x:c r="K764"/>
    </x:row>
    <x:row r="765">
      <x:c r="A765"/>
      <x:c r="B765"/>
      <x:c r="C765"/>
      <x:c r="D765"/>
      <x:c r="E765"/>
      <x:c r="F765"/>
      <x:c r="G765"/>
      <x:c r="H765" t="str">
        <x:f>IF(SUMIFS('İndirimler'!$C$2:$C$210,'İndirimler'!$A$2:$A$210,B765,'İndirimler'!$B$2:$B$210,C765)&gt;0,ROUND(G765*(1-SUMIFS('İndirimler'!$C$2:$C$210,'İndirimler'!$A$2:$A$210,B765,'İndirimler'!$B$2:$B$210,C765)),2),"")</x:f>
      </x:c>
      <x:c r="I765" t="str">
        <x:f>IF(SUMIFS('İndirimler'!$D$2:$D$210,'İndirimler'!$A$2:$A$210,B765,'İndirimler'!$B$2:$B$210,C765)&gt;0,ROUND(G765*(1-SUMIFS('İndirimler'!$D$2:$D$210,'İndirimler'!$A$2:$A$210,B765,'İndirimler'!$B$2:$B$210,C765)),2),"")</x:f>
      </x:c>
      <x:c r="J765"/>
      <x:c r="K765"/>
    </x:row>
    <x:row r="766">
      <x:c r="A766"/>
      <x:c r="B766"/>
      <x:c r="C766"/>
      <x:c r="D766"/>
      <x:c r="E766"/>
      <x:c r="F766"/>
      <x:c r="G766"/>
      <x:c r="H766" t="str">
        <x:f>IF(SUMIFS('İndirimler'!$C$2:$C$210,'İndirimler'!$A$2:$A$210,B766,'İndirimler'!$B$2:$B$210,C766)&gt;0,ROUND(G766*(1-SUMIFS('İndirimler'!$C$2:$C$210,'İndirimler'!$A$2:$A$210,B766,'İndirimler'!$B$2:$B$210,C766)),2),"")</x:f>
      </x:c>
      <x:c r="I766" t="str">
        <x:f>IF(SUMIFS('İndirimler'!$D$2:$D$210,'İndirimler'!$A$2:$A$210,B766,'İndirimler'!$B$2:$B$210,C766)&gt;0,ROUND(G766*(1-SUMIFS('İndirimler'!$D$2:$D$210,'İndirimler'!$A$2:$A$210,B766,'İndirimler'!$B$2:$B$210,C766)),2),"")</x:f>
      </x:c>
      <x:c r="J766"/>
      <x:c r="K766"/>
    </x:row>
    <x:row r="767">
      <x:c r="A767"/>
      <x:c r="B767"/>
      <x:c r="C767"/>
      <x:c r="D767"/>
      <x:c r="E767"/>
      <x:c r="F767"/>
      <x:c r="G767"/>
      <x:c r="H767" t="str">
        <x:f>IF(SUMIFS('İndirimler'!$C$2:$C$210,'İndirimler'!$A$2:$A$210,B767,'İndirimler'!$B$2:$B$210,C767)&gt;0,ROUND(G767*(1-SUMIFS('İndirimler'!$C$2:$C$210,'İndirimler'!$A$2:$A$210,B767,'İndirimler'!$B$2:$B$210,C767)),2),"")</x:f>
      </x:c>
      <x:c r="I767" t="str">
        <x:f>IF(SUMIFS('İndirimler'!$D$2:$D$210,'İndirimler'!$A$2:$A$210,B767,'İndirimler'!$B$2:$B$210,C767)&gt;0,ROUND(G767*(1-SUMIFS('İndirimler'!$D$2:$D$210,'İndirimler'!$A$2:$A$210,B767,'İndirimler'!$B$2:$B$210,C767)),2),"")</x:f>
      </x:c>
      <x:c r="J767"/>
      <x:c r="K767"/>
    </x:row>
    <x:row r="768">
      <x:c r="A768"/>
      <x:c r="B768"/>
      <x:c r="C768"/>
      <x:c r="D768"/>
      <x:c r="E768"/>
      <x:c r="F768"/>
      <x:c r="G768"/>
      <x:c r="H768" t="str">
        <x:f>IF(SUMIFS('İndirimler'!$C$2:$C$210,'İndirimler'!$A$2:$A$210,B768,'İndirimler'!$B$2:$B$210,C768)&gt;0,ROUND(G768*(1-SUMIFS('İndirimler'!$C$2:$C$210,'İndirimler'!$A$2:$A$210,B768,'İndirimler'!$B$2:$B$210,C768)),2),"")</x:f>
      </x:c>
      <x:c r="I768" t="str">
        <x:f>IF(SUMIFS('İndirimler'!$D$2:$D$210,'İndirimler'!$A$2:$A$210,B768,'İndirimler'!$B$2:$B$210,C768)&gt;0,ROUND(G768*(1-SUMIFS('İndirimler'!$D$2:$D$210,'İndirimler'!$A$2:$A$210,B768,'İndirimler'!$B$2:$B$210,C768)),2),"")</x:f>
      </x:c>
      <x:c r="J768"/>
      <x:c r="K768"/>
    </x:row>
    <x:row r="769">
      <x:c r="A769"/>
      <x:c r="B769"/>
      <x:c r="C769"/>
      <x:c r="D769"/>
      <x:c r="E769"/>
      <x:c r="F769"/>
      <x:c r="G769"/>
      <x:c r="H769" t="str">
        <x:f>IF(SUMIFS('İndirimler'!$C$2:$C$210,'İndirimler'!$A$2:$A$210,B769,'İndirimler'!$B$2:$B$210,C769)&gt;0,ROUND(G769*(1-SUMIFS('İndirimler'!$C$2:$C$210,'İndirimler'!$A$2:$A$210,B769,'İndirimler'!$B$2:$B$210,C769)),2),"")</x:f>
      </x:c>
      <x:c r="I769" t="str">
        <x:f>IF(SUMIFS('İndirimler'!$D$2:$D$210,'İndirimler'!$A$2:$A$210,B769,'İndirimler'!$B$2:$B$210,C769)&gt;0,ROUND(G769*(1-SUMIFS('İndirimler'!$D$2:$D$210,'İndirimler'!$A$2:$A$210,B769,'İndirimler'!$B$2:$B$210,C769)),2),"")</x:f>
      </x:c>
      <x:c r="J769"/>
      <x:c r="K769"/>
    </x:row>
    <x:row r="770">
      <x:c r="A770"/>
      <x:c r="B770"/>
      <x:c r="C770"/>
      <x:c r="D770"/>
      <x:c r="E770"/>
      <x:c r="F770"/>
      <x:c r="G770"/>
      <x:c r="H770" t="str">
        <x:f>IF(SUMIFS('İndirimler'!$C$2:$C$210,'İndirimler'!$A$2:$A$210,B770,'İndirimler'!$B$2:$B$210,C770)&gt;0,ROUND(G770*(1-SUMIFS('İndirimler'!$C$2:$C$210,'İndirimler'!$A$2:$A$210,B770,'İndirimler'!$B$2:$B$210,C770)),2),"")</x:f>
      </x:c>
      <x:c r="I770" t="str">
        <x:f>IF(SUMIFS('İndirimler'!$D$2:$D$210,'İndirimler'!$A$2:$A$210,B770,'İndirimler'!$B$2:$B$210,C770)&gt;0,ROUND(G770*(1-SUMIFS('İndirimler'!$D$2:$D$210,'İndirimler'!$A$2:$A$210,B770,'İndirimler'!$B$2:$B$210,C770)),2),"")</x:f>
      </x:c>
      <x:c r="J770"/>
      <x:c r="K770"/>
    </x:row>
    <x:row r="771">
      <x:c r="A771"/>
      <x:c r="B771"/>
      <x:c r="C771"/>
      <x:c r="D771"/>
      <x:c r="E771"/>
      <x:c r="F771"/>
      <x:c r="G771"/>
      <x:c r="H771" t="str">
        <x:f>IF(SUMIFS('İndirimler'!$C$2:$C$210,'İndirimler'!$A$2:$A$210,B771,'İndirimler'!$B$2:$B$210,C771)&gt;0,ROUND(G771*(1-SUMIFS('İndirimler'!$C$2:$C$210,'İndirimler'!$A$2:$A$210,B771,'İndirimler'!$B$2:$B$210,C771)),2),"")</x:f>
      </x:c>
      <x:c r="I771" t="str">
        <x:f>IF(SUMIFS('İndirimler'!$D$2:$D$210,'İndirimler'!$A$2:$A$210,B771,'İndirimler'!$B$2:$B$210,C771)&gt;0,ROUND(G771*(1-SUMIFS('İndirimler'!$D$2:$D$210,'İndirimler'!$A$2:$A$210,B771,'İndirimler'!$B$2:$B$210,C771)),2),"")</x:f>
      </x:c>
      <x:c r="J771"/>
      <x:c r="K771"/>
    </x:row>
    <x:row r="772">
      <x:c r="A772"/>
      <x:c r="B772"/>
      <x:c r="C772"/>
      <x:c r="D772"/>
      <x:c r="E772"/>
      <x:c r="F772"/>
      <x:c r="G772"/>
      <x:c r="H772" t="str">
        <x:f>IF(SUMIFS('İndirimler'!$C$2:$C$210,'İndirimler'!$A$2:$A$210,B772,'İndirimler'!$B$2:$B$210,C772)&gt;0,ROUND(G772*(1-SUMIFS('İndirimler'!$C$2:$C$210,'İndirimler'!$A$2:$A$210,B772,'İndirimler'!$B$2:$B$210,C772)),2),"")</x:f>
      </x:c>
      <x:c r="I772" t="str">
        <x:f>IF(SUMIFS('İndirimler'!$D$2:$D$210,'İndirimler'!$A$2:$A$210,B772,'İndirimler'!$B$2:$B$210,C772)&gt;0,ROUND(G772*(1-SUMIFS('İndirimler'!$D$2:$D$210,'İndirimler'!$A$2:$A$210,B772,'İndirimler'!$B$2:$B$210,C772)),2),"")</x:f>
      </x:c>
      <x:c r="J772"/>
      <x:c r="K772"/>
    </x:row>
    <x:row r="773">
      <x:c r="A773"/>
      <x:c r="B773"/>
      <x:c r="C773"/>
      <x:c r="D773"/>
      <x:c r="E773"/>
      <x:c r="F773"/>
      <x:c r="G773"/>
      <x:c r="H773" t="str">
        <x:f>IF(SUMIFS('İndirimler'!$C$2:$C$210,'İndirimler'!$A$2:$A$210,B773,'İndirimler'!$B$2:$B$210,C773)&gt;0,ROUND(G773*(1-SUMIFS('İndirimler'!$C$2:$C$210,'İndirimler'!$A$2:$A$210,B773,'İndirimler'!$B$2:$B$210,C773)),2),"")</x:f>
      </x:c>
      <x:c r="I773" t="str">
        <x:f>IF(SUMIFS('İndirimler'!$D$2:$D$210,'İndirimler'!$A$2:$A$210,B773,'İndirimler'!$B$2:$B$210,C773)&gt;0,ROUND(G773*(1-SUMIFS('İndirimler'!$D$2:$D$210,'İndirimler'!$A$2:$A$210,B773,'İndirimler'!$B$2:$B$210,C773)),2),"")</x:f>
      </x:c>
      <x:c r="J773"/>
      <x:c r="K773"/>
    </x:row>
    <x:row r="774">
      <x:c r="A774"/>
      <x:c r="B774"/>
      <x:c r="C774"/>
      <x:c r="D774"/>
      <x:c r="E774"/>
      <x:c r="F774"/>
      <x:c r="G774"/>
      <x:c r="H774" t="str">
        <x:f>IF(SUMIFS('İndirimler'!$C$2:$C$210,'İndirimler'!$A$2:$A$210,B774,'İndirimler'!$B$2:$B$210,C774)&gt;0,ROUND(G774*(1-SUMIFS('İndirimler'!$C$2:$C$210,'İndirimler'!$A$2:$A$210,B774,'İndirimler'!$B$2:$B$210,C774)),2),"")</x:f>
      </x:c>
      <x:c r="I774" t="str">
        <x:f>IF(SUMIFS('İndirimler'!$D$2:$D$210,'İndirimler'!$A$2:$A$210,B774,'İndirimler'!$B$2:$B$210,C774)&gt;0,ROUND(G774*(1-SUMIFS('İndirimler'!$D$2:$D$210,'İndirimler'!$A$2:$A$210,B774,'İndirimler'!$B$2:$B$210,C774)),2),"")</x:f>
      </x:c>
      <x:c r="J774"/>
      <x:c r="K774"/>
    </x:row>
    <x:row r="775">
      <x:c r="A775"/>
      <x:c r="B775"/>
      <x:c r="C775"/>
      <x:c r="D775"/>
      <x:c r="E775"/>
      <x:c r="F775"/>
      <x:c r="G775"/>
      <x:c r="H775" t="str">
        <x:f>IF(SUMIFS('İndirimler'!$C$2:$C$210,'İndirimler'!$A$2:$A$210,B775,'İndirimler'!$B$2:$B$210,C775)&gt;0,ROUND(G775*(1-SUMIFS('İndirimler'!$C$2:$C$210,'İndirimler'!$A$2:$A$210,B775,'İndirimler'!$B$2:$B$210,C775)),2),"")</x:f>
      </x:c>
      <x:c r="I775" t="str">
        <x:f>IF(SUMIFS('İndirimler'!$D$2:$D$210,'İndirimler'!$A$2:$A$210,B775,'İndirimler'!$B$2:$B$210,C775)&gt;0,ROUND(G775*(1-SUMIFS('İndirimler'!$D$2:$D$210,'İndirimler'!$A$2:$A$210,B775,'İndirimler'!$B$2:$B$210,C775)),2),"")</x:f>
      </x:c>
      <x:c r="J775"/>
      <x:c r="K775"/>
    </x:row>
    <x:row r="776">
      <x:c r="A776"/>
      <x:c r="B776"/>
      <x:c r="C776"/>
      <x:c r="D776"/>
      <x:c r="E776"/>
      <x:c r="F776"/>
      <x:c r="G776"/>
      <x:c r="H776" t="str">
        <x:f>IF(SUMIFS('İndirimler'!$C$2:$C$210,'İndirimler'!$A$2:$A$210,B776,'İndirimler'!$B$2:$B$210,C776)&gt;0,ROUND(G776*(1-SUMIFS('İndirimler'!$C$2:$C$210,'İndirimler'!$A$2:$A$210,B776,'İndirimler'!$B$2:$B$210,C776)),2),"")</x:f>
      </x:c>
      <x:c r="I776" t="str">
        <x:f>IF(SUMIFS('İndirimler'!$D$2:$D$210,'İndirimler'!$A$2:$A$210,B776,'İndirimler'!$B$2:$B$210,C776)&gt;0,ROUND(G776*(1-SUMIFS('İndirimler'!$D$2:$D$210,'İndirimler'!$A$2:$A$210,B776,'İndirimler'!$B$2:$B$210,C776)),2),"")</x:f>
      </x:c>
      <x:c r="J776"/>
      <x:c r="K776"/>
    </x:row>
    <x:row r="777">
      <x:c r="A777"/>
      <x:c r="B777"/>
      <x:c r="C777"/>
      <x:c r="D777"/>
      <x:c r="E777"/>
      <x:c r="F777"/>
      <x:c r="G777"/>
      <x:c r="H777" t="str">
        <x:f>IF(SUMIFS('İndirimler'!$C$2:$C$210,'İndirimler'!$A$2:$A$210,B777,'İndirimler'!$B$2:$B$210,C777)&gt;0,ROUND(G777*(1-SUMIFS('İndirimler'!$C$2:$C$210,'İndirimler'!$A$2:$A$210,B777,'İndirimler'!$B$2:$B$210,C777)),2),"")</x:f>
      </x:c>
      <x:c r="I777" t="str">
        <x:f>IF(SUMIFS('İndirimler'!$D$2:$D$210,'İndirimler'!$A$2:$A$210,B777,'İndirimler'!$B$2:$B$210,C777)&gt;0,ROUND(G777*(1-SUMIFS('İndirimler'!$D$2:$D$210,'İndirimler'!$A$2:$A$210,B777,'İndirimler'!$B$2:$B$210,C777)),2),"")</x:f>
      </x:c>
      <x:c r="J777"/>
      <x:c r="K777"/>
    </x:row>
    <x:row r="778">
      <x:c r="A778"/>
      <x:c r="B778"/>
      <x:c r="C778"/>
      <x:c r="D778"/>
      <x:c r="E778"/>
      <x:c r="F778"/>
      <x:c r="G778"/>
      <x:c r="H778" t="str">
        <x:f>IF(SUMIFS('İndirimler'!$C$2:$C$210,'İndirimler'!$A$2:$A$210,B778,'İndirimler'!$B$2:$B$210,C778)&gt;0,ROUND(G778*(1-SUMIFS('İndirimler'!$C$2:$C$210,'İndirimler'!$A$2:$A$210,B778,'İndirimler'!$B$2:$B$210,C778)),2),"")</x:f>
      </x:c>
      <x:c r="I778" t="str">
        <x:f>IF(SUMIFS('İndirimler'!$D$2:$D$210,'İndirimler'!$A$2:$A$210,B778,'İndirimler'!$B$2:$B$210,C778)&gt;0,ROUND(G778*(1-SUMIFS('İndirimler'!$D$2:$D$210,'İndirimler'!$A$2:$A$210,B778,'İndirimler'!$B$2:$B$210,C778)),2),"")</x:f>
      </x:c>
      <x:c r="J778"/>
      <x:c r="K778"/>
    </x:row>
    <x:row r="779">
      <x:c r="A779"/>
      <x:c r="B779"/>
      <x:c r="C779"/>
      <x:c r="D779"/>
      <x:c r="E779"/>
      <x:c r="F779"/>
      <x:c r="G779"/>
      <x:c r="H779" t="str">
        <x:f>IF(SUMIFS('İndirimler'!$C$2:$C$210,'İndirimler'!$A$2:$A$210,B779,'İndirimler'!$B$2:$B$210,C779)&gt;0,ROUND(G779*(1-SUMIFS('İndirimler'!$C$2:$C$210,'İndirimler'!$A$2:$A$210,B779,'İndirimler'!$B$2:$B$210,C779)),2),"")</x:f>
      </x:c>
      <x:c r="I779" t="str">
        <x:f>IF(SUMIFS('İndirimler'!$D$2:$D$210,'İndirimler'!$A$2:$A$210,B779,'İndirimler'!$B$2:$B$210,C779)&gt;0,ROUND(G779*(1-SUMIFS('İndirimler'!$D$2:$D$210,'İndirimler'!$A$2:$A$210,B779,'İndirimler'!$B$2:$B$210,C779)),2),"")</x:f>
      </x:c>
      <x:c r="J779"/>
      <x:c r="K779"/>
    </x:row>
    <x:row r="780">
      <x:c r="A780"/>
      <x:c r="B780"/>
      <x:c r="C780"/>
      <x:c r="D780"/>
      <x:c r="E780"/>
      <x:c r="F780"/>
      <x:c r="G780"/>
      <x:c r="H780" t="str">
        <x:f>IF(SUMIFS('İndirimler'!$C$2:$C$210,'İndirimler'!$A$2:$A$210,B780,'İndirimler'!$B$2:$B$210,C780)&gt;0,ROUND(G780*(1-SUMIFS('İndirimler'!$C$2:$C$210,'İndirimler'!$A$2:$A$210,B780,'İndirimler'!$B$2:$B$210,C780)),2),"")</x:f>
      </x:c>
      <x:c r="I780" t="str">
        <x:f>IF(SUMIFS('İndirimler'!$D$2:$D$210,'İndirimler'!$A$2:$A$210,B780,'İndirimler'!$B$2:$B$210,C780)&gt;0,ROUND(G780*(1-SUMIFS('İndirimler'!$D$2:$D$210,'İndirimler'!$A$2:$A$210,B780,'İndirimler'!$B$2:$B$210,C780)),2),"")</x:f>
      </x:c>
      <x:c r="J780"/>
      <x:c r="K780"/>
    </x:row>
    <x:row r="781">
      <x:c r="A781"/>
      <x:c r="B781"/>
      <x:c r="C781"/>
      <x:c r="D781"/>
      <x:c r="E781"/>
      <x:c r="F781"/>
      <x:c r="G781"/>
      <x:c r="H781" t="str">
        <x:f>IF(SUMIFS('İndirimler'!$C$2:$C$210,'İndirimler'!$A$2:$A$210,B781,'İndirimler'!$B$2:$B$210,C781)&gt;0,ROUND(G781*(1-SUMIFS('İndirimler'!$C$2:$C$210,'İndirimler'!$A$2:$A$210,B781,'İndirimler'!$B$2:$B$210,C781)),2),"")</x:f>
      </x:c>
      <x:c r="I781" t="str">
        <x:f>IF(SUMIFS('İndirimler'!$D$2:$D$210,'İndirimler'!$A$2:$A$210,B781,'İndirimler'!$B$2:$B$210,C781)&gt;0,ROUND(G781*(1-SUMIFS('İndirimler'!$D$2:$D$210,'İndirimler'!$A$2:$A$210,B781,'İndirimler'!$B$2:$B$210,C781)),2),"")</x:f>
      </x:c>
      <x:c r="J781"/>
      <x:c r="K781"/>
    </x:row>
    <x:row r="782">
      <x:c r="A782"/>
      <x:c r="B782"/>
      <x:c r="C782"/>
      <x:c r="D782"/>
      <x:c r="E782"/>
      <x:c r="F782"/>
      <x:c r="G782"/>
      <x:c r="H782" t="str">
        <x:f>IF(SUMIFS('İndirimler'!$C$2:$C$210,'İndirimler'!$A$2:$A$210,B782,'İndirimler'!$B$2:$B$210,C782)&gt;0,ROUND(G782*(1-SUMIFS('İndirimler'!$C$2:$C$210,'İndirimler'!$A$2:$A$210,B782,'İndirimler'!$B$2:$B$210,C782)),2),"")</x:f>
      </x:c>
      <x:c r="I782" t="str">
        <x:f>IF(SUMIFS('İndirimler'!$D$2:$D$210,'İndirimler'!$A$2:$A$210,B782,'İndirimler'!$B$2:$B$210,C782)&gt;0,ROUND(G782*(1-SUMIFS('İndirimler'!$D$2:$D$210,'İndirimler'!$A$2:$A$210,B782,'İndirimler'!$B$2:$B$210,C782)),2),"")</x:f>
      </x:c>
      <x:c r="J782"/>
      <x:c r="K782"/>
    </x:row>
    <x:row r="783">
      <x:c r="A783"/>
      <x:c r="B783"/>
      <x:c r="C783"/>
      <x:c r="D783"/>
      <x:c r="E783"/>
      <x:c r="F783"/>
      <x:c r="G783"/>
      <x:c r="H783" t="str">
        <x:f>IF(SUMIFS('İndirimler'!$C$2:$C$210,'İndirimler'!$A$2:$A$210,B783,'İndirimler'!$B$2:$B$210,C783)&gt;0,ROUND(G783*(1-SUMIFS('İndirimler'!$C$2:$C$210,'İndirimler'!$A$2:$A$210,B783,'İndirimler'!$B$2:$B$210,C783)),2),"")</x:f>
      </x:c>
      <x:c r="I783" t="str">
        <x:f>IF(SUMIFS('İndirimler'!$D$2:$D$210,'İndirimler'!$A$2:$A$210,B783,'İndirimler'!$B$2:$B$210,C783)&gt;0,ROUND(G783*(1-SUMIFS('İndirimler'!$D$2:$D$210,'İndirimler'!$A$2:$A$210,B783,'İndirimler'!$B$2:$B$210,C783)),2),"")</x:f>
      </x:c>
      <x:c r="J783"/>
      <x:c r="K783"/>
    </x:row>
    <x:row r="784">
      <x:c r="A784"/>
      <x:c r="B784"/>
      <x:c r="C784"/>
      <x:c r="D784"/>
      <x:c r="E784"/>
      <x:c r="F784"/>
      <x:c r="G784"/>
      <x:c r="H784" t="str">
        <x:f>IF(SUMIFS('İndirimler'!$C$2:$C$210,'İndirimler'!$A$2:$A$210,B784,'İndirimler'!$B$2:$B$210,C784)&gt;0,ROUND(G784*(1-SUMIFS('İndirimler'!$C$2:$C$210,'İndirimler'!$A$2:$A$210,B784,'İndirimler'!$B$2:$B$210,C784)),2),"")</x:f>
      </x:c>
      <x:c r="I784" t="str">
        <x:f>IF(SUMIFS('İndirimler'!$D$2:$D$210,'İndirimler'!$A$2:$A$210,B784,'İndirimler'!$B$2:$B$210,C784)&gt;0,ROUND(G784*(1-SUMIFS('İndirimler'!$D$2:$D$210,'İndirimler'!$A$2:$A$210,B784,'İndirimler'!$B$2:$B$210,C784)),2),"")</x:f>
      </x:c>
      <x:c r="J784"/>
      <x:c r="K784"/>
    </x:row>
    <x:row r="785">
      <x:c r="A785"/>
      <x:c r="B785"/>
      <x:c r="C785"/>
      <x:c r="D785"/>
      <x:c r="E785"/>
      <x:c r="F785"/>
      <x:c r="G785"/>
      <x:c r="H785" t="str">
        <x:f>IF(SUMIFS('İndirimler'!$C$2:$C$210,'İndirimler'!$A$2:$A$210,B785,'İndirimler'!$B$2:$B$210,C785)&gt;0,ROUND(G785*(1-SUMIFS('İndirimler'!$C$2:$C$210,'İndirimler'!$A$2:$A$210,B785,'İndirimler'!$B$2:$B$210,C785)),2),"")</x:f>
      </x:c>
      <x:c r="I785" t="str">
        <x:f>IF(SUMIFS('İndirimler'!$D$2:$D$210,'İndirimler'!$A$2:$A$210,B785,'İndirimler'!$B$2:$B$210,C785)&gt;0,ROUND(G785*(1-SUMIFS('İndirimler'!$D$2:$D$210,'İndirimler'!$A$2:$A$210,B785,'İndirimler'!$B$2:$B$210,C785)),2),"")</x:f>
      </x:c>
      <x:c r="J785"/>
      <x:c r="K785"/>
    </x:row>
    <x:row r="786">
      <x:c r="A786"/>
      <x:c r="B786"/>
      <x:c r="C786"/>
      <x:c r="D786"/>
      <x:c r="E786"/>
      <x:c r="F786"/>
      <x:c r="G786"/>
      <x:c r="H786" t="str">
        <x:f>IF(SUMIFS('İndirimler'!$C$2:$C$210,'İndirimler'!$A$2:$A$210,B786,'İndirimler'!$B$2:$B$210,C786)&gt;0,ROUND(G786*(1-SUMIFS('İndirimler'!$C$2:$C$210,'İndirimler'!$A$2:$A$210,B786,'İndirimler'!$B$2:$B$210,C786)),2),"")</x:f>
      </x:c>
      <x:c r="I786" t="str">
        <x:f>IF(SUMIFS('İndirimler'!$D$2:$D$210,'İndirimler'!$A$2:$A$210,B786,'İndirimler'!$B$2:$B$210,C786)&gt;0,ROUND(G786*(1-SUMIFS('İndirimler'!$D$2:$D$210,'İndirimler'!$A$2:$A$210,B786,'İndirimler'!$B$2:$B$210,C786)),2),"")</x:f>
      </x:c>
      <x:c r="J786"/>
      <x:c r="K786"/>
    </x:row>
    <x:row r="787">
      <x:c r="A787"/>
      <x:c r="B787"/>
      <x:c r="C787"/>
      <x:c r="D787"/>
      <x:c r="E787"/>
      <x:c r="F787"/>
      <x:c r="G787"/>
      <x:c r="H787" t="str">
        <x:f>IF(SUMIFS('İndirimler'!$C$2:$C$210,'İndirimler'!$A$2:$A$210,B787,'İndirimler'!$B$2:$B$210,C787)&gt;0,ROUND(G787*(1-SUMIFS('İndirimler'!$C$2:$C$210,'İndirimler'!$A$2:$A$210,B787,'İndirimler'!$B$2:$B$210,C787)),2),"")</x:f>
      </x:c>
      <x:c r="I787" t="str">
        <x:f>IF(SUMIFS('İndirimler'!$D$2:$D$210,'İndirimler'!$A$2:$A$210,B787,'İndirimler'!$B$2:$B$210,C787)&gt;0,ROUND(G787*(1-SUMIFS('İndirimler'!$D$2:$D$210,'İndirimler'!$A$2:$A$210,B787,'İndirimler'!$B$2:$B$210,C787)),2),"")</x:f>
      </x:c>
      <x:c r="J787"/>
      <x:c r="K787"/>
    </x:row>
    <x:row r="788">
      <x:c r="A788"/>
      <x:c r="B788"/>
      <x:c r="C788"/>
      <x:c r="D788"/>
      <x:c r="E788"/>
      <x:c r="F788"/>
      <x:c r="G788"/>
      <x:c r="H788" t="str">
        <x:f>IF(SUMIFS('İndirimler'!$C$2:$C$210,'İndirimler'!$A$2:$A$210,B788,'İndirimler'!$B$2:$B$210,C788)&gt;0,ROUND(G788*(1-SUMIFS('İndirimler'!$C$2:$C$210,'İndirimler'!$A$2:$A$210,B788,'İndirimler'!$B$2:$B$210,C788)),2),"")</x:f>
      </x:c>
      <x:c r="I788" t="str">
        <x:f>IF(SUMIFS('İndirimler'!$D$2:$D$210,'İndirimler'!$A$2:$A$210,B788,'İndirimler'!$B$2:$B$210,C788)&gt;0,ROUND(G788*(1-SUMIFS('İndirimler'!$D$2:$D$210,'İndirimler'!$A$2:$A$210,B788,'İndirimler'!$B$2:$B$210,C788)),2),"")</x:f>
      </x:c>
      <x:c r="J788"/>
      <x:c r="K788"/>
    </x:row>
    <x:row r="789">
      <x:c r="A789"/>
      <x:c r="B789"/>
      <x:c r="C789"/>
      <x:c r="D789"/>
      <x:c r="E789"/>
      <x:c r="F789"/>
      <x:c r="G789"/>
      <x:c r="H789" t="str">
        <x:f>IF(SUMIFS('İndirimler'!$C$2:$C$210,'İndirimler'!$A$2:$A$210,B789,'İndirimler'!$B$2:$B$210,C789)&gt;0,ROUND(G789*(1-SUMIFS('İndirimler'!$C$2:$C$210,'İndirimler'!$A$2:$A$210,B789,'İndirimler'!$B$2:$B$210,C789)),2),"")</x:f>
      </x:c>
      <x:c r="I789" t="str">
        <x:f>IF(SUMIFS('İndirimler'!$D$2:$D$210,'İndirimler'!$A$2:$A$210,B789,'İndirimler'!$B$2:$B$210,C789)&gt;0,ROUND(G789*(1-SUMIFS('İndirimler'!$D$2:$D$210,'İndirimler'!$A$2:$A$210,B789,'İndirimler'!$B$2:$B$210,C789)),2),"")</x:f>
      </x:c>
      <x:c r="J789"/>
      <x:c r="K789"/>
    </x:row>
    <x:row r="790">
      <x:c r="A790"/>
      <x:c r="B790"/>
      <x:c r="C790"/>
      <x:c r="D790"/>
      <x:c r="E790"/>
      <x:c r="F790"/>
      <x:c r="G790"/>
      <x:c r="H790" t="str">
        <x:f>IF(SUMIFS('İndirimler'!$C$2:$C$210,'İndirimler'!$A$2:$A$210,B790,'İndirimler'!$B$2:$B$210,C790)&gt;0,ROUND(G790*(1-SUMIFS('İndirimler'!$C$2:$C$210,'İndirimler'!$A$2:$A$210,B790,'İndirimler'!$B$2:$B$210,C790)),2),"")</x:f>
      </x:c>
      <x:c r="I790" t="str">
        <x:f>IF(SUMIFS('İndirimler'!$D$2:$D$210,'İndirimler'!$A$2:$A$210,B790,'İndirimler'!$B$2:$B$210,C790)&gt;0,ROUND(G790*(1-SUMIFS('İndirimler'!$D$2:$D$210,'İndirimler'!$A$2:$A$210,B790,'İndirimler'!$B$2:$B$210,C790)),2),"")</x:f>
      </x:c>
      <x:c r="J790"/>
      <x:c r="K790"/>
    </x:row>
    <x:row r="791">
      <x:c r="A791"/>
      <x:c r="B791"/>
      <x:c r="C791"/>
      <x:c r="D791"/>
      <x:c r="E791"/>
      <x:c r="F791"/>
      <x:c r="G791"/>
      <x:c r="H791" t="str">
        <x:f>IF(SUMIFS('İndirimler'!$C$2:$C$210,'İndirimler'!$A$2:$A$210,B791,'İndirimler'!$B$2:$B$210,C791)&gt;0,ROUND(G791*(1-SUMIFS('İndirimler'!$C$2:$C$210,'İndirimler'!$A$2:$A$210,B791,'İndirimler'!$B$2:$B$210,C791)),2),"")</x:f>
      </x:c>
      <x:c r="I791" t="str">
        <x:f>IF(SUMIFS('İndirimler'!$D$2:$D$210,'İndirimler'!$A$2:$A$210,B791,'İndirimler'!$B$2:$B$210,C791)&gt;0,ROUND(G791*(1-SUMIFS('İndirimler'!$D$2:$D$210,'İndirimler'!$A$2:$A$210,B791,'İndirimler'!$B$2:$B$210,C791)),2),"")</x:f>
      </x:c>
      <x:c r="J791"/>
      <x:c r="K791"/>
    </x:row>
    <x:row r="792">
      <x:c r="A792"/>
      <x:c r="B792"/>
      <x:c r="C792"/>
      <x:c r="D792"/>
      <x:c r="E792"/>
      <x:c r="F792"/>
      <x:c r="G792"/>
      <x:c r="H792" t="str">
        <x:f>IF(SUMIFS('İndirimler'!$C$2:$C$210,'İndirimler'!$A$2:$A$210,B792,'İndirimler'!$B$2:$B$210,C792)&gt;0,ROUND(G792*(1-SUMIFS('İndirimler'!$C$2:$C$210,'İndirimler'!$A$2:$A$210,B792,'İndirimler'!$B$2:$B$210,C792)),2),"")</x:f>
      </x:c>
      <x:c r="I792" t="str">
        <x:f>IF(SUMIFS('İndirimler'!$D$2:$D$210,'İndirimler'!$A$2:$A$210,B792,'İndirimler'!$B$2:$B$210,C792)&gt;0,ROUND(G792*(1-SUMIFS('İndirimler'!$D$2:$D$210,'İndirimler'!$A$2:$A$210,B792,'İndirimler'!$B$2:$B$210,C792)),2),"")</x:f>
      </x:c>
      <x:c r="J792"/>
      <x:c r="K792"/>
    </x:row>
    <x:row r="793">
      <x:c r="A793"/>
      <x:c r="B793"/>
      <x:c r="C793"/>
      <x:c r="D793"/>
      <x:c r="E793"/>
      <x:c r="F793"/>
      <x:c r="G793"/>
      <x:c r="H793" t="str">
        <x:f>IF(SUMIFS('İndirimler'!$C$2:$C$210,'İndirimler'!$A$2:$A$210,B793,'İndirimler'!$B$2:$B$210,C793)&gt;0,ROUND(G793*(1-SUMIFS('İndirimler'!$C$2:$C$210,'İndirimler'!$A$2:$A$210,B793,'İndirimler'!$B$2:$B$210,C793)),2),"")</x:f>
      </x:c>
      <x:c r="I793" t="str">
        <x:f>IF(SUMIFS('İndirimler'!$D$2:$D$210,'İndirimler'!$A$2:$A$210,B793,'İndirimler'!$B$2:$B$210,C793)&gt;0,ROUND(G793*(1-SUMIFS('İndirimler'!$D$2:$D$210,'İndirimler'!$A$2:$A$210,B793,'İndirimler'!$B$2:$B$210,C793)),2),"")</x:f>
      </x:c>
      <x:c r="J793"/>
      <x:c r="K793"/>
    </x:row>
    <x:row r="794">
      <x:c r="A794"/>
      <x:c r="B794"/>
      <x:c r="C794"/>
      <x:c r="D794"/>
      <x:c r="E794"/>
      <x:c r="F794"/>
      <x:c r="G794"/>
      <x:c r="H794" t="str">
        <x:f>IF(SUMIFS('İndirimler'!$C$2:$C$210,'İndirimler'!$A$2:$A$210,B794,'İndirimler'!$B$2:$B$210,C794)&gt;0,ROUND(G794*(1-SUMIFS('İndirimler'!$C$2:$C$210,'İndirimler'!$A$2:$A$210,B794,'İndirimler'!$B$2:$B$210,C794)),2),"")</x:f>
      </x:c>
      <x:c r="I794" t="str">
        <x:f>IF(SUMIFS('İndirimler'!$D$2:$D$210,'İndirimler'!$A$2:$A$210,B794,'İndirimler'!$B$2:$B$210,C794)&gt;0,ROUND(G794*(1-SUMIFS('İndirimler'!$D$2:$D$210,'İndirimler'!$A$2:$A$210,B794,'İndirimler'!$B$2:$B$210,C794)),2),"")</x:f>
      </x:c>
      <x:c r="J794"/>
      <x:c r="K794"/>
    </x:row>
    <x:row r="795">
      <x:c r="A795"/>
      <x:c r="B795"/>
      <x:c r="C795"/>
      <x:c r="D795"/>
      <x:c r="E795"/>
      <x:c r="F795"/>
      <x:c r="G795"/>
      <x:c r="H795" t="str">
        <x:f>IF(SUMIFS('İndirimler'!$C$2:$C$210,'İndirimler'!$A$2:$A$210,B795,'İndirimler'!$B$2:$B$210,C795)&gt;0,ROUND(G795*(1-SUMIFS('İndirimler'!$C$2:$C$210,'İndirimler'!$A$2:$A$210,B795,'İndirimler'!$B$2:$B$210,C795)),2),"")</x:f>
      </x:c>
      <x:c r="I795" t="str">
        <x:f>IF(SUMIFS('İndirimler'!$D$2:$D$210,'İndirimler'!$A$2:$A$210,B795,'İndirimler'!$B$2:$B$210,C795)&gt;0,ROUND(G795*(1-SUMIFS('İndirimler'!$D$2:$D$210,'İndirimler'!$A$2:$A$210,B795,'İndirimler'!$B$2:$B$210,C795)),2),"")</x:f>
      </x:c>
      <x:c r="J795"/>
      <x:c r="K795"/>
    </x:row>
    <x:row r="796">
      <x:c r="A796"/>
      <x:c r="B796"/>
      <x:c r="C796"/>
      <x:c r="D796"/>
      <x:c r="E796"/>
      <x:c r="F796"/>
      <x:c r="G796"/>
      <x:c r="H796" t="str">
        <x:f>IF(SUMIFS('İndirimler'!$C$2:$C$210,'İndirimler'!$A$2:$A$210,B796,'İndirimler'!$B$2:$B$210,C796)&gt;0,ROUND(G796*(1-SUMIFS('İndirimler'!$C$2:$C$210,'İndirimler'!$A$2:$A$210,B796,'İndirimler'!$B$2:$B$210,C796)),2),"")</x:f>
      </x:c>
      <x:c r="I796" t="str">
        <x:f>IF(SUMIFS('İndirimler'!$D$2:$D$210,'İndirimler'!$A$2:$A$210,B796,'İndirimler'!$B$2:$B$210,C796)&gt;0,ROUND(G796*(1-SUMIFS('İndirimler'!$D$2:$D$210,'İndirimler'!$A$2:$A$210,B796,'İndirimler'!$B$2:$B$210,C796)),2),"")</x:f>
      </x:c>
      <x:c r="J796"/>
      <x:c r="K796"/>
    </x:row>
    <x:row r="797">
      <x:c r="A797"/>
      <x:c r="B797"/>
      <x:c r="C797"/>
      <x:c r="D797"/>
      <x:c r="E797"/>
      <x:c r="F797"/>
      <x:c r="G797"/>
      <x:c r="H797" t="str">
        <x:f>IF(SUMIFS('İndirimler'!$C$2:$C$210,'İndirimler'!$A$2:$A$210,B797,'İndirimler'!$B$2:$B$210,C797)&gt;0,ROUND(G797*(1-SUMIFS('İndirimler'!$C$2:$C$210,'İndirimler'!$A$2:$A$210,B797,'İndirimler'!$B$2:$B$210,C797)),2),"")</x:f>
      </x:c>
      <x:c r="I797" t="str">
        <x:f>IF(SUMIFS('İndirimler'!$D$2:$D$210,'İndirimler'!$A$2:$A$210,B797,'İndirimler'!$B$2:$B$210,C797)&gt;0,ROUND(G797*(1-SUMIFS('İndirimler'!$D$2:$D$210,'İndirimler'!$A$2:$A$210,B797,'İndirimler'!$B$2:$B$210,C797)),2),"")</x:f>
      </x:c>
      <x:c r="J797"/>
      <x:c r="K797"/>
    </x:row>
    <x:row r="798">
      <x:c r="A798"/>
      <x:c r="B798"/>
      <x:c r="C798"/>
      <x:c r="D798"/>
      <x:c r="E798"/>
      <x:c r="F798"/>
      <x:c r="G798"/>
      <x:c r="H798" t="str">
        <x:f>IF(SUMIFS('İndirimler'!$C$2:$C$210,'İndirimler'!$A$2:$A$210,B798,'İndirimler'!$B$2:$B$210,C798)&gt;0,ROUND(G798*(1-SUMIFS('İndirimler'!$C$2:$C$210,'İndirimler'!$A$2:$A$210,B798,'İndirimler'!$B$2:$B$210,C798)),2),"")</x:f>
      </x:c>
      <x:c r="I798" t="str">
        <x:f>IF(SUMIFS('İndirimler'!$D$2:$D$210,'İndirimler'!$A$2:$A$210,B798,'İndirimler'!$B$2:$B$210,C798)&gt;0,ROUND(G798*(1-SUMIFS('İndirimler'!$D$2:$D$210,'İndirimler'!$A$2:$A$210,B798,'İndirimler'!$B$2:$B$210,C798)),2),"")</x:f>
      </x:c>
      <x:c r="J798"/>
      <x:c r="K798"/>
    </x:row>
    <x:row r="799">
      <x:c r="A799"/>
      <x:c r="B799"/>
      <x:c r="C799"/>
      <x:c r="D799"/>
      <x:c r="E799"/>
      <x:c r="F799"/>
      <x:c r="G799"/>
      <x:c r="H799" t="str">
        <x:f>IF(SUMIFS('İndirimler'!$C$2:$C$210,'İndirimler'!$A$2:$A$210,B799,'İndirimler'!$B$2:$B$210,C799)&gt;0,ROUND(G799*(1-SUMIFS('İndirimler'!$C$2:$C$210,'İndirimler'!$A$2:$A$210,B799,'İndirimler'!$B$2:$B$210,C799)),2),"")</x:f>
      </x:c>
      <x:c r="I799" t="str">
        <x:f>IF(SUMIFS('İndirimler'!$D$2:$D$210,'İndirimler'!$A$2:$A$210,B799,'İndirimler'!$B$2:$B$210,C799)&gt;0,ROUND(G799*(1-SUMIFS('İndirimler'!$D$2:$D$210,'İndirimler'!$A$2:$A$210,B799,'İndirimler'!$B$2:$B$210,C799)),2),"")</x:f>
      </x:c>
      <x:c r="J799"/>
      <x:c r="K799"/>
    </x:row>
    <x:row r="800">
      <x:c r="A800"/>
      <x:c r="B800"/>
      <x:c r="C800"/>
      <x:c r="D800"/>
      <x:c r="E800"/>
      <x:c r="F800"/>
      <x:c r="G800"/>
      <x:c r="H800" t="str">
        <x:f>IF(SUMIFS('İndirimler'!$C$2:$C$210,'İndirimler'!$A$2:$A$210,B800,'İndirimler'!$B$2:$B$210,C800)&gt;0,ROUND(G800*(1-SUMIFS('İndirimler'!$C$2:$C$210,'İndirimler'!$A$2:$A$210,B800,'İndirimler'!$B$2:$B$210,C800)),2),"")</x:f>
      </x:c>
      <x:c r="I800" t="str">
        <x:f>IF(SUMIFS('İndirimler'!$D$2:$D$210,'İndirimler'!$A$2:$A$210,B800,'İndirimler'!$B$2:$B$210,C800)&gt;0,ROUND(G800*(1-SUMIFS('İndirimler'!$D$2:$D$210,'İndirimler'!$A$2:$A$210,B800,'İndirimler'!$B$2:$B$210,C800)),2),"")</x:f>
      </x:c>
      <x:c r="J800"/>
      <x:c r="K800"/>
    </x:row>
    <x:row r="801">
      <x:c r="A801"/>
      <x:c r="B801"/>
      <x:c r="C801"/>
      <x:c r="D801"/>
      <x:c r="E801"/>
      <x:c r="F801"/>
      <x:c r="G801"/>
      <x:c r="H801" t="str">
        <x:f>IF(SUMIFS('İndirimler'!$C$2:$C$210,'İndirimler'!$A$2:$A$210,B801,'İndirimler'!$B$2:$B$210,C801)&gt;0,ROUND(G801*(1-SUMIFS('İndirimler'!$C$2:$C$210,'İndirimler'!$A$2:$A$210,B801,'İndirimler'!$B$2:$B$210,C801)),2),"")</x:f>
      </x:c>
      <x:c r="I801" t="str">
        <x:f>IF(SUMIFS('İndirimler'!$D$2:$D$210,'İndirimler'!$A$2:$A$210,B801,'İndirimler'!$B$2:$B$210,C801)&gt;0,ROUND(G801*(1-SUMIFS('İndirimler'!$D$2:$D$210,'İndirimler'!$A$2:$A$210,B801,'İndirimler'!$B$2:$B$210,C801)),2),"")</x:f>
      </x:c>
      <x:c r="J801"/>
      <x:c r="K801"/>
    </x:row>
    <x:row r="802">
      <x:c r="A802"/>
      <x:c r="B802"/>
      <x:c r="C802"/>
      <x:c r="D802"/>
      <x:c r="E802"/>
      <x:c r="F802"/>
      <x:c r="G802"/>
      <x:c r="H802" t="str">
        <x:f>IF(SUMIFS('İndirimler'!$C$2:$C$210,'İndirimler'!$A$2:$A$210,B802,'İndirimler'!$B$2:$B$210,C802)&gt;0,ROUND(G802*(1-SUMIFS('İndirimler'!$C$2:$C$210,'İndirimler'!$A$2:$A$210,B802,'İndirimler'!$B$2:$B$210,C802)),2),"")</x:f>
      </x:c>
      <x:c r="I802" t="str">
        <x:f>IF(SUMIFS('İndirimler'!$D$2:$D$210,'İndirimler'!$A$2:$A$210,B802,'İndirimler'!$B$2:$B$210,C802)&gt;0,ROUND(G802*(1-SUMIFS('İndirimler'!$D$2:$D$210,'İndirimler'!$A$2:$A$210,B802,'İndirimler'!$B$2:$B$210,C802)),2),"")</x:f>
      </x:c>
      <x:c r="J802"/>
      <x:c r="K802"/>
    </x:row>
    <x:row r="803">
      <x:c r="A803"/>
      <x:c r="B803"/>
      <x:c r="C803"/>
      <x:c r="D803"/>
      <x:c r="E803"/>
      <x:c r="F803"/>
      <x:c r="G803"/>
      <x:c r="H803" t="str">
        <x:f>IF(SUMIFS('İndirimler'!$C$2:$C$210,'İndirimler'!$A$2:$A$210,B803,'İndirimler'!$B$2:$B$210,C803)&gt;0,ROUND(G803*(1-SUMIFS('İndirimler'!$C$2:$C$210,'İndirimler'!$A$2:$A$210,B803,'İndirimler'!$B$2:$B$210,C803)),2),"")</x:f>
      </x:c>
      <x:c r="I803" t="str">
        <x:f>IF(SUMIFS('İndirimler'!$D$2:$D$210,'İndirimler'!$A$2:$A$210,B803,'İndirimler'!$B$2:$B$210,C803)&gt;0,ROUND(G803*(1-SUMIFS('İndirimler'!$D$2:$D$210,'İndirimler'!$A$2:$A$210,B803,'İndirimler'!$B$2:$B$210,C803)),2),"")</x:f>
      </x:c>
      <x:c r="J803"/>
      <x:c r="K803"/>
    </x:row>
    <x:row r="804">
      <x:c r="A804"/>
      <x:c r="B804"/>
      <x:c r="C804"/>
      <x:c r="D804"/>
      <x:c r="E804"/>
      <x:c r="F804"/>
      <x:c r="G804"/>
      <x:c r="H804" t="str">
        <x:f>IF(SUMIFS('İndirimler'!$C$2:$C$210,'İndirimler'!$A$2:$A$210,B804,'İndirimler'!$B$2:$B$210,C804)&gt;0,ROUND(G804*(1-SUMIFS('İndirimler'!$C$2:$C$210,'İndirimler'!$A$2:$A$210,B804,'İndirimler'!$B$2:$B$210,C804)),2),"")</x:f>
      </x:c>
      <x:c r="I804" t="str">
        <x:f>IF(SUMIFS('İndirimler'!$D$2:$D$210,'İndirimler'!$A$2:$A$210,B804,'İndirimler'!$B$2:$B$210,C804)&gt;0,ROUND(G804*(1-SUMIFS('İndirimler'!$D$2:$D$210,'İndirimler'!$A$2:$A$210,B804,'İndirimler'!$B$2:$B$210,C804)),2),"")</x:f>
      </x:c>
      <x:c r="J804"/>
      <x:c r="K804"/>
    </x:row>
    <x:row r="805">
      <x:c r="A805"/>
      <x:c r="B805"/>
      <x:c r="C805"/>
      <x:c r="D805"/>
      <x:c r="E805"/>
      <x:c r="F805"/>
      <x:c r="G805"/>
      <x:c r="H805" t="str">
        <x:f>IF(SUMIFS('İndirimler'!$C$2:$C$210,'İndirimler'!$A$2:$A$210,B805,'İndirimler'!$B$2:$B$210,C805)&gt;0,ROUND(G805*(1-SUMIFS('İndirimler'!$C$2:$C$210,'İndirimler'!$A$2:$A$210,B805,'İndirimler'!$B$2:$B$210,C805)),2),"")</x:f>
      </x:c>
      <x:c r="I805" t="str">
        <x:f>IF(SUMIFS('İndirimler'!$D$2:$D$210,'İndirimler'!$A$2:$A$210,B805,'İndirimler'!$B$2:$B$210,C805)&gt;0,ROUND(G805*(1-SUMIFS('İndirimler'!$D$2:$D$210,'İndirimler'!$A$2:$A$210,B805,'İndirimler'!$B$2:$B$210,C805)),2),"")</x:f>
      </x:c>
      <x:c r="J805"/>
      <x:c r="K805"/>
    </x:row>
    <x:row r="806">
      <x:c r="A806"/>
      <x:c r="B806"/>
      <x:c r="C806"/>
      <x:c r="D806"/>
      <x:c r="E806"/>
      <x:c r="F806"/>
      <x:c r="G806"/>
      <x:c r="H806" t="str">
        <x:f>IF(SUMIFS('İndirimler'!$C$2:$C$210,'İndirimler'!$A$2:$A$210,B806,'İndirimler'!$B$2:$B$210,C806)&gt;0,ROUND(G806*(1-SUMIFS('İndirimler'!$C$2:$C$210,'İndirimler'!$A$2:$A$210,B806,'İndirimler'!$B$2:$B$210,C806)),2),"")</x:f>
      </x:c>
      <x:c r="I806" t="str">
        <x:f>IF(SUMIFS('İndirimler'!$D$2:$D$210,'İndirimler'!$A$2:$A$210,B806,'İndirimler'!$B$2:$B$210,C806)&gt;0,ROUND(G806*(1-SUMIFS('İndirimler'!$D$2:$D$210,'İndirimler'!$A$2:$A$210,B806,'İndirimler'!$B$2:$B$210,C806)),2),"")</x:f>
      </x:c>
      <x:c r="J806"/>
      <x:c r="K806"/>
    </x:row>
    <x:row r="807">
      <x:c r="A807"/>
      <x:c r="B807"/>
      <x:c r="C807"/>
      <x:c r="D807"/>
      <x:c r="E807"/>
      <x:c r="F807"/>
      <x:c r="G807"/>
      <x:c r="H807" t="str">
        <x:f>IF(SUMIFS('İndirimler'!$C$2:$C$210,'İndirimler'!$A$2:$A$210,B807,'İndirimler'!$B$2:$B$210,C807)&gt;0,ROUND(G807*(1-SUMIFS('İndirimler'!$C$2:$C$210,'İndirimler'!$A$2:$A$210,B807,'İndirimler'!$B$2:$B$210,C807)),2),"")</x:f>
      </x:c>
      <x:c r="I807" t="str">
        <x:f>IF(SUMIFS('İndirimler'!$D$2:$D$210,'İndirimler'!$A$2:$A$210,B807,'İndirimler'!$B$2:$B$210,C807)&gt;0,ROUND(G807*(1-SUMIFS('İndirimler'!$D$2:$D$210,'İndirimler'!$A$2:$A$210,B807,'İndirimler'!$B$2:$B$210,C807)),2),"")</x:f>
      </x:c>
      <x:c r="J807"/>
      <x:c r="K807"/>
    </x:row>
    <x:row r="808">
      <x:c r="A808"/>
      <x:c r="B808"/>
      <x:c r="C808"/>
      <x:c r="D808"/>
      <x:c r="E808"/>
      <x:c r="F808"/>
      <x:c r="G808"/>
      <x:c r="H808" t="str">
        <x:f>IF(SUMIFS('İndirimler'!$C$2:$C$210,'İndirimler'!$A$2:$A$210,B808,'İndirimler'!$B$2:$B$210,C808)&gt;0,ROUND(G808*(1-SUMIFS('İndirimler'!$C$2:$C$210,'İndirimler'!$A$2:$A$210,B808,'İndirimler'!$B$2:$B$210,C808)),2),"")</x:f>
      </x:c>
      <x:c r="I808" t="str">
        <x:f>IF(SUMIFS('İndirimler'!$D$2:$D$210,'İndirimler'!$A$2:$A$210,B808,'İndirimler'!$B$2:$B$210,C808)&gt;0,ROUND(G808*(1-SUMIFS('İndirimler'!$D$2:$D$210,'İndirimler'!$A$2:$A$210,B808,'İndirimler'!$B$2:$B$210,C808)),2),"")</x:f>
      </x:c>
      <x:c r="J808"/>
      <x:c r="K808"/>
    </x:row>
    <x:row r="809">
      <x:c r="A809"/>
      <x:c r="B809"/>
      <x:c r="C809"/>
      <x:c r="D809"/>
      <x:c r="E809"/>
      <x:c r="F809"/>
      <x:c r="G809"/>
      <x:c r="H809" t="str">
        <x:f>IF(SUMIFS('İndirimler'!$C$2:$C$210,'İndirimler'!$A$2:$A$210,B809,'İndirimler'!$B$2:$B$210,C809)&gt;0,ROUND(G809*(1-SUMIFS('İndirimler'!$C$2:$C$210,'İndirimler'!$A$2:$A$210,B809,'İndirimler'!$B$2:$B$210,C809)),2),"")</x:f>
      </x:c>
      <x:c r="I809" t="str">
        <x:f>IF(SUMIFS('İndirimler'!$D$2:$D$210,'İndirimler'!$A$2:$A$210,B809,'İndirimler'!$B$2:$B$210,C809)&gt;0,ROUND(G809*(1-SUMIFS('İndirimler'!$D$2:$D$210,'İndirimler'!$A$2:$A$210,B809,'İndirimler'!$B$2:$B$210,C809)),2),"")</x:f>
      </x:c>
      <x:c r="J809"/>
      <x:c r="K809"/>
    </x:row>
    <x:row r="810">
      <x:c r="A810"/>
      <x:c r="B810"/>
      <x:c r="C810"/>
      <x:c r="D810"/>
      <x:c r="E810"/>
      <x:c r="F810"/>
      <x:c r="G810"/>
      <x:c r="H810" t="str">
        <x:f>IF(SUMIFS('İndirimler'!$C$2:$C$210,'İndirimler'!$A$2:$A$210,B810,'İndirimler'!$B$2:$B$210,C810)&gt;0,ROUND(G810*(1-SUMIFS('İndirimler'!$C$2:$C$210,'İndirimler'!$A$2:$A$210,B810,'İndirimler'!$B$2:$B$210,C810)),2),"")</x:f>
      </x:c>
      <x:c r="I810" t="str">
        <x:f>IF(SUMIFS('İndirimler'!$D$2:$D$210,'İndirimler'!$A$2:$A$210,B810,'İndirimler'!$B$2:$B$210,C810)&gt;0,ROUND(G810*(1-SUMIFS('İndirimler'!$D$2:$D$210,'İndirimler'!$A$2:$A$210,B810,'İndirimler'!$B$2:$B$210,C810)),2),"")</x:f>
      </x:c>
      <x:c r="J810"/>
      <x:c r="K810"/>
    </x:row>
    <x:row r="811">
      <x:c r="A811"/>
      <x:c r="B811"/>
      <x:c r="C811"/>
      <x:c r="D811"/>
      <x:c r="E811"/>
      <x:c r="F811"/>
      <x:c r="G811"/>
      <x:c r="H811" t="str">
        <x:f>IF(SUMIFS('İndirimler'!$C$2:$C$210,'İndirimler'!$A$2:$A$210,B811,'İndirimler'!$B$2:$B$210,C811)&gt;0,ROUND(G811*(1-SUMIFS('İndirimler'!$C$2:$C$210,'İndirimler'!$A$2:$A$210,B811,'İndirimler'!$B$2:$B$210,C811)),2),"")</x:f>
      </x:c>
      <x:c r="I811" t="str">
        <x:f>IF(SUMIFS('İndirimler'!$D$2:$D$210,'İndirimler'!$A$2:$A$210,B811,'İndirimler'!$B$2:$B$210,C811)&gt;0,ROUND(G811*(1-SUMIFS('İndirimler'!$D$2:$D$210,'İndirimler'!$A$2:$A$210,B811,'İndirimler'!$B$2:$B$210,C811)),2),"")</x:f>
      </x:c>
      <x:c r="J811"/>
      <x:c r="K811"/>
    </x:row>
    <x:row r="812">
      <x:c r="A812"/>
      <x:c r="B812"/>
      <x:c r="C812"/>
      <x:c r="D812"/>
      <x:c r="E812"/>
      <x:c r="F812"/>
      <x:c r="G812"/>
      <x:c r="H812" t="str">
        <x:f>IF(SUMIFS('İndirimler'!$C$2:$C$210,'İndirimler'!$A$2:$A$210,B812,'İndirimler'!$B$2:$B$210,C812)&gt;0,ROUND(G812*(1-SUMIFS('İndirimler'!$C$2:$C$210,'İndirimler'!$A$2:$A$210,B812,'İndirimler'!$B$2:$B$210,C812)),2),"")</x:f>
      </x:c>
      <x:c r="I812" t="str">
        <x:f>IF(SUMIFS('İndirimler'!$D$2:$D$210,'İndirimler'!$A$2:$A$210,B812,'İndirimler'!$B$2:$B$210,C812)&gt;0,ROUND(G812*(1-SUMIFS('İndirimler'!$D$2:$D$210,'İndirimler'!$A$2:$A$210,B812,'İndirimler'!$B$2:$B$210,C812)),2),"")</x:f>
      </x:c>
      <x:c r="J812"/>
      <x:c r="K812"/>
    </x:row>
    <x:row r="813">
      <x:c r="A813"/>
      <x:c r="B813"/>
      <x:c r="C813"/>
      <x:c r="D813"/>
      <x:c r="E813"/>
      <x:c r="F813"/>
      <x:c r="G813"/>
      <x:c r="H813" t="str">
        <x:f>IF(SUMIFS('İndirimler'!$C$2:$C$210,'İndirimler'!$A$2:$A$210,B813,'İndirimler'!$B$2:$B$210,C813)&gt;0,ROUND(G813*(1-SUMIFS('İndirimler'!$C$2:$C$210,'İndirimler'!$A$2:$A$210,B813,'İndirimler'!$B$2:$B$210,C813)),2),"")</x:f>
      </x:c>
      <x:c r="I813" t="str">
        <x:f>IF(SUMIFS('İndirimler'!$D$2:$D$210,'İndirimler'!$A$2:$A$210,B813,'İndirimler'!$B$2:$B$210,C813)&gt;0,ROUND(G813*(1-SUMIFS('İndirimler'!$D$2:$D$210,'İndirimler'!$A$2:$A$210,B813,'İndirimler'!$B$2:$B$210,C813)),2),"")</x:f>
      </x:c>
      <x:c r="J813"/>
      <x:c r="K813"/>
    </x:row>
    <x:row r="814">
      <x:c r="A814"/>
      <x:c r="B814"/>
      <x:c r="C814"/>
      <x:c r="D814"/>
      <x:c r="E814"/>
      <x:c r="F814"/>
      <x:c r="G814"/>
      <x:c r="H814" t="str">
        <x:f>IF(SUMIFS('İndirimler'!$C$2:$C$210,'İndirimler'!$A$2:$A$210,B814,'İndirimler'!$B$2:$B$210,C814)&gt;0,ROUND(G814*(1-SUMIFS('İndirimler'!$C$2:$C$210,'İndirimler'!$A$2:$A$210,B814,'İndirimler'!$B$2:$B$210,C814)),2),"")</x:f>
      </x:c>
      <x:c r="I814" t="str">
        <x:f>IF(SUMIFS('İndirimler'!$D$2:$D$210,'İndirimler'!$A$2:$A$210,B814,'İndirimler'!$B$2:$B$210,C814)&gt;0,ROUND(G814*(1-SUMIFS('İndirimler'!$D$2:$D$210,'İndirimler'!$A$2:$A$210,B814,'İndirimler'!$B$2:$B$210,C814)),2),"")</x:f>
      </x:c>
      <x:c r="J814"/>
      <x:c r="K814"/>
    </x:row>
    <x:row r="815">
      <x:c r="A815"/>
      <x:c r="B815"/>
      <x:c r="C815"/>
      <x:c r="D815"/>
      <x:c r="E815"/>
      <x:c r="F815"/>
      <x:c r="G815"/>
      <x:c r="H815" t="str">
        <x:f>IF(SUMIFS('İndirimler'!$C$2:$C$210,'İndirimler'!$A$2:$A$210,B815,'İndirimler'!$B$2:$B$210,C815)&gt;0,ROUND(G815*(1-SUMIFS('İndirimler'!$C$2:$C$210,'İndirimler'!$A$2:$A$210,B815,'İndirimler'!$B$2:$B$210,C815)),2),"")</x:f>
      </x:c>
      <x:c r="I815" t="str">
        <x:f>IF(SUMIFS('İndirimler'!$D$2:$D$210,'İndirimler'!$A$2:$A$210,B815,'İndirimler'!$B$2:$B$210,C815)&gt;0,ROUND(G815*(1-SUMIFS('İndirimler'!$D$2:$D$210,'İndirimler'!$A$2:$A$210,B815,'İndirimler'!$B$2:$B$210,C815)),2),"")</x:f>
      </x:c>
      <x:c r="J815"/>
      <x:c r="K815"/>
    </x:row>
    <x:row r="816">
      <x:c r="A816"/>
      <x:c r="B816"/>
      <x:c r="C816"/>
      <x:c r="D816"/>
      <x:c r="E816"/>
      <x:c r="F816"/>
      <x:c r="G816"/>
      <x:c r="H816" t="str">
        <x:f>IF(SUMIFS('İndirimler'!$C$2:$C$210,'İndirimler'!$A$2:$A$210,B816,'İndirimler'!$B$2:$B$210,C816)&gt;0,ROUND(G816*(1-SUMIFS('İndirimler'!$C$2:$C$210,'İndirimler'!$A$2:$A$210,B816,'İndirimler'!$B$2:$B$210,C816)),2),"")</x:f>
      </x:c>
      <x:c r="I816" t="str">
        <x:f>IF(SUMIFS('İndirimler'!$D$2:$D$210,'İndirimler'!$A$2:$A$210,B816,'İndirimler'!$B$2:$B$210,C816)&gt;0,ROUND(G816*(1-SUMIFS('İndirimler'!$D$2:$D$210,'İndirimler'!$A$2:$A$210,B816,'İndirimler'!$B$2:$B$210,C816)),2),"")</x:f>
      </x:c>
      <x:c r="J816"/>
      <x:c r="K816"/>
    </x:row>
    <x:row r="817">
      <x:c r="A817"/>
      <x:c r="B817"/>
      <x:c r="C817"/>
      <x:c r="D817"/>
      <x:c r="E817"/>
      <x:c r="F817"/>
      <x:c r="G817"/>
      <x:c r="H817" t="str">
        <x:f>IF(SUMIFS('İndirimler'!$C$2:$C$210,'İndirimler'!$A$2:$A$210,B817,'İndirimler'!$B$2:$B$210,C817)&gt;0,ROUND(G817*(1-SUMIFS('İndirimler'!$C$2:$C$210,'İndirimler'!$A$2:$A$210,B817,'İndirimler'!$B$2:$B$210,C817)),2),"")</x:f>
      </x:c>
      <x:c r="I817" t="str">
        <x:f>IF(SUMIFS('İndirimler'!$D$2:$D$210,'İndirimler'!$A$2:$A$210,B817,'İndirimler'!$B$2:$B$210,C817)&gt;0,ROUND(G817*(1-SUMIFS('İndirimler'!$D$2:$D$210,'İndirimler'!$A$2:$A$210,B817,'İndirimler'!$B$2:$B$210,C817)),2),"")</x:f>
      </x:c>
      <x:c r="J817"/>
      <x:c r="K817"/>
    </x:row>
    <x:row r="818">
      <x:c r="A818"/>
      <x:c r="B818"/>
      <x:c r="C818"/>
      <x:c r="D818"/>
      <x:c r="E818"/>
      <x:c r="F818"/>
      <x:c r="G818"/>
      <x:c r="H818" t="str">
        <x:f>IF(SUMIFS('İndirimler'!$C$2:$C$210,'İndirimler'!$A$2:$A$210,B818,'İndirimler'!$B$2:$B$210,C818)&gt;0,ROUND(G818*(1-SUMIFS('İndirimler'!$C$2:$C$210,'İndirimler'!$A$2:$A$210,B818,'İndirimler'!$B$2:$B$210,C818)),2),"")</x:f>
      </x:c>
      <x:c r="I818" t="str">
        <x:f>IF(SUMIFS('İndirimler'!$D$2:$D$210,'İndirimler'!$A$2:$A$210,B818,'İndirimler'!$B$2:$B$210,C818)&gt;0,ROUND(G818*(1-SUMIFS('İndirimler'!$D$2:$D$210,'İndirimler'!$A$2:$A$210,B818,'İndirimler'!$B$2:$B$210,C818)),2),"")</x:f>
      </x:c>
      <x:c r="J818"/>
      <x:c r="K818"/>
    </x:row>
    <x:row r="819">
      <x:c r="A819"/>
      <x:c r="B819"/>
      <x:c r="C819"/>
      <x:c r="D819"/>
      <x:c r="E819"/>
      <x:c r="F819"/>
      <x:c r="G819"/>
      <x:c r="H819" t="str">
        <x:f>IF(SUMIFS('İndirimler'!$C$2:$C$210,'İndirimler'!$A$2:$A$210,B819,'İndirimler'!$B$2:$B$210,C819)&gt;0,ROUND(G819*(1-SUMIFS('İndirimler'!$C$2:$C$210,'İndirimler'!$A$2:$A$210,B819,'İndirimler'!$B$2:$B$210,C819)),2),"")</x:f>
      </x:c>
      <x:c r="I819" t="str">
        <x:f>IF(SUMIFS('İndirimler'!$D$2:$D$210,'İndirimler'!$A$2:$A$210,B819,'İndirimler'!$B$2:$B$210,C819)&gt;0,ROUND(G819*(1-SUMIFS('İndirimler'!$D$2:$D$210,'İndirimler'!$A$2:$A$210,B819,'İndirimler'!$B$2:$B$210,C819)),2),"")</x:f>
      </x:c>
      <x:c r="J819"/>
      <x:c r="K819"/>
    </x:row>
    <x:row r="820">
      <x:c r="A820"/>
      <x:c r="B820"/>
      <x:c r="C820"/>
      <x:c r="D820"/>
      <x:c r="E820"/>
      <x:c r="F820"/>
      <x:c r="G820"/>
      <x:c r="H820" t="str">
        <x:f>IF(SUMIFS('İndirimler'!$C$2:$C$210,'İndirimler'!$A$2:$A$210,B820,'İndirimler'!$B$2:$B$210,C820)&gt;0,ROUND(G820*(1-SUMIFS('İndirimler'!$C$2:$C$210,'İndirimler'!$A$2:$A$210,B820,'İndirimler'!$B$2:$B$210,C820)),2),"")</x:f>
      </x:c>
      <x:c r="I820" t="str">
        <x:f>IF(SUMIFS('İndirimler'!$D$2:$D$210,'İndirimler'!$A$2:$A$210,B820,'İndirimler'!$B$2:$B$210,C820)&gt;0,ROUND(G820*(1-SUMIFS('İndirimler'!$D$2:$D$210,'İndirimler'!$A$2:$A$210,B820,'İndirimler'!$B$2:$B$210,C820)),2),"")</x:f>
      </x:c>
      <x:c r="J820"/>
      <x:c r="K820"/>
    </x:row>
    <x:row r="821">
      <x:c r="A821"/>
      <x:c r="B821"/>
      <x:c r="C821"/>
      <x:c r="D821"/>
      <x:c r="E821"/>
      <x:c r="F821"/>
      <x:c r="G821"/>
      <x:c r="H821" t="str">
        <x:f>IF(SUMIFS('İndirimler'!$C$2:$C$210,'İndirimler'!$A$2:$A$210,B821,'İndirimler'!$B$2:$B$210,C821)&gt;0,ROUND(G821*(1-SUMIFS('İndirimler'!$C$2:$C$210,'İndirimler'!$A$2:$A$210,B821,'İndirimler'!$B$2:$B$210,C821)),2),"")</x:f>
      </x:c>
      <x:c r="I821" t="str">
        <x:f>IF(SUMIFS('İndirimler'!$D$2:$D$210,'İndirimler'!$A$2:$A$210,B821,'İndirimler'!$B$2:$B$210,C821)&gt;0,ROUND(G821*(1-SUMIFS('İndirimler'!$D$2:$D$210,'İndirimler'!$A$2:$A$210,B821,'İndirimler'!$B$2:$B$210,C821)),2),"")</x:f>
      </x:c>
      <x:c r="J821"/>
      <x:c r="K821"/>
    </x:row>
    <x:row r="822">
      <x:c r="A822"/>
      <x:c r="B822"/>
      <x:c r="C822"/>
      <x:c r="D822"/>
      <x:c r="E822"/>
      <x:c r="F822"/>
      <x:c r="G822"/>
      <x:c r="H822" t="str">
        <x:f>IF(SUMIFS('İndirimler'!$C$2:$C$210,'İndirimler'!$A$2:$A$210,B822,'İndirimler'!$B$2:$B$210,C822)&gt;0,ROUND(G822*(1-SUMIFS('İndirimler'!$C$2:$C$210,'İndirimler'!$A$2:$A$210,B822,'İndirimler'!$B$2:$B$210,C822)),2),"")</x:f>
      </x:c>
      <x:c r="I822" t="str">
        <x:f>IF(SUMIFS('İndirimler'!$D$2:$D$210,'İndirimler'!$A$2:$A$210,B822,'İndirimler'!$B$2:$B$210,C822)&gt;0,ROUND(G822*(1-SUMIFS('İndirimler'!$D$2:$D$210,'İndirimler'!$A$2:$A$210,B822,'İndirimler'!$B$2:$B$210,C822)),2),"")</x:f>
      </x:c>
      <x:c r="J822"/>
      <x:c r="K822"/>
    </x:row>
    <x:row r="823">
      <x:c r="A823"/>
      <x:c r="B823"/>
      <x:c r="C823"/>
      <x:c r="D823"/>
      <x:c r="E823"/>
      <x:c r="F823"/>
      <x:c r="G823"/>
      <x:c r="H823" t="str">
        <x:f>IF(SUMIFS('İndirimler'!$C$2:$C$210,'İndirimler'!$A$2:$A$210,B823,'İndirimler'!$B$2:$B$210,C823)&gt;0,ROUND(G823*(1-SUMIFS('İndirimler'!$C$2:$C$210,'İndirimler'!$A$2:$A$210,B823,'İndirimler'!$B$2:$B$210,C823)),2),"")</x:f>
      </x:c>
      <x:c r="I823" t="str">
        <x:f>IF(SUMIFS('İndirimler'!$D$2:$D$210,'İndirimler'!$A$2:$A$210,B823,'İndirimler'!$B$2:$B$210,C823)&gt;0,ROUND(G823*(1-SUMIFS('İndirimler'!$D$2:$D$210,'İndirimler'!$A$2:$A$210,B823,'İndirimler'!$B$2:$B$210,C823)),2),"")</x:f>
      </x:c>
      <x:c r="J823"/>
      <x:c r="K823"/>
    </x:row>
    <x:row r="824">
      <x:c r="A824"/>
      <x:c r="B824"/>
      <x:c r="C824"/>
      <x:c r="D824"/>
      <x:c r="E824"/>
      <x:c r="F824"/>
      <x:c r="G824"/>
      <x:c r="H824" t="str">
        <x:f>IF(SUMIFS('İndirimler'!$C$2:$C$210,'İndirimler'!$A$2:$A$210,B824,'İndirimler'!$B$2:$B$210,C824)&gt;0,ROUND(G824*(1-SUMIFS('İndirimler'!$C$2:$C$210,'İndirimler'!$A$2:$A$210,B824,'İndirimler'!$B$2:$B$210,C824)),2),"")</x:f>
      </x:c>
      <x:c r="I824" t="str">
        <x:f>IF(SUMIFS('İndirimler'!$D$2:$D$210,'İndirimler'!$A$2:$A$210,B824,'İndirimler'!$B$2:$B$210,C824)&gt;0,ROUND(G824*(1-SUMIFS('İndirimler'!$D$2:$D$210,'İndirimler'!$A$2:$A$210,B824,'İndirimler'!$B$2:$B$210,C824)),2),"")</x:f>
      </x:c>
      <x:c r="J824"/>
      <x:c r="K824"/>
    </x:row>
    <x:row r="825">
      <x:c r="A825"/>
      <x:c r="B825"/>
      <x:c r="C825"/>
      <x:c r="D825"/>
      <x:c r="E825"/>
      <x:c r="F825"/>
      <x:c r="G825"/>
      <x:c r="H825" t="str">
        <x:f>IF(SUMIFS('İndirimler'!$C$2:$C$210,'İndirimler'!$A$2:$A$210,B825,'İndirimler'!$B$2:$B$210,C825)&gt;0,ROUND(G825*(1-SUMIFS('İndirimler'!$C$2:$C$210,'İndirimler'!$A$2:$A$210,B825,'İndirimler'!$B$2:$B$210,C825)),2),"")</x:f>
      </x:c>
      <x:c r="I825" t="str">
        <x:f>IF(SUMIFS('İndirimler'!$D$2:$D$210,'İndirimler'!$A$2:$A$210,B825,'İndirimler'!$B$2:$B$210,C825)&gt;0,ROUND(G825*(1-SUMIFS('İndirimler'!$D$2:$D$210,'İndirimler'!$A$2:$A$210,B825,'İndirimler'!$B$2:$B$210,C825)),2),"")</x:f>
      </x:c>
      <x:c r="J825"/>
      <x:c r="K825"/>
    </x:row>
    <x:row r="826">
      <x:c r="A826"/>
      <x:c r="B826"/>
      <x:c r="C826"/>
      <x:c r="D826"/>
      <x:c r="E826"/>
      <x:c r="F826"/>
      <x:c r="G826"/>
      <x:c r="H826" t="str">
        <x:f>IF(SUMIFS('İndirimler'!$C$2:$C$210,'İndirimler'!$A$2:$A$210,B826,'İndirimler'!$B$2:$B$210,C826)&gt;0,ROUND(G826*(1-SUMIFS('İndirimler'!$C$2:$C$210,'İndirimler'!$A$2:$A$210,B826,'İndirimler'!$B$2:$B$210,C826)),2),"")</x:f>
      </x:c>
      <x:c r="I826" t="str">
        <x:f>IF(SUMIFS('İndirimler'!$D$2:$D$210,'İndirimler'!$A$2:$A$210,B826,'İndirimler'!$B$2:$B$210,C826)&gt;0,ROUND(G826*(1-SUMIFS('İndirimler'!$D$2:$D$210,'İndirimler'!$A$2:$A$210,B826,'İndirimler'!$B$2:$B$210,C826)),2),"")</x:f>
      </x:c>
      <x:c r="J826"/>
      <x:c r="K826"/>
    </x:row>
    <x:row r="827">
      <x:c r="A827"/>
      <x:c r="B827"/>
      <x:c r="C827"/>
      <x:c r="D827"/>
      <x:c r="E827"/>
      <x:c r="F827"/>
      <x:c r="G827"/>
      <x:c r="H827" t="str">
        <x:f>IF(SUMIFS('İndirimler'!$C$2:$C$210,'İndirimler'!$A$2:$A$210,B827,'İndirimler'!$B$2:$B$210,C827)&gt;0,ROUND(G827*(1-SUMIFS('İndirimler'!$C$2:$C$210,'İndirimler'!$A$2:$A$210,B827,'İndirimler'!$B$2:$B$210,C827)),2),"")</x:f>
      </x:c>
      <x:c r="I827" t="str">
        <x:f>IF(SUMIFS('İndirimler'!$D$2:$D$210,'İndirimler'!$A$2:$A$210,B827,'İndirimler'!$B$2:$B$210,C827)&gt;0,ROUND(G827*(1-SUMIFS('İndirimler'!$D$2:$D$210,'İndirimler'!$A$2:$A$210,B827,'İndirimler'!$B$2:$B$210,C827)),2),"")</x:f>
      </x:c>
      <x:c r="J827"/>
      <x:c r="K827"/>
    </x:row>
    <x:row r="828">
      <x:c r="A828"/>
      <x:c r="B828"/>
      <x:c r="C828"/>
      <x:c r="D828"/>
      <x:c r="E828"/>
      <x:c r="F828"/>
      <x:c r="G828"/>
      <x:c r="H828" t="str">
        <x:f>IF(SUMIFS('İndirimler'!$C$2:$C$210,'İndirimler'!$A$2:$A$210,B828,'İndirimler'!$B$2:$B$210,C828)&gt;0,ROUND(G828*(1-SUMIFS('İndirimler'!$C$2:$C$210,'İndirimler'!$A$2:$A$210,B828,'İndirimler'!$B$2:$B$210,C828)),2),"")</x:f>
      </x:c>
      <x:c r="I828" t="str">
        <x:f>IF(SUMIFS('İndirimler'!$D$2:$D$210,'İndirimler'!$A$2:$A$210,B828,'İndirimler'!$B$2:$B$210,C828)&gt;0,ROUND(G828*(1-SUMIFS('İndirimler'!$D$2:$D$210,'İndirimler'!$A$2:$A$210,B828,'İndirimler'!$B$2:$B$210,C828)),2),"")</x:f>
      </x:c>
      <x:c r="J828"/>
      <x:c r="K828"/>
    </x:row>
    <x:row r="829">
      <x:c r="A829"/>
      <x:c r="B829"/>
      <x:c r="C829"/>
      <x:c r="D829"/>
      <x:c r="E829"/>
      <x:c r="F829"/>
      <x:c r="G829"/>
      <x:c r="H829" t="str">
        <x:f>IF(SUMIFS('İndirimler'!$C$2:$C$210,'İndirimler'!$A$2:$A$210,B829,'İndirimler'!$B$2:$B$210,C829)&gt;0,ROUND(G829*(1-SUMIFS('İndirimler'!$C$2:$C$210,'İndirimler'!$A$2:$A$210,B829,'İndirimler'!$B$2:$B$210,C829)),2),"")</x:f>
      </x:c>
      <x:c r="I829" t="str">
        <x:f>IF(SUMIFS('İndirimler'!$D$2:$D$210,'İndirimler'!$A$2:$A$210,B829,'İndirimler'!$B$2:$B$210,C829)&gt;0,ROUND(G829*(1-SUMIFS('İndirimler'!$D$2:$D$210,'İndirimler'!$A$2:$A$210,B829,'İndirimler'!$B$2:$B$210,C829)),2),"")</x:f>
      </x:c>
      <x:c r="J829"/>
      <x:c r="K829"/>
    </x:row>
    <x:row r="830">
      <x:c r="A830"/>
      <x:c r="B830"/>
      <x:c r="C830"/>
      <x:c r="D830"/>
      <x:c r="E830"/>
      <x:c r="F830"/>
      <x:c r="G830"/>
      <x:c r="H830" t="str">
        <x:f>IF(SUMIFS('İndirimler'!$C$2:$C$210,'İndirimler'!$A$2:$A$210,B830,'İndirimler'!$B$2:$B$210,C830)&gt;0,ROUND(G830*(1-SUMIFS('İndirimler'!$C$2:$C$210,'İndirimler'!$A$2:$A$210,B830,'İndirimler'!$B$2:$B$210,C830)),2),"")</x:f>
      </x:c>
      <x:c r="I830" t="str">
        <x:f>IF(SUMIFS('İndirimler'!$D$2:$D$210,'İndirimler'!$A$2:$A$210,B830,'İndirimler'!$B$2:$B$210,C830)&gt;0,ROUND(G830*(1-SUMIFS('İndirimler'!$D$2:$D$210,'İndirimler'!$A$2:$A$210,B830,'İndirimler'!$B$2:$B$210,C830)),2),"")</x:f>
      </x:c>
      <x:c r="J830"/>
      <x:c r="K830"/>
    </x:row>
    <x:row r="831">
      <x:c r="A831"/>
      <x:c r="B831"/>
      <x:c r="C831"/>
      <x:c r="D831"/>
      <x:c r="E831"/>
      <x:c r="F831"/>
      <x:c r="G831"/>
      <x:c r="H831" t="str">
        <x:f>IF(SUMIFS('İndirimler'!$C$2:$C$210,'İndirimler'!$A$2:$A$210,B831,'İndirimler'!$B$2:$B$210,C831)&gt;0,ROUND(G831*(1-SUMIFS('İndirimler'!$C$2:$C$210,'İndirimler'!$A$2:$A$210,B831,'İndirimler'!$B$2:$B$210,C831)),2),"")</x:f>
      </x:c>
      <x:c r="I831" t="str">
        <x:f>IF(SUMIFS('İndirimler'!$D$2:$D$210,'İndirimler'!$A$2:$A$210,B831,'İndirimler'!$B$2:$B$210,C831)&gt;0,ROUND(G831*(1-SUMIFS('İndirimler'!$D$2:$D$210,'İndirimler'!$A$2:$A$210,B831,'İndirimler'!$B$2:$B$210,C831)),2),"")</x:f>
      </x:c>
      <x:c r="J831"/>
      <x:c r="K831"/>
    </x:row>
    <x:row r="832">
      <x:c r="A832"/>
      <x:c r="B832"/>
      <x:c r="C832"/>
      <x:c r="D832"/>
      <x:c r="E832"/>
      <x:c r="F832"/>
      <x:c r="G832"/>
      <x:c r="H832" t="str">
        <x:f>IF(SUMIFS('İndirimler'!$C$2:$C$210,'İndirimler'!$A$2:$A$210,B832,'İndirimler'!$B$2:$B$210,C832)&gt;0,ROUND(G832*(1-SUMIFS('İndirimler'!$C$2:$C$210,'İndirimler'!$A$2:$A$210,B832,'İndirimler'!$B$2:$B$210,C832)),2),"")</x:f>
      </x:c>
      <x:c r="I832" t="str">
        <x:f>IF(SUMIFS('İndirimler'!$D$2:$D$210,'İndirimler'!$A$2:$A$210,B832,'İndirimler'!$B$2:$B$210,C832)&gt;0,ROUND(G832*(1-SUMIFS('İndirimler'!$D$2:$D$210,'İndirimler'!$A$2:$A$210,B832,'İndirimler'!$B$2:$B$210,C832)),2),"")</x:f>
      </x:c>
      <x:c r="J832"/>
      <x:c r="K832"/>
    </x:row>
    <x:row r="833">
      <x:c r="A833"/>
      <x:c r="B833"/>
      <x:c r="C833"/>
      <x:c r="D833"/>
      <x:c r="E833"/>
      <x:c r="F833"/>
      <x:c r="G833"/>
      <x:c r="H833" t="str">
        <x:f>IF(SUMIFS('İndirimler'!$C$2:$C$210,'İndirimler'!$A$2:$A$210,B833,'İndirimler'!$B$2:$B$210,C833)&gt;0,ROUND(G833*(1-SUMIFS('İndirimler'!$C$2:$C$210,'İndirimler'!$A$2:$A$210,B833,'İndirimler'!$B$2:$B$210,C833)),2),"")</x:f>
      </x:c>
      <x:c r="I833" t="str">
        <x:f>IF(SUMIFS('İndirimler'!$D$2:$D$210,'İndirimler'!$A$2:$A$210,B833,'İndirimler'!$B$2:$B$210,C833)&gt;0,ROUND(G833*(1-SUMIFS('İndirimler'!$D$2:$D$210,'İndirimler'!$A$2:$A$210,B833,'İndirimler'!$B$2:$B$210,C833)),2),"")</x:f>
      </x:c>
      <x:c r="J833"/>
      <x:c r="K833"/>
    </x:row>
    <x:row r="834">
      <x:c r="A834"/>
      <x:c r="B834"/>
      <x:c r="C834"/>
      <x:c r="D834"/>
      <x:c r="E834"/>
      <x:c r="F834"/>
      <x:c r="G834"/>
      <x:c r="H834" t="str">
        <x:f>IF(SUMIFS('İndirimler'!$C$2:$C$210,'İndirimler'!$A$2:$A$210,B834,'İndirimler'!$B$2:$B$210,C834)&gt;0,ROUND(G834*(1-SUMIFS('İndirimler'!$C$2:$C$210,'İndirimler'!$A$2:$A$210,B834,'İndirimler'!$B$2:$B$210,C834)),2),"")</x:f>
      </x:c>
      <x:c r="I834" t="str">
        <x:f>IF(SUMIFS('İndirimler'!$D$2:$D$210,'İndirimler'!$A$2:$A$210,B834,'İndirimler'!$B$2:$B$210,C834)&gt;0,ROUND(G834*(1-SUMIFS('İndirimler'!$D$2:$D$210,'İndirimler'!$A$2:$A$210,B834,'İndirimler'!$B$2:$B$210,C834)),2),"")</x:f>
      </x:c>
      <x:c r="J834"/>
      <x:c r="K834"/>
    </x:row>
    <x:row r="835">
      <x:c r="A835"/>
      <x:c r="B835"/>
      <x:c r="C835"/>
      <x:c r="D835"/>
      <x:c r="E835"/>
      <x:c r="F835"/>
      <x:c r="G835"/>
      <x:c r="H835" t="str">
        <x:f>IF(SUMIFS('İndirimler'!$C$2:$C$210,'İndirimler'!$A$2:$A$210,B835,'İndirimler'!$B$2:$B$210,C835)&gt;0,ROUND(G835*(1-SUMIFS('İndirimler'!$C$2:$C$210,'İndirimler'!$A$2:$A$210,B835,'İndirimler'!$B$2:$B$210,C835)),2),"")</x:f>
      </x:c>
      <x:c r="I835" t="str">
        <x:f>IF(SUMIFS('İndirimler'!$D$2:$D$210,'İndirimler'!$A$2:$A$210,B835,'İndirimler'!$B$2:$B$210,C835)&gt;0,ROUND(G835*(1-SUMIFS('İndirimler'!$D$2:$D$210,'İndirimler'!$A$2:$A$210,B835,'İndirimler'!$B$2:$B$210,C835)),2),"")</x:f>
      </x:c>
      <x:c r="J835"/>
      <x:c r="K835"/>
    </x:row>
    <x:row r="836">
      <x:c r="A836"/>
      <x:c r="B836"/>
      <x:c r="C836"/>
      <x:c r="D836"/>
      <x:c r="E836"/>
      <x:c r="F836"/>
      <x:c r="G836"/>
      <x:c r="H836" t="str">
        <x:f>IF(SUMIFS('İndirimler'!$C$2:$C$210,'İndirimler'!$A$2:$A$210,B836,'İndirimler'!$B$2:$B$210,C836)&gt;0,ROUND(G836*(1-SUMIFS('İndirimler'!$C$2:$C$210,'İndirimler'!$A$2:$A$210,B836,'İndirimler'!$B$2:$B$210,C836)),2),"")</x:f>
      </x:c>
      <x:c r="I836" t="str">
        <x:f>IF(SUMIFS('İndirimler'!$D$2:$D$210,'İndirimler'!$A$2:$A$210,B836,'İndirimler'!$B$2:$B$210,C836)&gt;0,ROUND(G836*(1-SUMIFS('İndirimler'!$D$2:$D$210,'İndirimler'!$A$2:$A$210,B836,'İndirimler'!$B$2:$B$210,C836)),2),"")</x:f>
      </x:c>
      <x:c r="J836"/>
      <x:c r="K836"/>
    </x:row>
    <x:row r="837">
      <x:c r="A837"/>
      <x:c r="B837"/>
      <x:c r="C837"/>
      <x:c r="D837"/>
      <x:c r="E837"/>
      <x:c r="F837"/>
      <x:c r="G837"/>
      <x:c r="H837" t="str">
        <x:f>IF(SUMIFS('İndirimler'!$C$2:$C$210,'İndirimler'!$A$2:$A$210,B837,'İndirimler'!$B$2:$B$210,C837)&gt;0,ROUND(G837*(1-SUMIFS('İndirimler'!$C$2:$C$210,'İndirimler'!$A$2:$A$210,B837,'İndirimler'!$B$2:$B$210,C837)),2),"")</x:f>
      </x:c>
      <x:c r="I837" t="str">
        <x:f>IF(SUMIFS('İndirimler'!$D$2:$D$210,'İndirimler'!$A$2:$A$210,B837,'İndirimler'!$B$2:$B$210,C837)&gt;0,ROUND(G837*(1-SUMIFS('İndirimler'!$D$2:$D$210,'İndirimler'!$A$2:$A$210,B837,'İndirimler'!$B$2:$B$210,C837)),2),"")</x:f>
      </x:c>
      <x:c r="J837"/>
      <x:c r="K837"/>
    </x:row>
    <x:row r="838">
      <x:c r="A838"/>
      <x:c r="B838"/>
      <x:c r="C838"/>
      <x:c r="D838"/>
      <x:c r="E838"/>
      <x:c r="F838"/>
      <x:c r="G838"/>
      <x:c r="H838" t="str">
        <x:f>IF(SUMIFS('İndirimler'!$C$2:$C$210,'İndirimler'!$A$2:$A$210,B838,'İndirimler'!$B$2:$B$210,C838)&gt;0,ROUND(G838*(1-SUMIFS('İndirimler'!$C$2:$C$210,'İndirimler'!$A$2:$A$210,B838,'İndirimler'!$B$2:$B$210,C838)),2),"")</x:f>
      </x:c>
      <x:c r="I838" t="str">
        <x:f>IF(SUMIFS('İndirimler'!$D$2:$D$210,'İndirimler'!$A$2:$A$210,B838,'İndirimler'!$B$2:$B$210,C838)&gt;0,ROUND(G838*(1-SUMIFS('İndirimler'!$D$2:$D$210,'İndirimler'!$A$2:$A$210,B838,'İndirimler'!$B$2:$B$210,C838)),2),"")</x:f>
      </x:c>
      <x:c r="J838"/>
      <x:c r="K838"/>
    </x:row>
    <x:row r="839">
      <x:c r="A839"/>
      <x:c r="B839"/>
      <x:c r="C839"/>
      <x:c r="D839"/>
      <x:c r="E839"/>
      <x:c r="F839"/>
      <x:c r="G839"/>
      <x:c r="H839" t="str">
        <x:f>IF(SUMIFS('İndirimler'!$C$2:$C$210,'İndirimler'!$A$2:$A$210,B839,'İndirimler'!$B$2:$B$210,C839)&gt;0,ROUND(G839*(1-SUMIFS('İndirimler'!$C$2:$C$210,'İndirimler'!$A$2:$A$210,B839,'İndirimler'!$B$2:$B$210,C839)),2),"")</x:f>
      </x:c>
      <x:c r="I839" t="str">
        <x:f>IF(SUMIFS('İndirimler'!$D$2:$D$210,'İndirimler'!$A$2:$A$210,B839,'İndirimler'!$B$2:$B$210,C839)&gt;0,ROUND(G839*(1-SUMIFS('İndirimler'!$D$2:$D$210,'İndirimler'!$A$2:$A$210,B839,'İndirimler'!$B$2:$B$210,C839)),2),"")</x:f>
      </x:c>
      <x:c r="J839"/>
      <x:c r="K839"/>
    </x:row>
    <x:row r="840">
      <x:c r="A840"/>
      <x:c r="B840"/>
      <x:c r="C840"/>
      <x:c r="D840"/>
      <x:c r="E840"/>
      <x:c r="F840"/>
      <x:c r="G840"/>
      <x:c r="H840" t="str">
        <x:f>IF(SUMIFS('İndirimler'!$C$2:$C$210,'İndirimler'!$A$2:$A$210,B840,'İndirimler'!$B$2:$B$210,C840)&gt;0,ROUND(G840*(1-SUMIFS('İndirimler'!$C$2:$C$210,'İndirimler'!$A$2:$A$210,B840,'İndirimler'!$B$2:$B$210,C840)),2),"")</x:f>
      </x:c>
      <x:c r="I840" t="str">
        <x:f>IF(SUMIFS('İndirimler'!$D$2:$D$210,'İndirimler'!$A$2:$A$210,B840,'İndirimler'!$B$2:$B$210,C840)&gt;0,ROUND(G840*(1-SUMIFS('İndirimler'!$D$2:$D$210,'İndirimler'!$A$2:$A$210,B840,'İndirimler'!$B$2:$B$210,C840)),2),"")</x:f>
      </x:c>
      <x:c r="J840"/>
      <x:c r="K840"/>
    </x:row>
    <x:row r="841">
      <x:c r="A841"/>
      <x:c r="B841"/>
      <x:c r="C841"/>
      <x:c r="D841"/>
      <x:c r="E841"/>
      <x:c r="F841"/>
      <x:c r="G841"/>
      <x:c r="H841" t="str">
        <x:f>IF(SUMIFS('İndirimler'!$C$2:$C$210,'İndirimler'!$A$2:$A$210,B841,'İndirimler'!$B$2:$B$210,C841)&gt;0,ROUND(G841*(1-SUMIFS('İndirimler'!$C$2:$C$210,'İndirimler'!$A$2:$A$210,B841,'İndirimler'!$B$2:$B$210,C841)),2),"")</x:f>
      </x:c>
      <x:c r="I841" t="str">
        <x:f>IF(SUMIFS('İndirimler'!$D$2:$D$210,'İndirimler'!$A$2:$A$210,B841,'İndirimler'!$B$2:$B$210,C841)&gt;0,ROUND(G841*(1-SUMIFS('İndirimler'!$D$2:$D$210,'İndirimler'!$A$2:$A$210,B841,'İndirimler'!$B$2:$B$210,C841)),2),"")</x:f>
      </x:c>
      <x:c r="J841"/>
      <x:c r="K841"/>
    </x:row>
    <x:row r="842">
      <x:c r="A842"/>
      <x:c r="B842"/>
      <x:c r="C842"/>
      <x:c r="D842"/>
      <x:c r="E842"/>
      <x:c r="F842"/>
      <x:c r="G842"/>
      <x:c r="H842" t="str">
        <x:f>IF(SUMIFS('İndirimler'!$C$2:$C$210,'İndirimler'!$A$2:$A$210,B842,'İndirimler'!$B$2:$B$210,C842)&gt;0,ROUND(G842*(1-SUMIFS('İndirimler'!$C$2:$C$210,'İndirimler'!$A$2:$A$210,B842,'İndirimler'!$B$2:$B$210,C842)),2),"")</x:f>
      </x:c>
      <x:c r="I842" t="str">
        <x:f>IF(SUMIFS('İndirimler'!$D$2:$D$210,'İndirimler'!$A$2:$A$210,B842,'İndirimler'!$B$2:$B$210,C842)&gt;0,ROUND(G842*(1-SUMIFS('İndirimler'!$D$2:$D$210,'İndirimler'!$A$2:$A$210,B842,'İndirimler'!$B$2:$B$210,C842)),2),"")</x:f>
      </x:c>
      <x:c r="J842"/>
      <x:c r="K842"/>
    </x:row>
    <x:row r="843">
      <x:c r="A843"/>
      <x:c r="B843"/>
      <x:c r="C843"/>
      <x:c r="D843"/>
      <x:c r="E843"/>
      <x:c r="F843"/>
      <x:c r="G843"/>
      <x:c r="H843" t="str">
        <x:f>IF(SUMIFS('İndirimler'!$C$2:$C$210,'İndirimler'!$A$2:$A$210,B843,'İndirimler'!$B$2:$B$210,C843)&gt;0,ROUND(G843*(1-SUMIFS('İndirimler'!$C$2:$C$210,'İndirimler'!$A$2:$A$210,B843,'İndirimler'!$B$2:$B$210,C843)),2),"")</x:f>
      </x:c>
      <x:c r="I843" t="str">
        <x:f>IF(SUMIFS('İndirimler'!$D$2:$D$210,'İndirimler'!$A$2:$A$210,B843,'İndirimler'!$B$2:$B$210,C843)&gt;0,ROUND(G843*(1-SUMIFS('İndirimler'!$D$2:$D$210,'İndirimler'!$A$2:$A$210,B843,'İndirimler'!$B$2:$B$210,C843)),2),"")</x:f>
      </x:c>
      <x:c r="J843"/>
      <x:c r="K843"/>
    </x:row>
    <x:row r="844">
      <x:c r="A844"/>
      <x:c r="B844"/>
      <x:c r="C844"/>
      <x:c r="D844"/>
      <x:c r="E844"/>
      <x:c r="F844"/>
      <x:c r="G844"/>
      <x:c r="H844" t="str">
        <x:f>IF(SUMIFS('İndirimler'!$C$2:$C$210,'İndirimler'!$A$2:$A$210,B844,'İndirimler'!$B$2:$B$210,C844)&gt;0,ROUND(G844*(1-SUMIFS('İndirimler'!$C$2:$C$210,'İndirimler'!$A$2:$A$210,B844,'İndirimler'!$B$2:$B$210,C844)),2),"")</x:f>
      </x:c>
      <x:c r="I844" t="str">
        <x:f>IF(SUMIFS('İndirimler'!$D$2:$D$210,'İndirimler'!$A$2:$A$210,B844,'İndirimler'!$B$2:$B$210,C844)&gt;0,ROUND(G844*(1-SUMIFS('İndirimler'!$D$2:$D$210,'İndirimler'!$A$2:$A$210,B844,'İndirimler'!$B$2:$B$210,C844)),2),"")</x:f>
      </x:c>
      <x:c r="J844"/>
      <x:c r="K844"/>
    </x:row>
    <x:row r="845">
      <x:c r="A845"/>
      <x:c r="B845"/>
      <x:c r="C845"/>
      <x:c r="D845"/>
      <x:c r="E845"/>
      <x:c r="F845"/>
      <x:c r="G845"/>
      <x:c r="H845" t="str">
        <x:f>IF(SUMIFS('İndirimler'!$C$2:$C$210,'İndirimler'!$A$2:$A$210,B845,'İndirimler'!$B$2:$B$210,C845)&gt;0,ROUND(G845*(1-SUMIFS('İndirimler'!$C$2:$C$210,'İndirimler'!$A$2:$A$210,B845,'İndirimler'!$B$2:$B$210,C845)),2),"")</x:f>
      </x:c>
      <x:c r="I845" t="str">
        <x:f>IF(SUMIFS('İndirimler'!$D$2:$D$210,'İndirimler'!$A$2:$A$210,B845,'İndirimler'!$B$2:$B$210,C845)&gt;0,ROUND(G845*(1-SUMIFS('İndirimler'!$D$2:$D$210,'İndirimler'!$A$2:$A$210,B845,'İndirimler'!$B$2:$B$210,C845)),2),"")</x:f>
      </x:c>
      <x:c r="J845"/>
      <x:c r="K845"/>
    </x:row>
    <x:row r="846">
      <x:c r="A846"/>
      <x:c r="B846"/>
      <x:c r="C846"/>
      <x:c r="D846"/>
      <x:c r="E846"/>
      <x:c r="F846"/>
      <x:c r="G846"/>
      <x:c r="H846" t="str">
        <x:f>IF(SUMIFS('İndirimler'!$C$2:$C$210,'İndirimler'!$A$2:$A$210,B846,'İndirimler'!$B$2:$B$210,C846)&gt;0,ROUND(G846*(1-SUMIFS('İndirimler'!$C$2:$C$210,'İndirimler'!$A$2:$A$210,B846,'İndirimler'!$B$2:$B$210,C846)),2),"")</x:f>
      </x:c>
      <x:c r="I846" t="str">
        <x:f>IF(SUMIFS('İndirimler'!$D$2:$D$210,'İndirimler'!$A$2:$A$210,B846,'İndirimler'!$B$2:$B$210,C846)&gt;0,ROUND(G846*(1-SUMIFS('İndirimler'!$D$2:$D$210,'İndirimler'!$A$2:$A$210,B846,'İndirimler'!$B$2:$B$210,C846)),2),"")</x:f>
      </x:c>
      <x:c r="J846"/>
      <x:c r="K846"/>
    </x:row>
    <x:row r="847">
      <x:c r="A847"/>
      <x:c r="B847"/>
      <x:c r="C847"/>
      <x:c r="D847"/>
      <x:c r="E847"/>
      <x:c r="F847"/>
      <x:c r="G847"/>
      <x:c r="H847" t="str">
        <x:f>IF(SUMIFS('İndirimler'!$C$2:$C$210,'İndirimler'!$A$2:$A$210,B847,'İndirimler'!$B$2:$B$210,C847)&gt;0,ROUND(G847*(1-SUMIFS('İndirimler'!$C$2:$C$210,'İndirimler'!$A$2:$A$210,B847,'İndirimler'!$B$2:$B$210,C847)),2),"")</x:f>
      </x:c>
      <x:c r="I847" t="str">
        <x:f>IF(SUMIFS('İndirimler'!$D$2:$D$210,'İndirimler'!$A$2:$A$210,B847,'İndirimler'!$B$2:$B$210,C847)&gt;0,ROUND(G847*(1-SUMIFS('İndirimler'!$D$2:$D$210,'İndirimler'!$A$2:$A$210,B847,'İndirimler'!$B$2:$B$210,C847)),2),"")</x:f>
      </x:c>
      <x:c r="J847"/>
      <x:c r="K847"/>
    </x:row>
    <x:row r="848">
      <x:c r="A848"/>
      <x:c r="B848"/>
      <x:c r="C848"/>
      <x:c r="D848"/>
      <x:c r="E848"/>
      <x:c r="F848"/>
      <x:c r="G848"/>
      <x:c r="H848" t="str">
        <x:f>IF(SUMIFS('İndirimler'!$C$2:$C$210,'İndirimler'!$A$2:$A$210,B848,'İndirimler'!$B$2:$B$210,C848)&gt;0,ROUND(G848*(1-SUMIFS('İndirimler'!$C$2:$C$210,'İndirimler'!$A$2:$A$210,B848,'İndirimler'!$B$2:$B$210,C848)),2),"")</x:f>
      </x:c>
      <x:c r="I848" t="str">
        <x:f>IF(SUMIFS('İndirimler'!$D$2:$D$210,'İndirimler'!$A$2:$A$210,B848,'İndirimler'!$B$2:$B$210,C848)&gt;0,ROUND(G848*(1-SUMIFS('İndirimler'!$D$2:$D$210,'İndirimler'!$A$2:$A$210,B848,'İndirimler'!$B$2:$B$210,C848)),2),"")</x:f>
      </x:c>
      <x:c r="J848"/>
      <x:c r="K848"/>
    </x:row>
    <x:row r="849">
      <x:c r="A849"/>
      <x:c r="B849"/>
      <x:c r="C849"/>
      <x:c r="D849"/>
      <x:c r="E849"/>
      <x:c r="F849"/>
      <x:c r="G849"/>
      <x:c r="H849" t="str">
        <x:f>IF(SUMIFS('İndirimler'!$C$2:$C$210,'İndirimler'!$A$2:$A$210,B849,'İndirimler'!$B$2:$B$210,C849)&gt;0,ROUND(G849*(1-SUMIFS('İndirimler'!$C$2:$C$210,'İndirimler'!$A$2:$A$210,B849,'İndirimler'!$B$2:$B$210,C849)),2),"")</x:f>
      </x:c>
      <x:c r="I849" t="str">
        <x:f>IF(SUMIFS('İndirimler'!$D$2:$D$210,'İndirimler'!$A$2:$A$210,B849,'İndirimler'!$B$2:$B$210,C849)&gt;0,ROUND(G849*(1-SUMIFS('İndirimler'!$D$2:$D$210,'İndirimler'!$A$2:$A$210,B849,'İndirimler'!$B$2:$B$210,C849)),2),"")</x:f>
      </x:c>
      <x:c r="J849"/>
      <x:c r="K849"/>
    </x:row>
    <x:row r="850">
      <x:c r="A850"/>
      <x:c r="B850"/>
      <x:c r="C850"/>
      <x:c r="D850"/>
      <x:c r="E850"/>
      <x:c r="F850"/>
      <x:c r="G850"/>
      <x:c r="H850" t="str">
        <x:f>IF(SUMIFS('İndirimler'!$C$2:$C$210,'İndirimler'!$A$2:$A$210,B850,'İndirimler'!$B$2:$B$210,C850)&gt;0,ROUND(G850*(1-SUMIFS('İndirimler'!$C$2:$C$210,'İndirimler'!$A$2:$A$210,B850,'İndirimler'!$B$2:$B$210,C850)),2),"")</x:f>
      </x:c>
      <x:c r="I850" t="str">
        <x:f>IF(SUMIFS('İndirimler'!$D$2:$D$210,'İndirimler'!$A$2:$A$210,B850,'İndirimler'!$B$2:$B$210,C850)&gt;0,ROUND(G850*(1-SUMIFS('İndirimler'!$D$2:$D$210,'İndirimler'!$A$2:$A$210,B850,'İndirimler'!$B$2:$B$210,C850)),2),"")</x:f>
      </x:c>
      <x:c r="J850"/>
      <x:c r="K850"/>
    </x:row>
    <x:row r="851">
      <x:c r="A851"/>
      <x:c r="B851"/>
      <x:c r="C851"/>
      <x:c r="D851"/>
      <x:c r="E851"/>
      <x:c r="F851"/>
      <x:c r="G851"/>
      <x:c r="H851" t="str">
        <x:f>IF(SUMIFS('İndirimler'!$C$2:$C$210,'İndirimler'!$A$2:$A$210,B851,'İndirimler'!$B$2:$B$210,C851)&gt;0,ROUND(G851*(1-SUMIFS('İndirimler'!$C$2:$C$210,'İndirimler'!$A$2:$A$210,B851,'İndirimler'!$B$2:$B$210,C851)),2),"")</x:f>
      </x:c>
      <x:c r="I851" t="str">
        <x:f>IF(SUMIFS('İndirimler'!$D$2:$D$210,'İndirimler'!$A$2:$A$210,B851,'İndirimler'!$B$2:$B$210,C851)&gt;0,ROUND(G851*(1-SUMIFS('İndirimler'!$D$2:$D$210,'İndirimler'!$A$2:$A$210,B851,'İndirimler'!$B$2:$B$210,C851)),2),"")</x:f>
      </x:c>
      <x:c r="J851"/>
      <x:c r="K851"/>
    </x:row>
    <x:row r="852">
      <x:c r="A852"/>
      <x:c r="B852"/>
      <x:c r="C852"/>
      <x:c r="D852"/>
      <x:c r="E852"/>
      <x:c r="F852"/>
      <x:c r="G852"/>
      <x:c r="H852" t="str">
        <x:f>IF(SUMIFS('İndirimler'!$C$2:$C$210,'İndirimler'!$A$2:$A$210,B852,'İndirimler'!$B$2:$B$210,C852)&gt;0,ROUND(G852*(1-SUMIFS('İndirimler'!$C$2:$C$210,'İndirimler'!$A$2:$A$210,B852,'İndirimler'!$B$2:$B$210,C852)),2),"")</x:f>
      </x:c>
      <x:c r="I852" t="str">
        <x:f>IF(SUMIFS('İndirimler'!$D$2:$D$210,'İndirimler'!$A$2:$A$210,B852,'İndirimler'!$B$2:$B$210,C852)&gt;0,ROUND(G852*(1-SUMIFS('İndirimler'!$D$2:$D$210,'İndirimler'!$A$2:$A$210,B852,'İndirimler'!$B$2:$B$210,C852)),2),"")</x:f>
      </x:c>
      <x:c r="J852"/>
      <x:c r="K852"/>
    </x:row>
    <x:row r="853">
      <x:c r="A853"/>
      <x:c r="B853"/>
      <x:c r="C853"/>
      <x:c r="D853"/>
      <x:c r="E853"/>
      <x:c r="F853"/>
      <x:c r="G853"/>
      <x:c r="H853" t="str">
        <x:f>IF(SUMIFS('İndirimler'!$C$2:$C$210,'İndirimler'!$A$2:$A$210,B853,'İndirimler'!$B$2:$B$210,C853)&gt;0,ROUND(G853*(1-SUMIFS('İndirimler'!$C$2:$C$210,'İndirimler'!$A$2:$A$210,B853,'İndirimler'!$B$2:$B$210,C853)),2),"")</x:f>
      </x:c>
      <x:c r="I853" t="str">
        <x:f>IF(SUMIFS('İndirimler'!$D$2:$D$210,'İndirimler'!$A$2:$A$210,B853,'İndirimler'!$B$2:$B$210,C853)&gt;0,ROUND(G853*(1-SUMIFS('İndirimler'!$D$2:$D$210,'İndirimler'!$A$2:$A$210,B853,'İndirimler'!$B$2:$B$210,C853)),2),"")</x:f>
      </x:c>
      <x:c r="J853"/>
      <x:c r="K853"/>
    </x:row>
    <x:row r="854">
      <x:c r="A854"/>
      <x:c r="B854"/>
      <x:c r="C854"/>
      <x:c r="D854"/>
      <x:c r="E854"/>
      <x:c r="F854"/>
      <x:c r="G854"/>
      <x:c r="H854" t="str">
        <x:f>IF(SUMIFS('İndirimler'!$C$2:$C$210,'İndirimler'!$A$2:$A$210,B854,'İndirimler'!$B$2:$B$210,C854)&gt;0,ROUND(G854*(1-SUMIFS('İndirimler'!$C$2:$C$210,'İndirimler'!$A$2:$A$210,B854,'İndirimler'!$B$2:$B$210,C854)),2),"")</x:f>
      </x:c>
      <x:c r="I854" t="str">
        <x:f>IF(SUMIFS('İndirimler'!$D$2:$D$210,'İndirimler'!$A$2:$A$210,B854,'İndirimler'!$B$2:$B$210,C854)&gt;0,ROUND(G854*(1-SUMIFS('İndirimler'!$D$2:$D$210,'İndirimler'!$A$2:$A$210,B854,'İndirimler'!$B$2:$B$210,C854)),2),"")</x:f>
      </x:c>
      <x:c r="J854"/>
      <x:c r="K854"/>
    </x:row>
    <x:row r="855">
      <x:c r="A855"/>
      <x:c r="B855"/>
      <x:c r="C855"/>
      <x:c r="D855"/>
      <x:c r="E855"/>
      <x:c r="F855"/>
      <x:c r="G855"/>
      <x:c r="H855" t="str">
        <x:f>IF(SUMIFS('İndirimler'!$C$2:$C$210,'İndirimler'!$A$2:$A$210,B855,'İndirimler'!$B$2:$B$210,C855)&gt;0,ROUND(G855*(1-SUMIFS('İndirimler'!$C$2:$C$210,'İndirimler'!$A$2:$A$210,B855,'İndirimler'!$B$2:$B$210,C855)),2),"")</x:f>
      </x:c>
      <x:c r="I855" t="str">
        <x:f>IF(SUMIFS('İndirimler'!$D$2:$D$210,'İndirimler'!$A$2:$A$210,B855,'İndirimler'!$B$2:$B$210,C855)&gt;0,ROUND(G855*(1-SUMIFS('İndirimler'!$D$2:$D$210,'İndirimler'!$A$2:$A$210,B855,'İndirimler'!$B$2:$B$210,C855)),2),"")</x:f>
      </x:c>
      <x:c r="J855"/>
      <x:c r="K855"/>
    </x:row>
    <x:row r="856">
      <x:c r="A856"/>
      <x:c r="B856"/>
      <x:c r="C856"/>
      <x:c r="D856"/>
      <x:c r="E856"/>
      <x:c r="F856"/>
      <x:c r="G856"/>
      <x:c r="H856" t="str">
        <x:f>IF(SUMIFS('İndirimler'!$C$2:$C$210,'İndirimler'!$A$2:$A$210,B856,'İndirimler'!$B$2:$B$210,C856)&gt;0,ROUND(G856*(1-SUMIFS('İndirimler'!$C$2:$C$210,'İndirimler'!$A$2:$A$210,B856,'İndirimler'!$B$2:$B$210,C856)),2),"")</x:f>
      </x:c>
      <x:c r="I856" t="str">
        <x:f>IF(SUMIFS('İndirimler'!$D$2:$D$210,'İndirimler'!$A$2:$A$210,B856,'İndirimler'!$B$2:$B$210,C856)&gt;0,ROUND(G856*(1-SUMIFS('İndirimler'!$D$2:$D$210,'İndirimler'!$A$2:$A$210,B856,'İndirimler'!$B$2:$B$210,C856)),2),"")</x:f>
      </x:c>
      <x:c r="J856"/>
      <x:c r="K856"/>
    </x:row>
    <x:row r="857">
      <x:c r="A857"/>
      <x:c r="B857"/>
      <x:c r="C857"/>
      <x:c r="D857"/>
      <x:c r="E857"/>
      <x:c r="F857"/>
      <x:c r="G857"/>
      <x:c r="H857" t="str">
        <x:f>IF(SUMIFS('İndirimler'!$C$2:$C$210,'İndirimler'!$A$2:$A$210,B857,'İndirimler'!$B$2:$B$210,C857)&gt;0,ROUND(G857*(1-SUMIFS('İndirimler'!$C$2:$C$210,'İndirimler'!$A$2:$A$210,B857,'İndirimler'!$B$2:$B$210,C857)),2),"")</x:f>
      </x:c>
      <x:c r="I857" t="str">
        <x:f>IF(SUMIFS('İndirimler'!$D$2:$D$210,'İndirimler'!$A$2:$A$210,B857,'İndirimler'!$B$2:$B$210,C857)&gt;0,ROUND(G857*(1-SUMIFS('İndirimler'!$D$2:$D$210,'İndirimler'!$A$2:$A$210,B857,'İndirimler'!$B$2:$B$210,C857)),2),"")</x:f>
      </x:c>
      <x:c r="J857"/>
      <x:c r="K857"/>
    </x:row>
    <x:row r="858">
      <x:c r="A858"/>
      <x:c r="B858"/>
      <x:c r="C858"/>
      <x:c r="D858"/>
      <x:c r="E858"/>
      <x:c r="F858"/>
      <x:c r="G858"/>
      <x:c r="H858" t="str">
        <x:f>IF(SUMIFS('İndirimler'!$C$2:$C$210,'İndirimler'!$A$2:$A$210,B858,'İndirimler'!$B$2:$B$210,C858)&gt;0,ROUND(G858*(1-SUMIFS('İndirimler'!$C$2:$C$210,'İndirimler'!$A$2:$A$210,B858,'İndirimler'!$B$2:$B$210,C858)),2),"")</x:f>
      </x:c>
      <x:c r="I858" t="str">
        <x:f>IF(SUMIFS('İndirimler'!$D$2:$D$210,'İndirimler'!$A$2:$A$210,B858,'İndirimler'!$B$2:$B$210,C858)&gt;0,ROUND(G858*(1-SUMIFS('İndirimler'!$D$2:$D$210,'İndirimler'!$A$2:$A$210,B858,'İndirimler'!$B$2:$B$210,C858)),2),"")</x:f>
      </x:c>
      <x:c r="J858"/>
      <x:c r="K858"/>
    </x:row>
    <x:row r="859">
      <x:c r="A859"/>
      <x:c r="B859"/>
      <x:c r="C859"/>
      <x:c r="D859"/>
      <x:c r="E859"/>
      <x:c r="F859"/>
      <x:c r="G859"/>
      <x:c r="H859" t="str">
        <x:f>IF(SUMIFS('İndirimler'!$C$2:$C$210,'İndirimler'!$A$2:$A$210,B859,'İndirimler'!$B$2:$B$210,C859)&gt;0,ROUND(G859*(1-SUMIFS('İndirimler'!$C$2:$C$210,'İndirimler'!$A$2:$A$210,B859,'İndirimler'!$B$2:$B$210,C859)),2),"")</x:f>
      </x:c>
      <x:c r="I859" t="str">
        <x:f>IF(SUMIFS('İndirimler'!$D$2:$D$210,'İndirimler'!$A$2:$A$210,B859,'İndirimler'!$B$2:$B$210,C859)&gt;0,ROUND(G859*(1-SUMIFS('İndirimler'!$D$2:$D$210,'İndirimler'!$A$2:$A$210,B859,'İndirimler'!$B$2:$B$210,C859)),2),"")</x:f>
      </x:c>
      <x:c r="J859"/>
      <x:c r="K859"/>
    </x:row>
    <x:row r="860">
      <x:c r="A860"/>
      <x:c r="B860"/>
      <x:c r="C860"/>
      <x:c r="D860"/>
      <x:c r="E860"/>
      <x:c r="F860"/>
      <x:c r="G860"/>
      <x:c r="H860" t="str">
        <x:f>IF(SUMIFS('İndirimler'!$C$2:$C$210,'İndirimler'!$A$2:$A$210,B860,'İndirimler'!$B$2:$B$210,C860)&gt;0,ROUND(G860*(1-SUMIFS('İndirimler'!$C$2:$C$210,'İndirimler'!$A$2:$A$210,B860,'İndirimler'!$B$2:$B$210,C860)),2),"")</x:f>
      </x:c>
      <x:c r="I860" t="str">
        <x:f>IF(SUMIFS('İndirimler'!$D$2:$D$210,'İndirimler'!$A$2:$A$210,B860,'İndirimler'!$B$2:$B$210,C860)&gt;0,ROUND(G860*(1-SUMIFS('İndirimler'!$D$2:$D$210,'İndirimler'!$A$2:$A$210,B860,'İndirimler'!$B$2:$B$210,C860)),2),"")</x:f>
      </x:c>
      <x:c r="J860"/>
      <x:c r="K860"/>
    </x:row>
    <x:row r="861">
      <x:c r="A861"/>
      <x:c r="B861"/>
      <x:c r="C861"/>
      <x:c r="D861"/>
      <x:c r="E861"/>
      <x:c r="F861"/>
      <x:c r="G861"/>
      <x:c r="H861" t="str">
        <x:f>IF(SUMIFS('İndirimler'!$C$2:$C$210,'İndirimler'!$A$2:$A$210,B861,'İndirimler'!$B$2:$B$210,C861)&gt;0,ROUND(G861*(1-SUMIFS('İndirimler'!$C$2:$C$210,'İndirimler'!$A$2:$A$210,B861,'İndirimler'!$B$2:$B$210,C861)),2),"")</x:f>
      </x:c>
      <x:c r="I861" t="str">
        <x:f>IF(SUMIFS('İndirimler'!$D$2:$D$210,'İndirimler'!$A$2:$A$210,B861,'İndirimler'!$B$2:$B$210,C861)&gt;0,ROUND(G861*(1-SUMIFS('İndirimler'!$D$2:$D$210,'İndirimler'!$A$2:$A$210,B861,'İndirimler'!$B$2:$B$210,C861)),2),"")</x:f>
      </x:c>
      <x:c r="J861"/>
      <x:c r="K861"/>
    </x:row>
    <x:row r="862">
      <x:c r="A862"/>
      <x:c r="B862"/>
      <x:c r="C862"/>
      <x:c r="D862"/>
      <x:c r="E862"/>
      <x:c r="F862"/>
      <x:c r="G862"/>
      <x:c r="H862" t="str">
        <x:f>IF(SUMIFS('İndirimler'!$C$2:$C$210,'İndirimler'!$A$2:$A$210,B862,'İndirimler'!$B$2:$B$210,C862)&gt;0,ROUND(G862*(1-SUMIFS('İndirimler'!$C$2:$C$210,'İndirimler'!$A$2:$A$210,B862,'İndirimler'!$B$2:$B$210,C862)),2),"")</x:f>
      </x:c>
      <x:c r="I862" t="str">
        <x:f>IF(SUMIFS('İndirimler'!$D$2:$D$210,'İndirimler'!$A$2:$A$210,B862,'İndirimler'!$B$2:$B$210,C862)&gt;0,ROUND(G862*(1-SUMIFS('İndirimler'!$D$2:$D$210,'İndirimler'!$A$2:$A$210,B862,'İndirimler'!$B$2:$B$210,C862)),2),"")</x:f>
      </x:c>
      <x:c r="J862"/>
      <x:c r="K862"/>
    </x:row>
    <x:row r="863">
      <x:c r="A863"/>
      <x:c r="B863"/>
      <x:c r="C863"/>
      <x:c r="D863"/>
      <x:c r="E863"/>
      <x:c r="F863"/>
      <x:c r="G863"/>
      <x:c r="H863" t="str">
        <x:f>IF(SUMIFS('İndirimler'!$C$2:$C$210,'İndirimler'!$A$2:$A$210,B863,'İndirimler'!$B$2:$B$210,C863)&gt;0,ROUND(G863*(1-SUMIFS('İndirimler'!$C$2:$C$210,'İndirimler'!$A$2:$A$210,B863,'İndirimler'!$B$2:$B$210,C863)),2),"")</x:f>
      </x:c>
      <x:c r="I863" t="str">
        <x:f>IF(SUMIFS('İndirimler'!$D$2:$D$210,'İndirimler'!$A$2:$A$210,B863,'İndirimler'!$B$2:$B$210,C863)&gt;0,ROUND(G863*(1-SUMIFS('İndirimler'!$D$2:$D$210,'İndirimler'!$A$2:$A$210,B863,'İndirimler'!$B$2:$B$210,C863)),2),"")</x:f>
      </x:c>
      <x:c r="J863"/>
      <x:c r="K863"/>
    </x:row>
    <x:row r="864">
      <x:c r="A864"/>
      <x:c r="B864"/>
      <x:c r="C864"/>
      <x:c r="D864"/>
      <x:c r="E864"/>
      <x:c r="F864"/>
      <x:c r="G864"/>
      <x:c r="H864" t="str">
        <x:f>IF(SUMIFS('İndirimler'!$C$2:$C$210,'İndirimler'!$A$2:$A$210,B864,'İndirimler'!$B$2:$B$210,C864)&gt;0,ROUND(G864*(1-SUMIFS('İndirimler'!$C$2:$C$210,'İndirimler'!$A$2:$A$210,B864,'İndirimler'!$B$2:$B$210,C864)),2),"")</x:f>
      </x:c>
      <x:c r="I864" t="str">
        <x:f>IF(SUMIFS('İndirimler'!$D$2:$D$210,'İndirimler'!$A$2:$A$210,B864,'İndirimler'!$B$2:$B$210,C864)&gt;0,ROUND(G864*(1-SUMIFS('İndirimler'!$D$2:$D$210,'İndirimler'!$A$2:$A$210,B864,'İndirimler'!$B$2:$B$210,C864)),2),"")</x:f>
      </x:c>
      <x:c r="J864"/>
      <x:c r="K864"/>
    </x:row>
    <x:row r="865">
      <x:c r="A865"/>
      <x:c r="B865"/>
      <x:c r="C865"/>
      <x:c r="D865"/>
      <x:c r="E865"/>
      <x:c r="F865"/>
      <x:c r="G865"/>
      <x:c r="H865" t="str">
        <x:f>IF(SUMIFS('İndirimler'!$C$2:$C$210,'İndirimler'!$A$2:$A$210,B865,'İndirimler'!$B$2:$B$210,C865)&gt;0,ROUND(G865*(1-SUMIFS('İndirimler'!$C$2:$C$210,'İndirimler'!$A$2:$A$210,B865,'İndirimler'!$B$2:$B$210,C865)),2),"")</x:f>
      </x:c>
      <x:c r="I865" t="str">
        <x:f>IF(SUMIFS('İndirimler'!$D$2:$D$210,'İndirimler'!$A$2:$A$210,B865,'İndirimler'!$B$2:$B$210,C865)&gt;0,ROUND(G865*(1-SUMIFS('İndirimler'!$D$2:$D$210,'İndirimler'!$A$2:$A$210,B865,'İndirimler'!$B$2:$B$210,C865)),2),"")</x:f>
      </x:c>
      <x:c r="J865"/>
      <x:c r="K865"/>
    </x:row>
    <x:row r="866">
      <x:c r="A866"/>
      <x:c r="B866"/>
      <x:c r="C866"/>
      <x:c r="D866"/>
      <x:c r="E866"/>
      <x:c r="F866"/>
      <x:c r="G866"/>
      <x:c r="H866" t="str">
        <x:f>IF(SUMIFS('İndirimler'!$C$2:$C$210,'İndirimler'!$A$2:$A$210,B866,'İndirimler'!$B$2:$B$210,C866)&gt;0,ROUND(G866*(1-SUMIFS('İndirimler'!$C$2:$C$210,'İndirimler'!$A$2:$A$210,B866,'İndirimler'!$B$2:$B$210,C866)),2),"")</x:f>
      </x:c>
      <x:c r="I866" t="str">
        <x:f>IF(SUMIFS('İndirimler'!$D$2:$D$210,'İndirimler'!$A$2:$A$210,B866,'İndirimler'!$B$2:$B$210,C866)&gt;0,ROUND(G866*(1-SUMIFS('İndirimler'!$D$2:$D$210,'İndirimler'!$A$2:$A$210,B866,'İndirimler'!$B$2:$B$210,C866)),2),"")</x:f>
      </x:c>
      <x:c r="J866"/>
      <x:c r="K866"/>
    </x:row>
    <x:row r="867">
      <x:c r="A867"/>
      <x:c r="B867"/>
      <x:c r="C867"/>
      <x:c r="D867"/>
      <x:c r="E867"/>
      <x:c r="F867"/>
      <x:c r="G867"/>
      <x:c r="H867" t="str">
        <x:f>IF(SUMIFS('İndirimler'!$C$2:$C$210,'İndirimler'!$A$2:$A$210,B867,'İndirimler'!$B$2:$B$210,C867)&gt;0,ROUND(G867*(1-SUMIFS('İndirimler'!$C$2:$C$210,'İndirimler'!$A$2:$A$210,B867,'İndirimler'!$B$2:$B$210,C867)),2),"")</x:f>
      </x:c>
      <x:c r="I867" t="str">
        <x:f>IF(SUMIFS('İndirimler'!$D$2:$D$210,'İndirimler'!$A$2:$A$210,B867,'İndirimler'!$B$2:$B$210,C867)&gt;0,ROUND(G867*(1-SUMIFS('İndirimler'!$D$2:$D$210,'İndirimler'!$A$2:$A$210,B867,'İndirimler'!$B$2:$B$210,C867)),2),"")</x:f>
      </x:c>
      <x:c r="J867"/>
      <x:c r="K867"/>
    </x:row>
    <x:row r="868">
      <x:c r="A868"/>
      <x:c r="B868"/>
      <x:c r="C868"/>
      <x:c r="D868"/>
      <x:c r="E868"/>
      <x:c r="F868"/>
      <x:c r="G868"/>
      <x:c r="H868" t="str">
        <x:f>IF(SUMIFS('İndirimler'!$C$2:$C$210,'İndirimler'!$A$2:$A$210,B868,'İndirimler'!$B$2:$B$210,C868)&gt;0,ROUND(G868*(1-SUMIFS('İndirimler'!$C$2:$C$210,'İndirimler'!$A$2:$A$210,B868,'İndirimler'!$B$2:$B$210,C868)),2),"")</x:f>
      </x:c>
      <x:c r="I868" t="str">
        <x:f>IF(SUMIFS('İndirimler'!$D$2:$D$210,'İndirimler'!$A$2:$A$210,B868,'İndirimler'!$B$2:$B$210,C868)&gt;0,ROUND(G868*(1-SUMIFS('İndirimler'!$D$2:$D$210,'İndirimler'!$A$2:$A$210,B868,'İndirimler'!$B$2:$B$210,C868)),2),"")</x:f>
      </x:c>
      <x:c r="J868"/>
      <x:c r="K868"/>
    </x:row>
    <x:row r="869">
      <x:c r="A869"/>
      <x:c r="B869"/>
      <x:c r="C869"/>
      <x:c r="D869"/>
      <x:c r="E869"/>
      <x:c r="F869"/>
      <x:c r="G869"/>
      <x:c r="H869" t="str">
        <x:f>IF(SUMIFS('İndirimler'!$C$2:$C$210,'İndirimler'!$A$2:$A$210,B869,'İndirimler'!$B$2:$B$210,C869)&gt;0,ROUND(G869*(1-SUMIFS('İndirimler'!$C$2:$C$210,'İndirimler'!$A$2:$A$210,B869,'İndirimler'!$B$2:$B$210,C869)),2),"")</x:f>
      </x:c>
      <x:c r="I869" t="str">
        <x:f>IF(SUMIFS('İndirimler'!$D$2:$D$210,'İndirimler'!$A$2:$A$210,B869,'İndirimler'!$B$2:$B$210,C869)&gt;0,ROUND(G869*(1-SUMIFS('İndirimler'!$D$2:$D$210,'İndirimler'!$A$2:$A$210,B869,'İndirimler'!$B$2:$B$210,C869)),2),"")</x:f>
      </x:c>
      <x:c r="J869"/>
      <x:c r="K869"/>
    </x:row>
    <x:row r="870">
      <x:c r="A870"/>
      <x:c r="B870"/>
      <x:c r="C870"/>
      <x:c r="D870"/>
      <x:c r="E870"/>
      <x:c r="F870"/>
      <x:c r="G870"/>
      <x:c r="H870" t="str">
        <x:f>IF(SUMIFS('İndirimler'!$C$2:$C$210,'İndirimler'!$A$2:$A$210,B870,'İndirimler'!$B$2:$B$210,C870)&gt;0,ROUND(G870*(1-SUMIFS('İndirimler'!$C$2:$C$210,'İndirimler'!$A$2:$A$210,B870,'İndirimler'!$B$2:$B$210,C870)),2),"")</x:f>
      </x:c>
      <x:c r="I870" t="str">
        <x:f>IF(SUMIFS('İndirimler'!$D$2:$D$210,'İndirimler'!$A$2:$A$210,B870,'İndirimler'!$B$2:$B$210,C870)&gt;0,ROUND(G870*(1-SUMIFS('İndirimler'!$D$2:$D$210,'İndirimler'!$A$2:$A$210,B870,'İndirimler'!$B$2:$B$210,C870)),2),"")</x:f>
      </x:c>
      <x:c r="J870"/>
      <x:c r="K870"/>
    </x:row>
    <x:row r="871">
      <x:c r="A871"/>
      <x:c r="B871"/>
      <x:c r="C871"/>
      <x:c r="D871"/>
      <x:c r="E871"/>
      <x:c r="F871"/>
      <x:c r="G871"/>
      <x:c r="H871" t="str">
        <x:f>IF(SUMIFS('İndirimler'!$C$2:$C$210,'İndirimler'!$A$2:$A$210,B871,'İndirimler'!$B$2:$B$210,C871)&gt;0,ROUND(G871*(1-SUMIFS('İndirimler'!$C$2:$C$210,'İndirimler'!$A$2:$A$210,B871,'İndirimler'!$B$2:$B$210,C871)),2),"")</x:f>
      </x:c>
      <x:c r="I871" t="str">
        <x:f>IF(SUMIFS('İndirimler'!$D$2:$D$210,'İndirimler'!$A$2:$A$210,B871,'İndirimler'!$B$2:$B$210,C871)&gt;0,ROUND(G871*(1-SUMIFS('İndirimler'!$D$2:$D$210,'İndirimler'!$A$2:$A$210,B871,'İndirimler'!$B$2:$B$210,C871)),2),"")</x:f>
      </x:c>
      <x:c r="J871"/>
      <x:c r="K871"/>
    </x:row>
    <x:row r="872">
      <x:c r="A872"/>
      <x:c r="B872"/>
      <x:c r="C872"/>
      <x:c r="D872"/>
      <x:c r="E872"/>
      <x:c r="F872"/>
      <x:c r="G872"/>
      <x:c r="H872" t="str">
        <x:f>IF(SUMIFS('İndirimler'!$C$2:$C$210,'İndirimler'!$A$2:$A$210,B872,'İndirimler'!$B$2:$B$210,C872)&gt;0,ROUND(G872*(1-SUMIFS('İndirimler'!$C$2:$C$210,'İndirimler'!$A$2:$A$210,B872,'İndirimler'!$B$2:$B$210,C872)),2),"")</x:f>
      </x:c>
      <x:c r="I872" t="str">
        <x:f>IF(SUMIFS('İndirimler'!$D$2:$D$210,'İndirimler'!$A$2:$A$210,B872,'İndirimler'!$B$2:$B$210,C872)&gt;0,ROUND(G872*(1-SUMIFS('İndirimler'!$D$2:$D$210,'İndirimler'!$A$2:$A$210,B872,'İndirimler'!$B$2:$B$210,C872)),2),"")</x:f>
      </x:c>
      <x:c r="J872"/>
      <x:c r="K872"/>
    </x:row>
    <x:row r="873">
      <x:c r="A873"/>
      <x:c r="B873"/>
      <x:c r="C873"/>
      <x:c r="D873"/>
      <x:c r="E873"/>
      <x:c r="F873"/>
      <x:c r="G873"/>
      <x:c r="H873" t="str">
        <x:f>IF(SUMIFS('İndirimler'!$C$2:$C$210,'İndirimler'!$A$2:$A$210,B873,'İndirimler'!$B$2:$B$210,C873)&gt;0,ROUND(G873*(1-SUMIFS('İndirimler'!$C$2:$C$210,'İndirimler'!$A$2:$A$210,B873,'İndirimler'!$B$2:$B$210,C873)),2),"")</x:f>
      </x:c>
      <x:c r="I873" t="str">
        <x:f>IF(SUMIFS('İndirimler'!$D$2:$D$210,'İndirimler'!$A$2:$A$210,B873,'İndirimler'!$B$2:$B$210,C873)&gt;0,ROUND(G873*(1-SUMIFS('İndirimler'!$D$2:$D$210,'İndirimler'!$A$2:$A$210,B873,'İndirimler'!$B$2:$B$210,C873)),2),"")</x:f>
      </x:c>
      <x:c r="J873"/>
      <x:c r="K873"/>
    </x:row>
    <x:row r="874">
      <x:c r="A874"/>
      <x:c r="B874"/>
      <x:c r="C874"/>
      <x:c r="D874"/>
      <x:c r="E874"/>
      <x:c r="F874"/>
      <x:c r="G874"/>
      <x:c r="H874" t="str">
        <x:f>IF(SUMIFS('İndirimler'!$C$2:$C$210,'İndirimler'!$A$2:$A$210,B874,'İndirimler'!$B$2:$B$210,C874)&gt;0,ROUND(G874*(1-SUMIFS('İndirimler'!$C$2:$C$210,'İndirimler'!$A$2:$A$210,B874,'İndirimler'!$B$2:$B$210,C874)),2),"")</x:f>
      </x:c>
      <x:c r="I874" t="str">
        <x:f>IF(SUMIFS('İndirimler'!$D$2:$D$210,'İndirimler'!$A$2:$A$210,B874,'İndirimler'!$B$2:$B$210,C874)&gt;0,ROUND(G874*(1-SUMIFS('İndirimler'!$D$2:$D$210,'İndirimler'!$A$2:$A$210,B874,'İndirimler'!$B$2:$B$210,C874)),2),"")</x:f>
      </x:c>
      <x:c r="J874"/>
      <x:c r="K874"/>
    </x:row>
    <x:row r="875">
      <x:c r="A875"/>
      <x:c r="B875"/>
      <x:c r="C875"/>
      <x:c r="D875"/>
      <x:c r="E875"/>
      <x:c r="F875"/>
      <x:c r="G875"/>
      <x:c r="H875" t="str">
        <x:f>IF(SUMIFS('İndirimler'!$C$2:$C$210,'İndirimler'!$A$2:$A$210,B875,'İndirimler'!$B$2:$B$210,C875)&gt;0,ROUND(G875*(1-SUMIFS('İndirimler'!$C$2:$C$210,'İndirimler'!$A$2:$A$210,B875,'İndirimler'!$B$2:$B$210,C875)),2),"")</x:f>
      </x:c>
      <x:c r="I875" t="str">
        <x:f>IF(SUMIFS('İndirimler'!$D$2:$D$210,'İndirimler'!$A$2:$A$210,B875,'İndirimler'!$B$2:$B$210,C875)&gt;0,ROUND(G875*(1-SUMIFS('İndirimler'!$D$2:$D$210,'İndirimler'!$A$2:$A$210,B875,'İndirimler'!$B$2:$B$210,C875)),2),"")</x:f>
      </x:c>
      <x:c r="J875"/>
      <x:c r="K875"/>
    </x:row>
    <x:row r="876">
      <x:c r="A876"/>
      <x:c r="B876"/>
      <x:c r="C876"/>
      <x:c r="D876"/>
      <x:c r="E876"/>
      <x:c r="F876"/>
      <x:c r="G876"/>
      <x:c r="H876" t="str">
        <x:f>IF(SUMIFS('İndirimler'!$C$2:$C$210,'İndirimler'!$A$2:$A$210,B876,'İndirimler'!$B$2:$B$210,C876)&gt;0,ROUND(G876*(1-SUMIFS('İndirimler'!$C$2:$C$210,'İndirimler'!$A$2:$A$210,B876,'İndirimler'!$B$2:$B$210,C876)),2),"")</x:f>
      </x:c>
      <x:c r="I876" t="str">
        <x:f>IF(SUMIFS('İndirimler'!$D$2:$D$210,'İndirimler'!$A$2:$A$210,B876,'İndirimler'!$B$2:$B$210,C876)&gt;0,ROUND(G876*(1-SUMIFS('İndirimler'!$D$2:$D$210,'İndirimler'!$A$2:$A$210,B876,'İndirimler'!$B$2:$B$210,C876)),2),"")</x:f>
      </x:c>
      <x:c r="J876"/>
      <x:c r="K876"/>
    </x:row>
    <x:row r="877">
      <x:c r="A877"/>
      <x:c r="B877"/>
      <x:c r="C877"/>
      <x:c r="D877"/>
      <x:c r="E877"/>
      <x:c r="F877"/>
      <x:c r="G877"/>
      <x:c r="H877" t="str">
        <x:f>IF(SUMIFS('İndirimler'!$C$2:$C$210,'İndirimler'!$A$2:$A$210,B877,'İndirimler'!$B$2:$B$210,C877)&gt;0,ROUND(G877*(1-SUMIFS('İndirimler'!$C$2:$C$210,'İndirimler'!$A$2:$A$210,B877,'İndirimler'!$B$2:$B$210,C877)),2),"")</x:f>
      </x:c>
      <x:c r="I877" t="str">
        <x:f>IF(SUMIFS('İndirimler'!$D$2:$D$210,'İndirimler'!$A$2:$A$210,B877,'İndirimler'!$B$2:$B$210,C877)&gt;0,ROUND(G877*(1-SUMIFS('İndirimler'!$D$2:$D$210,'İndirimler'!$A$2:$A$210,B877,'İndirimler'!$B$2:$B$210,C877)),2),"")</x:f>
      </x:c>
      <x:c r="J877"/>
      <x:c r="K877"/>
    </x:row>
    <x:row r="878">
      <x:c r="A878"/>
      <x:c r="B878"/>
      <x:c r="C878"/>
      <x:c r="D878"/>
      <x:c r="E878"/>
      <x:c r="F878"/>
      <x:c r="G878"/>
      <x:c r="H878" t="str">
        <x:f>IF(SUMIFS('İndirimler'!$C$2:$C$210,'İndirimler'!$A$2:$A$210,B878,'İndirimler'!$B$2:$B$210,C878)&gt;0,ROUND(G878*(1-SUMIFS('İndirimler'!$C$2:$C$210,'İndirimler'!$A$2:$A$210,B878,'İndirimler'!$B$2:$B$210,C878)),2),"")</x:f>
      </x:c>
      <x:c r="I878" t="str">
        <x:f>IF(SUMIFS('İndirimler'!$D$2:$D$210,'İndirimler'!$A$2:$A$210,B878,'İndirimler'!$B$2:$B$210,C878)&gt;0,ROUND(G878*(1-SUMIFS('İndirimler'!$D$2:$D$210,'İndirimler'!$A$2:$A$210,B878,'İndirimler'!$B$2:$B$210,C878)),2),"")</x:f>
      </x:c>
      <x:c r="J878"/>
      <x:c r="K878"/>
    </x:row>
    <x:row r="879">
      <x:c r="A879"/>
      <x:c r="B879"/>
      <x:c r="C879"/>
      <x:c r="D879"/>
      <x:c r="E879"/>
      <x:c r="F879"/>
      <x:c r="G879"/>
      <x:c r="H879" t="str">
        <x:f>IF(SUMIFS('İndirimler'!$C$2:$C$210,'İndirimler'!$A$2:$A$210,B879,'İndirimler'!$B$2:$B$210,C879)&gt;0,ROUND(G879*(1-SUMIFS('İndirimler'!$C$2:$C$210,'İndirimler'!$A$2:$A$210,B879,'İndirimler'!$B$2:$B$210,C879)),2),"")</x:f>
      </x:c>
      <x:c r="I879" t="str">
        <x:f>IF(SUMIFS('İndirimler'!$D$2:$D$210,'İndirimler'!$A$2:$A$210,B879,'İndirimler'!$B$2:$B$210,C879)&gt;0,ROUND(G879*(1-SUMIFS('İndirimler'!$D$2:$D$210,'İndirimler'!$A$2:$A$210,B879,'İndirimler'!$B$2:$B$210,C879)),2),"")</x:f>
      </x:c>
      <x:c r="J879"/>
      <x:c r="K879"/>
    </x:row>
    <x:row r="880">
      <x:c r="A880"/>
      <x:c r="B880"/>
      <x:c r="C880"/>
      <x:c r="D880"/>
      <x:c r="E880"/>
      <x:c r="F880"/>
      <x:c r="G880"/>
      <x:c r="H880" t="str">
        <x:f>IF(SUMIFS('İndirimler'!$C$2:$C$210,'İndirimler'!$A$2:$A$210,B880,'İndirimler'!$B$2:$B$210,C880)&gt;0,ROUND(G880*(1-SUMIFS('İndirimler'!$C$2:$C$210,'İndirimler'!$A$2:$A$210,B880,'İndirimler'!$B$2:$B$210,C880)),2),"")</x:f>
      </x:c>
      <x:c r="I880" t="str">
        <x:f>IF(SUMIFS('İndirimler'!$D$2:$D$210,'İndirimler'!$A$2:$A$210,B880,'İndirimler'!$B$2:$B$210,C880)&gt;0,ROUND(G880*(1-SUMIFS('İndirimler'!$D$2:$D$210,'İndirimler'!$A$2:$A$210,B880,'İndirimler'!$B$2:$B$210,C880)),2),"")</x:f>
      </x:c>
      <x:c r="J880"/>
      <x:c r="K880"/>
    </x:row>
    <x:row r="881">
      <x:c r="A881"/>
      <x:c r="B881"/>
      <x:c r="C881"/>
      <x:c r="D881"/>
      <x:c r="E881"/>
      <x:c r="F881"/>
      <x:c r="G881"/>
      <x:c r="H881" t="str">
        <x:f>IF(SUMIFS('İndirimler'!$C$2:$C$210,'İndirimler'!$A$2:$A$210,B881,'İndirimler'!$B$2:$B$210,C881)&gt;0,ROUND(G881*(1-SUMIFS('İndirimler'!$C$2:$C$210,'İndirimler'!$A$2:$A$210,B881,'İndirimler'!$B$2:$B$210,C881)),2),"")</x:f>
      </x:c>
      <x:c r="I881" t="str">
        <x:f>IF(SUMIFS('İndirimler'!$D$2:$D$210,'İndirimler'!$A$2:$A$210,B881,'İndirimler'!$B$2:$B$210,C881)&gt;0,ROUND(G881*(1-SUMIFS('İndirimler'!$D$2:$D$210,'İndirimler'!$A$2:$A$210,B881,'İndirimler'!$B$2:$B$210,C881)),2),"")</x:f>
      </x:c>
      <x:c r="J881"/>
      <x:c r="K881"/>
    </x:row>
    <x:row r="882">
      <x:c r="A882"/>
      <x:c r="B882"/>
      <x:c r="C882"/>
      <x:c r="D882"/>
      <x:c r="E882"/>
      <x:c r="F882"/>
      <x:c r="G882"/>
      <x:c r="H882" t="str">
        <x:f>IF(SUMIFS('İndirimler'!$C$2:$C$210,'İndirimler'!$A$2:$A$210,B882,'İndirimler'!$B$2:$B$210,C882)&gt;0,ROUND(G882*(1-SUMIFS('İndirimler'!$C$2:$C$210,'İndirimler'!$A$2:$A$210,B882,'İndirimler'!$B$2:$B$210,C882)),2),"")</x:f>
      </x:c>
      <x:c r="I882" t="str">
        <x:f>IF(SUMIFS('İndirimler'!$D$2:$D$210,'İndirimler'!$A$2:$A$210,B882,'İndirimler'!$B$2:$B$210,C882)&gt;0,ROUND(G882*(1-SUMIFS('İndirimler'!$D$2:$D$210,'İndirimler'!$A$2:$A$210,B882,'İndirimler'!$B$2:$B$210,C882)),2),"")</x:f>
      </x:c>
      <x:c r="J882"/>
      <x:c r="K882"/>
    </x:row>
    <x:row r="883">
      <x:c r="A883"/>
      <x:c r="B883"/>
      <x:c r="C883"/>
      <x:c r="D883"/>
      <x:c r="E883"/>
      <x:c r="F883"/>
      <x:c r="G883"/>
      <x:c r="H883" t="str">
        <x:f>IF(SUMIFS('İndirimler'!$C$2:$C$210,'İndirimler'!$A$2:$A$210,B883,'İndirimler'!$B$2:$B$210,C883)&gt;0,ROUND(G883*(1-SUMIFS('İndirimler'!$C$2:$C$210,'İndirimler'!$A$2:$A$210,B883,'İndirimler'!$B$2:$B$210,C883)),2),"")</x:f>
      </x:c>
      <x:c r="I883" t="str">
        <x:f>IF(SUMIFS('İndirimler'!$D$2:$D$210,'İndirimler'!$A$2:$A$210,B883,'İndirimler'!$B$2:$B$210,C883)&gt;0,ROUND(G883*(1-SUMIFS('İndirimler'!$D$2:$D$210,'İndirimler'!$A$2:$A$210,B883,'İndirimler'!$B$2:$B$210,C883)),2),"")</x:f>
      </x:c>
      <x:c r="J883"/>
      <x:c r="K883"/>
    </x:row>
    <x:row r="884">
      <x:c r="A884"/>
      <x:c r="B884"/>
      <x:c r="C884"/>
      <x:c r="D884"/>
      <x:c r="E884"/>
      <x:c r="F884"/>
      <x:c r="G884"/>
      <x:c r="H884" t="str">
        <x:f>IF(SUMIFS('İndirimler'!$C$2:$C$210,'İndirimler'!$A$2:$A$210,B884,'İndirimler'!$B$2:$B$210,C884)&gt;0,ROUND(G884*(1-SUMIFS('İndirimler'!$C$2:$C$210,'İndirimler'!$A$2:$A$210,B884,'İndirimler'!$B$2:$B$210,C884)),2),"")</x:f>
      </x:c>
      <x:c r="I884" t="str">
        <x:f>IF(SUMIFS('İndirimler'!$D$2:$D$210,'İndirimler'!$A$2:$A$210,B884,'İndirimler'!$B$2:$B$210,C884)&gt;0,ROUND(G884*(1-SUMIFS('İndirimler'!$D$2:$D$210,'İndirimler'!$A$2:$A$210,B884,'İndirimler'!$B$2:$B$210,C884)),2),"")</x:f>
      </x:c>
      <x:c r="J884"/>
      <x:c r="K884"/>
    </x:row>
    <x:row r="885">
      <x:c r="A885"/>
      <x:c r="B885"/>
      <x:c r="C885"/>
      <x:c r="D885"/>
      <x:c r="E885"/>
      <x:c r="F885"/>
      <x:c r="G885"/>
      <x:c r="H885" t="str">
        <x:f>IF(SUMIFS('İndirimler'!$C$2:$C$210,'İndirimler'!$A$2:$A$210,B885,'İndirimler'!$B$2:$B$210,C885)&gt;0,ROUND(G885*(1-SUMIFS('İndirimler'!$C$2:$C$210,'İndirimler'!$A$2:$A$210,B885,'İndirimler'!$B$2:$B$210,C885)),2),"")</x:f>
      </x:c>
      <x:c r="I885" t="str">
        <x:f>IF(SUMIFS('İndirimler'!$D$2:$D$210,'İndirimler'!$A$2:$A$210,B885,'İndirimler'!$B$2:$B$210,C885)&gt;0,ROUND(G885*(1-SUMIFS('İndirimler'!$D$2:$D$210,'İndirimler'!$A$2:$A$210,B885,'İndirimler'!$B$2:$B$210,C885)),2),"")</x:f>
      </x:c>
      <x:c r="J885"/>
      <x:c r="K885"/>
    </x:row>
    <x:row r="886">
      <x:c r="A886"/>
      <x:c r="B886"/>
      <x:c r="C886"/>
      <x:c r="D886"/>
      <x:c r="E886"/>
      <x:c r="F886"/>
      <x:c r="G886"/>
      <x:c r="H886" t="str">
        <x:f>IF(SUMIFS('İndirimler'!$C$2:$C$210,'İndirimler'!$A$2:$A$210,B886,'İndirimler'!$B$2:$B$210,C886)&gt;0,ROUND(G886*(1-SUMIFS('İndirimler'!$C$2:$C$210,'İndirimler'!$A$2:$A$210,B886,'İndirimler'!$B$2:$B$210,C886)),2),"")</x:f>
      </x:c>
      <x:c r="I886" t="str">
        <x:f>IF(SUMIFS('İndirimler'!$D$2:$D$210,'İndirimler'!$A$2:$A$210,B886,'İndirimler'!$B$2:$B$210,C886)&gt;0,ROUND(G886*(1-SUMIFS('İndirimler'!$D$2:$D$210,'İndirimler'!$A$2:$A$210,B886,'İndirimler'!$B$2:$B$210,C886)),2),"")</x:f>
      </x:c>
      <x:c r="J886"/>
      <x:c r="K886"/>
    </x:row>
    <x:row r="887">
      <x:c r="A887"/>
      <x:c r="B887"/>
      <x:c r="C887"/>
      <x:c r="D887"/>
      <x:c r="E887"/>
      <x:c r="F887"/>
      <x:c r="G887"/>
      <x:c r="H887" t="str">
        <x:f>IF(SUMIFS('İndirimler'!$C$2:$C$210,'İndirimler'!$A$2:$A$210,B887,'İndirimler'!$B$2:$B$210,C887)&gt;0,ROUND(G887*(1-SUMIFS('İndirimler'!$C$2:$C$210,'İndirimler'!$A$2:$A$210,B887,'İndirimler'!$B$2:$B$210,C887)),2),"")</x:f>
      </x:c>
      <x:c r="I887" t="str">
        <x:f>IF(SUMIFS('İndirimler'!$D$2:$D$210,'İndirimler'!$A$2:$A$210,B887,'İndirimler'!$B$2:$B$210,C887)&gt;0,ROUND(G887*(1-SUMIFS('İndirimler'!$D$2:$D$210,'İndirimler'!$A$2:$A$210,B887,'İndirimler'!$B$2:$B$210,C887)),2),"")</x:f>
      </x:c>
      <x:c r="J887"/>
      <x:c r="K887"/>
    </x:row>
    <x:row r="888">
      <x:c r="A888"/>
      <x:c r="B888"/>
      <x:c r="C888"/>
      <x:c r="D888"/>
      <x:c r="E888"/>
      <x:c r="F888"/>
      <x:c r="G888"/>
      <x:c r="H888" t="str">
        <x:f>IF(SUMIFS('İndirimler'!$C$2:$C$210,'İndirimler'!$A$2:$A$210,B888,'İndirimler'!$B$2:$B$210,C888)&gt;0,ROUND(G888*(1-SUMIFS('İndirimler'!$C$2:$C$210,'İndirimler'!$A$2:$A$210,B888,'İndirimler'!$B$2:$B$210,C888)),2),"")</x:f>
      </x:c>
      <x:c r="I888" t="str">
        <x:f>IF(SUMIFS('İndirimler'!$D$2:$D$210,'İndirimler'!$A$2:$A$210,B888,'İndirimler'!$B$2:$B$210,C888)&gt;0,ROUND(G888*(1-SUMIFS('İndirimler'!$D$2:$D$210,'İndirimler'!$A$2:$A$210,B888,'İndirimler'!$B$2:$B$210,C888)),2),"")</x:f>
      </x:c>
      <x:c r="J888"/>
      <x:c r="K888"/>
    </x:row>
    <x:row r="889">
      <x:c r="A889"/>
      <x:c r="B889"/>
      <x:c r="C889"/>
      <x:c r="D889"/>
      <x:c r="E889"/>
      <x:c r="F889"/>
      <x:c r="G889"/>
      <x:c r="H889" t="str">
        <x:f>IF(SUMIFS('İndirimler'!$C$2:$C$210,'İndirimler'!$A$2:$A$210,B889,'İndirimler'!$B$2:$B$210,C889)&gt;0,ROUND(G889*(1-SUMIFS('İndirimler'!$C$2:$C$210,'İndirimler'!$A$2:$A$210,B889,'İndirimler'!$B$2:$B$210,C889)),2),"")</x:f>
      </x:c>
      <x:c r="I889" t="str">
        <x:f>IF(SUMIFS('İndirimler'!$D$2:$D$210,'İndirimler'!$A$2:$A$210,B889,'İndirimler'!$B$2:$B$210,C889)&gt;0,ROUND(G889*(1-SUMIFS('İndirimler'!$D$2:$D$210,'İndirimler'!$A$2:$A$210,B889,'İndirimler'!$B$2:$B$210,C889)),2),"")</x:f>
      </x:c>
      <x:c r="J889"/>
      <x:c r="K889"/>
    </x:row>
    <x:row r="890">
      <x:c r="A890"/>
      <x:c r="B890"/>
      <x:c r="C890"/>
      <x:c r="D890"/>
      <x:c r="E890"/>
      <x:c r="F890"/>
      <x:c r="G890"/>
      <x:c r="H890" t="str">
        <x:f>IF(SUMIFS('İndirimler'!$C$2:$C$210,'İndirimler'!$A$2:$A$210,B890,'İndirimler'!$B$2:$B$210,C890)&gt;0,ROUND(G890*(1-SUMIFS('İndirimler'!$C$2:$C$210,'İndirimler'!$A$2:$A$210,B890,'İndirimler'!$B$2:$B$210,C890)),2),"")</x:f>
      </x:c>
      <x:c r="I890" t="str">
        <x:f>IF(SUMIFS('İndirimler'!$D$2:$D$210,'İndirimler'!$A$2:$A$210,B890,'İndirimler'!$B$2:$B$210,C890)&gt;0,ROUND(G890*(1-SUMIFS('İndirimler'!$D$2:$D$210,'İndirimler'!$A$2:$A$210,B890,'İndirimler'!$B$2:$B$210,C890)),2),"")</x:f>
      </x:c>
      <x:c r="J890"/>
      <x:c r="K890"/>
    </x:row>
    <x:row r="891">
      <x:c r="A891"/>
      <x:c r="B891"/>
      <x:c r="C891"/>
      <x:c r="D891"/>
      <x:c r="E891"/>
      <x:c r="F891"/>
      <x:c r="G891"/>
      <x:c r="H891" t="str">
        <x:f>IF(SUMIFS('İndirimler'!$C$2:$C$210,'İndirimler'!$A$2:$A$210,B891,'İndirimler'!$B$2:$B$210,C891)&gt;0,ROUND(G891*(1-SUMIFS('İndirimler'!$C$2:$C$210,'İndirimler'!$A$2:$A$210,B891,'İndirimler'!$B$2:$B$210,C891)),2),"")</x:f>
      </x:c>
      <x:c r="I891" t="str">
        <x:f>IF(SUMIFS('İndirimler'!$D$2:$D$210,'İndirimler'!$A$2:$A$210,B891,'İndirimler'!$B$2:$B$210,C891)&gt;0,ROUND(G891*(1-SUMIFS('İndirimler'!$D$2:$D$210,'İndirimler'!$A$2:$A$210,B891,'İndirimler'!$B$2:$B$210,C891)),2),"")</x:f>
      </x:c>
      <x:c r="J891"/>
      <x:c r="K891"/>
    </x:row>
    <x:row r="892">
      <x:c r="A892"/>
      <x:c r="B892"/>
      <x:c r="C892"/>
      <x:c r="D892"/>
      <x:c r="E892"/>
      <x:c r="F892"/>
      <x:c r="G892"/>
      <x:c r="H892" t="str">
        <x:f>IF(SUMIFS('İndirimler'!$C$2:$C$210,'İndirimler'!$A$2:$A$210,B892,'İndirimler'!$B$2:$B$210,C892)&gt;0,ROUND(G892*(1-SUMIFS('İndirimler'!$C$2:$C$210,'İndirimler'!$A$2:$A$210,B892,'İndirimler'!$B$2:$B$210,C892)),2),"")</x:f>
      </x:c>
      <x:c r="I892" t="str">
        <x:f>IF(SUMIFS('İndirimler'!$D$2:$D$210,'İndirimler'!$A$2:$A$210,B892,'İndirimler'!$B$2:$B$210,C892)&gt;0,ROUND(G892*(1-SUMIFS('İndirimler'!$D$2:$D$210,'İndirimler'!$A$2:$A$210,B892,'İndirimler'!$B$2:$B$210,C892)),2),"")</x:f>
      </x:c>
      <x:c r="J892"/>
      <x:c r="K892"/>
    </x:row>
    <x:row r="893">
      <x:c r="A893"/>
      <x:c r="B893"/>
      <x:c r="C893"/>
      <x:c r="D893"/>
      <x:c r="E893"/>
      <x:c r="F893"/>
      <x:c r="G893"/>
      <x:c r="H893" t="str">
        <x:f>IF(SUMIFS('İndirimler'!$C$2:$C$210,'İndirimler'!$A$2:$A$210,B893,'İndirimler'!$B$2:$B$210,C893)&gt;0,ROUND(G893*(1-SUMIFS('İndirimler'!$C$2:$C$210,'İndirimler'!$A$2:$A$210,B893,'İndirimler'!$B$2:$B$210,C893)),2),"")</x:f>
      </x:c>
      <x:c r="I893" t="str">
        <x:f>IF(SUMIFS('İndirimler'!$D$2:$D$210,'İndirimler'!$A$2:$A$210,B893,'İndirimler'!$B$2:$B$210,C893)&gt;0,ROUND(G893*(1-SUMIFS('İndirimler'!$D$2:$D$210,'İndirimler'!$A$2:$A$210,B893,'İndirimler'!$B$2:$B$210,C893)),2),"")</x:f>
      </x:c>
      <x:c r="J893"/>
      <x:c r="K893"/>
    </x:row>
    <x:row r="894">
      <x:c r="A894"/>
      <x:c r="B894"/>
      <x:c r="C894"/>
      <x:c r="D894"/>
      <x:c r="E894"/>
      <x:c r="F894"/>
      <x:c r="G894"/>
      <x:c r="H894" t="str">
        <x:f>IF(SUMIFS('İndirimler'!$C$2:$C$210,'İndirimler'!$A$2:$A$210,B894,'İndirimler'!$B$2:$B$210,C894)&gt;0,ROUND(G894*(1-SUMIFS('İndirimler'!$C$2:$C$210,'İndirimler'!$A$2:$A$210,B894,'İndirimler'!$B$2:$B$210,C894)),2),"")</x:f>
      </x:c>
      <x:c r="I894" t="str">
        <x:f>IF(SUMIFS('İndirimler'!$D$2:$D$210,'İndirimler'!$A$2:$A$210,B894,'İndirimler'!$B$2:$B$210,C894)&gt;0,ROUND(G894*(1-SUMIFS('İndirimler'!$D$2:$D$210,'İndirimler'!$A$2:$A$210,B894,'İndirimler'!$B$2:$B$210,C894)),2),"")</x:f>
      </x:c>
      <x:c r="J894"/>
      <x:c r="K894"/>
    </x:row>
    <x:row r="895">
      <x:c r="A895"/>
      <x:c r="B895"/>
      <x:c r="C895"/>
      <x:c r="D895"/>
      <x:c r="E895"/>
      <x:c r="F895"/>
      <x:c r="G895"/>
      <x:c r="H895" t="str">
        <x:f>IF(SUMIFS('İndirimler'!$C$2:$C$210,'İndirimler'!$A$2:$A$210,B895,'İndirimler'!$B$2:$B$210,C895)&gt;0,ROUND(G895*(1-SUMIFS('İndirimler'!$C$2:$C$210,'İndirimler'!$A$2:$A$210,B895,'İndirimler'!$B$2:$B$210,C895)),2),"")</x:f>
      </x:c>
      <x:c r="I895" t="str">
        <x:f>IF(SUMIFS('İndirimler'!$D$2:$D$210,'İndirimler'!$A$2:$A$210,B895,'İndirimler'!$B$2:$B$210,C895)&gt;0,ROUND(G895*(1-SUMIFS('İndirimler'!$D$2:$D$210,'İndirimler'!$A$2:$A$210,B895,'İndirimler'!$B$2:$B$210,C895)),2),"")</x:f>
      </x:c>
      <x:c r="J895"/>
      <x:c r="K895"/>
    </x:row>
    <x:row r="896">
      <x:c r="A896"/>
      <x:c r="B896"/>
      <x:c r="C896"/>
      <x:c r="D896"/>
      <x:c r="E896"/>
      <x:c r="F896"/>
      <x:c r="G896"/>
      <x:c r="H896" t="str">
        <x:f>IF(SUMIFS('İndirimler'!$C$2:$C$210,'İndirimler'!$A$2:$A$210,B896,'İndirimler'!$B$2:$B$210,C896)&gt;0,ROUND(G896*(1-SUMIFS('İndirimler'!$C$2:$C$210,'İndirimler'!$A$2:$A$210,B896,'İndirimler'!$B$2:$B$210,C896)),2),"")</x:f>
      </x:c>
      <x:c r="I896" t="str">
        <x:f>IF(SUMIFS('İndirimler'!$D$2:$D$210,'İndirimler'!$A$2:$A$210,B896,'İndirimler'!$B$2:$B$210,C896)&gt;0,ROUND(G896*(1-SUMIFS('İndirimler'!$D$2:$D$210,'İndirimler'!$A$2:$A$210,B896,'İndirimler'!$B$2:$B$210,C896)),2),"")</x:f>
      </x:c>
      <x:c r="J896"/>
      <x:c r="K896"/>
    </x:row>
    <x:row r="897">
      <x:c r="A897"/>
      <x:c r="B897"/>
      <x:c r="C897"/>
      <x:c r="D897"/>
      <x:c r="E897"/>
      <x:c r="F897"/>
      <x:c r="G897"/>
      <x:c r="H897" t="str">
        <x:f>IF(SUMIFS('İndirimler'!$C$2:$C$210,'İndirimler'!$A$2:$A$210,B897,'İndirimler'!$B$2:$B$210,C897)&gt;0,ROUND(G897*(1-SUMIFS('İndirimler'!$C$2:$C$210,'İndirimler'!$A$2:$A$210,B897,'İndirimler'!$B$2:$B$210,C897)),2),"")</x:f>
      </x:c>
      <x:c r="I897" t="str">
        <x:f>IF(SUMIFS('İndirimler'!$D$2:$D$210,'İndirimler'!$A$2:$A$210,B897,'İndirimler'!$B$2:$B$210,C897)&gt;0,ROUND(G897*(1-SUMIFS('İndirimler'!$D$2:$D$210,'İndirimler'!$A$2:$A$210,B897,'İndirimler'!$B$2:$B$210,C897)),2),"")</x:f>
      </x:c>
      <x:c r="J897"/>
      <x:c r="K897"/>
    </x:row>
    <x:row r="898">
      <x:c r="A898"/>
      <x:c r="B898"/>
      <x:c r="C898"/>
      <x:c r="D898"/>
      <x:c r="E898"/>
      <x:c r="F898"/>
      <x:c r="G898"/>
      <x:c r="H898" t="str">
        <x:f>IF(SUMIFS('İndirimler'!$C$2:$C$210,'İndirimler'!$A$2:$A$210,B898,'İndirimler'!$B$2:$B$210,C898)&gt;0,ROUND(G898*(1-SUMIFS('İndirimler'!$C$2:$C$210,'İndirimler'!$A$2:$A$210,B898,'İndirimler'!$B$2:$B$210,C898)),2),"")</x:f>
      </x:c>
      <x:c r="I898" t="str">
        <x:f>IF(SUMIFS('İndirimler'!$D$2:$D$210,'İndirimler'!$A$2:$A$210,B898,'İndirimler'!$B$2:$B$210,C898)&gt;0,ROUND(G898*(1-SUMIFS('İndirimler'!$D$2:$D$210,'İndirimler'!$A$2:$A$210,B898,'İndirimler'!$B$2:$B$210,C898)),2),"")</x:f>
      </x:c>
      <x:c r="J898"/>
      <x:c r="K898"/>
    </x:row>
    <x:row r="899">
      <x:c r="A899"/>
      <x:c r="B899"/>
      <x:c r="C899"/>
      <x:c r="D899"/>
      <x:c r="E899"/>
      <x:c r="F899"/>
      <x:c r="G899"/>
      <x:c r="H899" t="str">
        <x:f>IF(SUMIFS('İndirimler'!$C$2:$C$210,'İndirimler'!$A$2:$A$210,B899,'İndirimler'!$B$2:$B$210,C899)&gt;0,ROUND(G899*(1-SUMIFS('İndirimler'!$C$2:$C$210,'İndirimler'!$A$2:$A$210,B899,'İndirimler'!$B$2:$B$210,C899)),2),"")</x:f>
      </x:c>
      <x:c r="I899" t="str">
        <x:f>IF(SUMIFS('İndirimler'!$D$2:$D$210,'İndirimler'!$A$2:$A$210,B899,'İndirimler'!$B$2:$B$210,C899)&gt;0,ROUND(G899*(1-SUMIFS('İndirimler'!$D$2:$D$210,'İndirimler'!$A$2:$A$210,B899,'İndirimler'!$B$2:$B$210,C899)),2),"")</x:f>
      </x:c>
      <x:c r="J899"/>
      <x:c r="K899"/>
    </x:row>
    <x:row r="900">
      <x:c r="A900"/>
      <x:c r="B900"/>
      <x:c r="C900"/>
      <x:c r="D900"/>
      <x:c r="E900"/>
      <x:c r="F900"/>
      <x:c r="G900"/>
      <x:c r="H900" t="str">
        <x:f>IF(SUMIFS('İndirimler'!$C$2:$C$210,'İndirimler'!$A$2:$A$210,B900,'İndirimler'!$B$2:$B$210,C900)&gt;0,ROUND(G900*(1-SUMIFS('İndirimler'!$C$2:$C$210,'İndirimler'!$A$2:$A$210,B900,'İndirimler'!$B$2:$B$210,C900)),2),"")</x:f>
      </x:c>
      <x:c r="I900" t="str">
        <x:f>IF(SUMIFS('İndirimler'!$D$2:$D$210,'İndirimler'!$A$2:$A$210,B900,'İndirimler'!$B$2:$B$210,C900)&gt;0,ROUND(G900*(1-SUMIFS('İndirimler'!$D$2:$D$210,'İndirimler'!$A$2:$A$210,B900,'İndirimler'!$B$2:$B$210,C900)),2),"")</x:f>
      </x:c>
      <x:c r="J900"/>
      <x:c r="K900"/>
    </x:row>
    <x:row r="901">
      <x:c r="A901"/>
      <x:c r="B901"/>
      <x:c r="C901"/>
      <x:c r="D901"/>
      <x:c r="E901"/>
      <x:c r="F901"/>
      <x:c r="G901"/>
      <x:c r="H901" t="str">
        <x:f>IF(SUMIFS('İndirimler'!$C$2:$C$210,'İndirimler'!$A$2:$A$210,B901,'İndirimler'!$B$2:$B$210,C901)&gt;0,ROUND(G901*(1-SUMIFS('İndirimler'!$C$2:$C$210,'İndirimler'!$A$2:$A$210,B901,'İndirimler'!$B$2:$B$210,C901)),2),"")</x:f>
      </x:c>
      <x:c r="I901" t="str">
        <x:f>IF(SUMIFS('İndirimler'!$D$2:$D$210,'İndirimler'!$A$2:$A$210,B901,'İndirimler'!$B$2:$B$210,C901)&gt;0,ROUND(G901*(1-SUMIFS('İndirimler'!$D$2:$D$210,'İndirimler'!$A$2:$A$210,B901,'İndirimler'!$B$2:$B$210,C901)),2),"")</x:f>
      </x:c>
      <x:c r="J901"/>
      <x:c r="K901"/>
    </x:row>
    <x:row r="902">
      <x:c r="A902"/>
      <x:c r="B902"/>
      <x:c r="C902"/>
      <x:c r="D902"/>
      <x:c r="E902"/>
      <x:c r="F902"/>
      <x:c r="G902"/>
      <x:c r="H902" t="str">
        <x:f>IF(SUMIFS('İndirimler'!$C$2:$C$210,'İndirimler'!$A$2:$A$210,B902,'İndirimler'!$B$2:$B$210,C902)&gt;0,ROUND(G902*(1-SUMIFS('İndirimler'!$C$2:$C$210,'İndirimler'!$A$2:$A$210,B902,'İndirimler'!$B$2:$B$210,C902)),2),"")</x:f>
      </x:c>
      <x:c r="I902" t="str">
        <x:f>IF(SUMIFS('İndirimler'!$D$2:$D$210,'İndirimler'!$A$2:$A$210,B902,'İndirimler'!$B$2:$B$210,C902)&gt;0,ROUND(G902*(1-SUMIFS('İndirimler'!$D$2:$D$210,'İndirimler'!$A$2:$A$210,B902,'İndirimler'!$B$2:$B$210,C902)),2),"")</x:f>
      </x:c>
      <x:c r="J902"/>
      <x:c r="K902"/>
    </x:row>
    <x:row r="903">
      <x:c r="A903"/>
      <x:c r="B903"/>
      <x:c r="C903"/>
      <x:c r="D903"/>
      <x:c r="E903"/>
      <x:c r="F903"/>
      <x:c r="G903"/>
      <x:c r="H903" t="str">
        <x:f>IF(SUMIFS('İndirimler'!$C$2:$C$210,'İndirimler'!$A$2:$A$210,B903,'İndirimler'!$B$2:$B$210,C903)&gt;0,ROUND(G903*(1-SUMIFS('İndirimler'!$C$2:$C$210,'İndirimler'!$A$2:$A$210,B903,'İndirimler'!$B$2:$B$210,C903)),2),"")</x:f>
      </x:c>
      <x:c r="I903" t="str">
        <x:f>IF(SUMIFS('İndirimler'!$D$2:$D$210,'İndirimler'!$A$2:$A$210,B903,'İndirimler'!$B$2:$B$210,C903)&gt;0,ROUND(G903*(1-SUMIFS('İndirimler'!$D$2:$D$210,'İndirimler'!$A$2:$A$210,B903,'İndirimler'!$B$2:$B$210,C903)),2),"")</x:f>
      </x:c>
      <x:c r="J903"/>
      <x:c r="K903"/>
    </x:row>
    <x:row r="904">
      <x:c r="A904"/>
      <x:c r="B904"/>
      <x:c r="C904"/>
      <x:c r="D904"/>
      <x:c r="E904"/>
      <x:c r="F904"/>
      <x:c r="G904"/>
      <x:c r="H904" t="str">
        <x:f>IF(SUMIFS('İndirimler'!$C$2:$C$210,'İndirimler'!$A$2:$A$210,B904,'İndirimler'!$B$2:$B$210,C904)&gt;0,ROUND(G904*(1-SUMIFS('İndirimler'!$C$2:$C$210,'İndirimler'!$A$2:$A$210,B904,'İndirimler'!$B$2:$B$210,C904)),2),"")</x:f>
      </x:c>
      <x:c r="I904" t="str">
        <x:f>IF(SUMIFS('İndirimler'!$D$2:$D$210,'İndirimler'!$A$2:$A$210,B904,'İndirimler'!$B$2:$B$210,C904)&gt;0,ROUND(G904*(1-SUMIFS('İndirimler'!$D$2:$D$210,'İndirimler'!$A$2:$A$210,B904,'İndirimler'!$B$2:$B$210,C904)),2),"")</x:f>
      </x:c>
      <x:c r="J904"/>
      <x:c r="K904"/>
    </x:row>
    <x:row r="905">
      <x:c r="A905"/>
      <x:c r="B905"/>
      <x:c r="C905"/>
      <x:c r="D905"/>
      <x:c r="E905"/>
      <x:c r="F905"/>
      <x:c r="G905"/>
      <x:c r="H905" t="str">
        <x:f>IF(SUMIFS('İndirimler'!$C$2:$C$210,'İndirimler'!$A$2:$A$210,B905,'İndirimler'!$B$2:$B$210,C905)&gt;0,ROUND(G905*(1-SUMIFS('İndirimler'!$C$2:$C$210,'İndirimler'!$A$2:$A$210,B905,'İndirimler'!$B$2:$B$210,C905)),2),"")</x:f>
      </x:c>
      <x:c r="I905" t="str">
        <x:f>IF(SUMIFS('İndirimler'!$D$2:$D$210,'İndirimler'!$A$2:$A$210,B905,'İndirimler'!$B$2:$B$210,C905)&gt;0,ROUND(G905*(1-SUMIFS('İndirimler'!$D$2:$D$210,'İndirimler'!$A$2:$A$210,B905,'İndirimler'!$B$2:$B$210,C905)),2),"")</x:f>
      </x:c>
      <x:c r="J905"/>
      <x:c r="K905"/>
    </x:row>
    <x:row r="906">
      <x:c r="A906"/>
      <x:c r="B906"/>
      <x:c r="C906"/>
      <x:c r="D906"/>
      <x:c r="E906"/>
      <x:c r="F906"/>
      <x:c r="G906"/>
      <x:c r="H906" t="str">
        <x:f>IF(SUMIFS('İndirimler'!$C$2:$C$210,'İndirimler'!$A$2:$A$210,B906,'İndirimler'!$B$2:$B$210,C906)&gt;0,ROUND(G906*(1-SUMIFS('İndirimler'!$C$2:$C$210,'İndirimler'!$A$2:$A$210,B906,'İndirimler'!$B$2:$B$210,C906)),2),"")</x:f>
      </x:c>
      <x:c r="I906" t="str">
        <x:f>IF(SUMIFS('İndirimler'!$D$2:$D$210,'İndirimler'!$A$2:$A$210,B906,'İndirimler'!$B$2:$B$210,C906)&gt;0,ROUND(G906*(1-SUMIFS('İndirimler'!$D$2:$D$210,'İndirimler'!$A$2:$A$210,B906,'İndirimler'!$B$2:$B$210,C906)),2),"")</x:f>
      </x:c>
      <x:c r="J906"/>
      <x:c r="K906"/>
    </x:row>
    <x:row r="907">
      <x:c r="A907"/>
      <x:c r="B907"/>
      <x:c r="C907"/>
      <x:c r="D907"/>
      <x:c r="E907"/>
      <x:c r="F907"/>
      <x:c r="G907"/>
      <x:c r="H907" t="str">
        <x:f>IF(SUMIFS('İndirimler'!$C$2:$C$210,'İndirimler'!$A$2:$A$210,B907,'İndirimler'!$B$2:$B$210,C907)&gt;0,ROUND(G907*(1-SUMIFS('İndirimler'!$C$2:$C$210,'İndirimler'!$A$2:$A$210,B907,'İndirimler'!$B$2:$B$210,C907)),2),"")</x:f>
      </x:c>
      <x:c r="I907" t="str">
        <x:f>IF(SUMIFS('İndirimler'!$D$2:$D$210,'İndirimler'!$A$2:$A$210,B907,'İndirimler'!$B$2:$B$210,C907)&gt;0,ROUND(G907*(1-SUMIFS('İndirimler'!$D$2:$D$210,'İndirimler'!$A$2:$A$210,B907,'İndirimler'!$B$2:$B$210,C907)),2),"")</x:f>
      </x:c>
      <x:c r="J907"/>
      <x:c r="K907"/>
    </x:row>
    <x:row r="908">
      <x:c r="A908"/>
      <x:c r="B908"/>
      <x:c r="C908"/>
      <x:c r="D908"/>
      <x:c r="E908"/>
      <x:c r="F908"/>
      <x:c r="G908"/>
      <x:c r="H908" t="str">
        <x:f>IF(SUMIFS('İndirimler'!$C$2:$C$210,'İndirimler'!$A$2:$A$210,B908,'İndirimler'!$B$2:$B$210,C908)&gt;0,ROUND(G908*(1-SUMIFS('İndirimler'!$C$2:$C$210,'İndirimler'!$A$2:$A$210,B908,'İndirimler'!$B$2:$B$210,C908)),2),"")</x:f>
      </x:c>
      <x:c r="I908" t="str">
        <x:f>IF(SUMIFS('İndirimler'!$D$2:$D$210,'İndirimler'!$A$2:$A$210,B908,'İndirimler'!$B$2:$B$210,C908)&gt;0,ROUND(G908*(1-SUMIFS('İndirimler'!$D$2:$D$210,'İndirimler'!$A$2:$A$210,B908,'İndirimler'!$B$2:$B$210,C908)),2),"")</x:f>
      </x:c>
      <x:c r="J908"/>
      <x:c r="K908"/>
    </x:row>
    <x:row r="909">
      <x:c r="A909"/>
      <x:c r="B909"/>
      <x:c r="C909"/>
      <x:c r="D909"/>
      <x:c r="E909"/>
      <x:c r="F909"/>
      <x:c r="G909"/>
      <x:c r="H909" t="str">
        <x:f>IF(SUMIFS('İndirimler'!$C$2:$C$210,'İndirimler'!$A$2:$A$210,B909,'İndirimler'!$B$2:$B$210,C909)&gt;0,ROUND(G909*(1-SUMIFS('İndirimler'!$C$2:$C$210,'İndirimler'!$A$2:$A$210,B909,'İndirimler'!$B$2:$B$210,C909)),2),"")</x:f>
      </x:c>
      <x:c r="I909" t="str">
        <x:f>IF(SUMIFS('İndirimler'!$D$2:$D$210,'İndirimler'!$A$2:$A$210,B909,'İndirimler'!$B$2:$B$210,C909)&gt;0,ROUND(G909*(1-SUMIFS('İndirimler'!$D$2:$D$210,'İndirimler'!$A$2:$A$210,B909,'İndirimler'!$B$2:$B$210,C909)),2),"")</x:f>
      </x:c>
      <x:c r="J909"/>
      <x:c r="K909"/>
    </x:row>
    <x:row r="910">
      <x:c r="A910"/>
      <x:c r="B910"/>
      <x:c r="C910"/>
      <x:c r="D910"/>
      <x:c r="E910"/>
      <x:c r="F910"/>
      <x:c r="G910"/>
      <x:c r="H910" t="str">
        <x:f>IF(SUMIFS('İndirimler'!$C$2:$C$210,'İndirimler'!$A$2:$A$210,B910,'İndirimler'!$B$2:$B$210,C910)&gt;0,ROUND(G910*(1-SUMIFS('İndirimler'!$C$2:$C$210,'İndirimler'!$A$2:$A$210,B910,'İndirimler'!$B$2:$B$210,C910)),2),"")</x:f>
      </x:c>
      <x:c r="I910" t="str">
        <x:f>IF(SUMIFS('İndirimler'!$D$2:$D$210,'İndirimler'!$A$2:$A$210,B910,'İndirimler'!$B$2:$B$210,C910)&gt;0,ROUND(G910*(1-SUMIFS('İndirimler'!$D$2:$D$210,'İndirimler'!$A$2:$A$210,B910,'İndirimler'!$B$2:$B$210,C910)),2),"")</x:f>
      </x:c>
      <x:c r="J910"/>
      <x:c r="K910"/>
    </x:row>
    <x:row r="911">
      <x:c r="A911"/>
      <x:c r="B911"/>
      <x:c r="C911"/>
      <x:c r="D911"/>
      <x:c r="E911"/>
      <x:c r="F911"/>
      <x:c r="G911"/>
      <x:c r="H911" t="str">
        <x:f>IF(SUMIFS('İndirimler'!$C$2:$C$210,'İndirimler'!$A$2:$A$210,B911,'İndirimler'!$B$2:$B$210,C911)&gt;0,ROUND(G911*(1-SUMIFS('İndirimler'!$C$2:$C$210,'İndirimler'!$A$2:$A$210,B911,'İndirimler'!$B$2:$B$210,C911)),2),"")</x:f>
      </x:c>
      <x:c r="I911" t="str">
        <x:f>IF(SUMIFS('İndirimler'!$D$2:$D$210,'İndirimler'!$A$2:$A$210,B911,'İndirimler'!$B$2:$B$210,C911)&gt;0,ROUND(G911*(1-SUMIFS('İndirimler'!$D$2:$D$210,'İndirimler'!$A$2:$A$210,B911,'İndirimler'!$B$2:$B$210,C911)),2),"")</x:f>
      </x:c>
      <x:c r="J911"/>
      <x:c r="K911"/>
    </x:row>
    <x:row r="912">
      <x:c r="A912"/>
      <x:c r="B912"/>
      <x:c r="C912"/>
      <x:c r="D912"/>
      <x:c r="E912"/>
      <x:c r="F912"/>
      <x:c r="G912"/>
      <x:c r="H912" t="str">
        <x:f>IF(SUMIFS('İndirimler'!$C$2:$C$210,'İndirimler'!$A$2:$A$210,B912,'İndirimler'!$B$2:$B$210,C912)&gt;0,ROUND(G912*(1-SUMIFS('İndirimler'!$C$2:$C$210,'İndirimler'!$A$2:$A$210,B912,'İndirimler'!$B$2:$B$210,C912)),2),"")</x:f>
      </x:c>
      <x:c r="I912" t="str">
        <x:f>IF(SUMIFS('İndirimler'!$D$2:$D$210,'İndirimler'!$A$2:$A$210,B912,'İndirimler'!$B$2:$B$210,C912)&gt;0,ROUND(G912*(1-SUMIFS('İndirimler'!$D$2:$D$210,'İndirimler'!$A$2:$A$210,B912,'İndirimler'!$B$2:$B$210,C912)),2),"")</x:f>
      </x:c>
      <x:c r="J912"/>
      <x:c r="K912"/>
    </x:row>
    <x:row r="913">
      <x:c r="A913"/>
      <x:c r="B913"/>
      <x:c r="C913"/>
      <x:c r="D913"/>
      <x:c r="E913"/>
      <x:c r="F913"/>
      <x:c r="G913"/>
      <x:c r="H913" t="str">
        <x:f>IF(SUMIFS('İndirimler'!$C$2:$C$210,'İndirimler'!$A$2:$A$210,B913,'İndirimler'!$B$2:$B$210,C913)&gt;0,ROUND(G913*(1-SUMIFS('İndirimler'!$C$2:$C$210,'İndirimler'!$A$2:$A$210,B913,'İndirimler'!$B$2:$B$210,C913)),2),"")</x:f>
      </x:c>
      <x:c r="I913" t="str">
        <x:f>IF(SUMIFS('İndirimler'!$D$2:$D$210,'İndirimler'!$A$2:$A$210,B913,'İndirimler'!$B$2:$B$210,C913)&gt;0,ROUND(G913*(1-SUMIFS('İndirimler'!$D$2:$D$210,'İndirimler'!$A$2:$A$210,B913,'İndirimler'!$B$2:$B$210,C913)),2),"")</x:f>
      </x:c>
      <x:c r="J913"/>
      <x:c r="K913"/>
    </x:row>
    <x:row r="914">
      <x:c r="A914"/>
      <x:c r="B914"/>
      <x:c r="C914"/>
      <x:c r="D914"/>
      <x:c r="E914"/>
      <x:c r="F914"/>
      <x:c r="G914"/>
      <x:c r="H914" t="str">
        <x:f>IF(SUMIFS('İndirimler'!$C$2:$C$210,'İndirimler'!$A$2:$A$210,B914,'İndirimler'!$B$2:$B$210,C914)&gt;0,ROUND(G914*(1-SUMIFS('İndirimler'!$C$2:$C$210,'İndirimler'!$A$2:$A$210,B914,'İndirimler'!$B$2:$B$210,C914)),2),"")</x:f>
      </x:c>
      <x:c r="I914" t="str">
        <x:f>IF(SUMIFS('İndirimler'!$D$2:$D$210,'İndirimler'!$A$2:$A$210,B914,'İndirimler'!$B$2:$B$210,C914)&gt;0,ROUND(G914*(1-SUMIFS('İndirimler'!$D$2:$D$210,'İndirimler'!$A$2:$A$210,B914,'İndirimler'!$B$2:$B$210,C914)),2),"")</x:f>
      </x:c>
      <x:c r="J914"/>
      <x:c r="K914"/>
    </x:row>
    <x:row r="915">
      <x:c r="A915"/>
      <x:c r="B915"/>
      <x:c r="C915"/>
      <x:c r="D915"/>
      <x:c r="E915"/>
      <x:c r="F915"/>
      <x:c r="G915"/>
      <x:c r="H915" t="str">
        <x:f>IF(SUMIFS('İndirimler'!$C$2:$C$210,'İndirimler'!$A$2:$A$210,B915,'İndirimler'!$B$2:$B$210,C915)&gt;0,ROUND(G915*(1-SUMIFS('İndirimler'!$C$2:$C$210,'İndirimler'!$A$2:$A$210,B915,'İndirimler'!$B$2:$B$210,C915)),2),"")</x:f>
      </x:c>
      <x:c r="I915" t="str">
        <x:f>IF(SUMIFS('İndirimler'!$D$2:$D$210,'İndirimler'!$A$2:$A$210,B915,'İndirimler'!$B$2:$B$210,C915)&gt;0,ROUND(G915*(1-SUMIFS('İndirimler'!$D$2:$D$210,'İndirimler'!$A$2:$A$210,B915,'İndirimler'!$B$2:$B$210,C915)),2),"")</x:f>
      </x:c>
      <x:c r="J915"/>
      <x:c r="K915"/>
    </x:row>
    <x:row r="916">
      <x:c r="A916"/>
      <x:c r="B916"/>
      <x:c r="C916"/>
      <x:c r="D916"/>
      <x:c r="E916"/>
      <x:c r="F916"/>
      <x:c r="G916"/>
      <x:c r="H916" t="str">
        <x:f>IF(SUMIFS('İndirimler'!$C$2:$C$210,'İndirimler'!$A$2:$A$210,B916,'İndirimler'!$B$2:$B$210,C916)&gt;0,ROUND(G916*(1-SUMIFS('İndirimler'!$C$2:$C$210,'İndirimler'!$A$2:$A$210,B916,'İndirimler'!$B$2:$B$210,C916)),2),"")</x:f>
      </x:c>
      <x:c r="I916" t="str">
        <x:f>IF(SUMIFS('İndirimler'!$D$2:$D$210,'İndirimler'!$A$2:$A$210,B916,'İndirimler'!$B$2:$B$210,C916)&gt;0,ROUND(G916*(1-SUMIFS('İndirimler'!$D$2:$D$210,'İndirimler'!$A$2:$A$210,B916,'İndirimler'!$B$2:$B$210,C916)),2),"")</x:f>
      </x:c>
      <x:c r="J916"/>
      <x:c r="K916"/>
    </x:row>
    <x:row r="917">
      <x:c r="A917"/>
      <x:c r="B917"/>
      <x:c r="C917"/>
      <x:c r="D917"/>
      <x:c r="E917"/>
      <x:c r="F917"/>
      <x:c r="G917"/>
      <x:c r="H917" t="str">
        <x:f>IF(SUMIFS('İndirimler'!$C$2:$C$210,'İndirimler'!$A$2:$A$210,B917,'İndirimler'!$B$2:$B$210,C917)&gt;0,ROUND(G917*(1-SUMIFS('İndirimler'!$C$2:$C$210,'İndirimler'!$A$2:$A$210,B917,'İndirimler'!$B$2:$B$210,C917)),2),"")</x:f>
      </x:c>
      <x:c r="I917" t="str">
        <x:f>IF(SUMIFS('İndirimler'!$D$2:$D$210,'İndirimler'!$A$2:$A$210,B917,'İndirimler'!$B$2:$B$210,C917)&gt;0,ROUND(G917*(1-SUMIFS('İndirimler'!$D$2:$D$210,'İndirimler'!$A$2:$A$210,B917,'İndirimler'!$B$2:$B$210,C917)),2),"")</x:f>
      </x:c>
      <x:c r="J917"/>
      <x:c r="K917"/>
    </x:row>
    <x:row r="918">
      <x:c r="A918"/>
      <x:c r="B918"/>
      <x:c r="C918"/>
      <x:c r="D918"/>
      <x:c r="E918"/>
      <x:c r="F918"/>
      <x:c r="G918"/>
      <x:c r="H918" t="str">
        <x:f>IF(SUMIFS('İndirimler'!$C$2:$C$210,'İndirimler'!$A$2:$A$210,B918,'İndirimler'!$B$2:$B$210,C918)&gt;0,ROUND(G918*(1-SUMIFS('İndirimler'!$C$2:$C$210,'İndirimler'!$A$2:$A$210,B918,'İndirimler'!$B$2:$B$210,C918)),2),"")</x:f>
      </x:c>
      <x:c r="I918" t="str">
        <x:f>IF(SUMIFS('İndirimler'!$D$2:$D$210,'İndirimler'!$A$2:$A$210,B918,'İndirimler'!$B$2:$B$210,C918)&gt;0,ROUND(G918*(1-SUMIFS('İndirimler'!$D$2:$D$210,'İndirimler'!$A$2:$A$210,B918,'İndirimler'!$B$2:$B$210,C918)),2),"")</x:f>
      </x:c>
      <x:c r="J918"/>
      <x:c r="K918"/>
    </x:row>
    <x:row r="919">
      <x:c r="A919"/>
      <x:c r="B919"/>
      <x:c r="C919"/>
      <x:c r="D919"/>
      <x:c r="E919"/>
      <x:c r="F919"/>
      <x:c r="G919"/>
      <x:c r="H919" t="str">
        <x:f>IF(SUMIFS('İndirimler'!$C$2:$C$210,'İndirimler'!$A$2:$A$210,B919,'İndirimler'!$B$2:$B$210,C919)&gt;0,ROUND(G919*(1-SUMIFS('İndirimler'!$C$2:$C$210,'İndirimler'!$A$2:$A$210,B919,'İndirimler'!$B$2:$B$210,C919)),2),"")</x:f>
      </x:c>
      <x:c r="I919" t="str">
        <x:f>IF(SUMIFS('İndirimler'!$D$2:$D$210,'İndirimler'!$A$2:$A$210,B919,'İndirimler'!$B$2:$B$210,C919)&gt;0,ROUND(G919*(1-SUMIFS('İndirimler'!$D$2:$D$210,'İndirimler'!$A$2:$A$210,B919,'İndirimler'!$B$2:$B$210,C919)),2),"")</x:f>
      </x:c>
      <x:c r="J919"/>
      <x:c r="K919"/>
    </x:row>
    <x:row r="920">
      <x:c r="A920"/>
      <x:c r="B920"/>
      <x:c r="C920"/>
      <x:c r="D920"/>
      <x:c r="E920"/>
      <x:c r="F920"/>
      <x:c r="G920"/>
      <x:c r="H920" t="str">
        <x:f>IF(SUMIFS('İndirimler'!$C$2:$C$210,'İndirimler'!$A$2:$A$210,B920,'İndirimler'!$B$2:$B$210,C920)&gt;0,ROUND(G920*(1-SUMIFS('İndirimler'!$C$2:$C$210,'İndirimler'!$A$2:$A$210,B920,'İndirimler'!$B$2:$B$210,C920)),2),"")</x:f>
      </x:c>
      <x:c r="I920" t="str">
        <x:f>IF(SUMIFS('İndirimler'!$D$2:$D$210,'İndirimler'!$A$2:$A$210,B920,'İndirimler'!$B$2:$B$210,C920)&gt;0,ROUND(G920*(1-SUMIFS('İndirimler'!$D$2:$D$210,'İndirimler'!$A$2:$A$210,B920,'İndirimler'!$B$2:$B$210,C920)),2),"")</x:f>
      </x:c>
      <x:c r="J920"/>
      <x:c r="K920"/>
    </x:row>
    <x:row r="921">
      <x:c r="A921"/>
      <x:c r="B921"/>
      <x:c r="C921"/>
      <x:c r="D921"/>
      <x:c r="E921"/>
      <x:c r="F921"/>
      <x:c r="G921"/>
      <x:c r="H921" t="str">
        <x:f>IF(SUMIFS('İndirimler'!$C$2:$C$210,'İndirimler'!$A$2:$A$210,B921,'İndirimler'!$B$2:$B$210,C921)&gt;0,ROUND(G921*(1-SUMIFS('İndirimler'!$C$2:$C$210,'İndirimler'!$A$2:$A$210,B921,'İndirimler'!$B$2:$B$210,C921)),2),"")</x:f>
      </x:c>
      <x:c r="I921" t="str">
        <x:f>IF(SUMIFS('İndirimler'!$D$2:$D$210,'İndirimler'!$A$2:$A$210,B921,'İndirimler'!$B$2:$B$210,C921)&gt;0,ROUND(G921*(1-SUMIFS('İndirimler'!$D$2:$D$210,'İndirimler'!$A$2:$A$210,B921,'İndirimler'!$B$2:$B$210,C921)),2),"")</x:f>
      </x:c>
      <x:c r="J921"/>
      <x:c r="K921"/>
    </x:row>
    <x:row r="922">
      <x:c r="A922"/>
      <x:c r="B922"/>
      <x:c r="C922"/>
      <x:c r="D922"/>
      <x:c r="E922"/>
      <x:c r="F922"/>
      <x:c r="G922"/>
      <x:c r="H922" t="str">
        <x:f>IF(SUMIFS('İndirimler'!$C$2:$C$210,'İndirimler'!$A$2:$A$210,B922,'İndirimler'!$B$2:$B$210,C922)&gt;0,ROUND(G922*(1-SUMIFS('İndirimler'!$C$2:$C$210,'İndirimler'!$A$2:$A$210,B922,'İndirimler'!$B$2:$B$210,C922)),2),"")</x:f>
      </x:c>
      <x:c r="I922" t="str">
        <x:f>IF(SUMIFS('İndirimler'!$D$2:$D$210,'İndirimler'!$A$2:$A$210,B922,'İndirimler'!$B$2:$B$210,C922)&gt;0,ROUND(G922*(1-SUMIFS('İndirimler'!$D$2:$D$210,'İndirimler'!$A$2:$A$210,B922,'İndirimler'!$B$2:$B$210,C922)),2),"")</x:f>
      </x:c>
      <x:c r="J922"/>
      <x:c r="K922"/>
    </x:row>
    <x:row r="923">
      <x:c r="A923"/>
      <x:c r="B923"/>
      <x:c r="C923"/>
      <x:c r="D923"/>
      <x:c r="E923"/>
      <x:c r="F923"/>
      <x:c r="G923"/>
      <x:c r="H923" t="str">
        <x:f>IF(SUMIFS('İndirimler'!$C$2:$C$210,'İndirimler'!$A$2:$A$210,B923,'İndirimler'!$B$2:$B$210,C923)&gt;0,ROUND(G923*(1-SUMIFS('İndirimler'!$C$2:$C$210,'İndirimler'!$A$2:$A$210,B923,'İndirimler'!$B$2:$B$210,C923)),2),"")</x:f>
      </x:c>
      <x:c r="I923" t="str">
        <x:f>IF(SUMIFS('İndirimler'!$D$2:$D$210,'İndirimler'!$A$2:$A$210,B923,'İndirimler'!$B$2:$B$210,C923)&gt;0,ROUND(G923*(1-SUMIFS('İndirimler'!$D$2:$D$210,'İndirimler'!$A$2:$A$210,B923,'İndirimler'!$B$2:$B$210,C923)),2),"")</x:f>
      </x:c>
      <x:c r="J923"/>
      <x:c r="K923"/>
    </x:row>
    <x:row r="924">
      <x:c r="A924"/>
      <x:c r="B924"/>
      <x:c r="C924"/>
      <x:c r="D924"/>
      <x:c r="E924"/>
      <x:c r="F924"/>
      <x:c r="G924"/>
      <x:c r="H924" t="str">
        <x:f>IF(SUMIFS('İndirimler'!$C$2:$C$210,'İndirimler'!$A$2:$A$210,B924,'İndirimler'!$B$2:$B$210,C924)&gt;0,ROUND(G924*(1-SUMIFS('İndirimler'!$C$2:$C$210,'İndirimler'!$A$2:$A$210,B924,'İndirimler'!$B$2:$B$210,C924)),2),"")</x:f>
      </x:c>
      <x:c r="I924" t="str">
        <x:f>IF(SUMIFS('İndirimler'!$D$2:$D$210,'İndirimler'!$A$2:$A$210,B924,'İndirimler'!$B$2:$B$210,C924)&gt;0,ROUND(G924*(1-SUMIFS('İndirimler'!$D$2:$D$210,'İndirimler'!$A$2:$A$210,B924,'İndirimler'!$B$2:$B$210,C924)),2),"")</x:f>
      </x:c>
      <x:c r="J924"/>
      <x:c r="K924"/>
    </x:row>
    <x:row r="925">
      <x:c r="A925"/>
      <x:c r="B925"/>
      <x:c r="C925"/>
      <x:c r="D925"/>
      <x:c r="E925"/>
      <x:c r="F925"/>
      <x:c r="G925"/>
      <x:c r="H925" t="str">
        <x:f>IF(SUMIFS('İndirimler'!$C$2:$C$210,'İndirimler'!$A$2:$A$210,B925,'İndirimler'!$B$2:$B$210,C925)&gt;0,ROUND(G925*(1-SUMIFS('İndirimler'!$C$2:$C$210,'İndirimler'!$A$2:$A$210,B925,'İndirimler'!$B$2:$B$210,C925)),2),"")</x:f>
      </x:c>
      <x:c r="I925" t="str">
        <x:f>IF(SUMIFS('İndirimler'!$D$2:$D$210,'İndirimler'!$A$2:$A$210,B925,'İndirimler'!$B$2:$B$210,C925)&gt;0,ROUND(G925*(1-SUMIFS('İndirimler'!$D$2:$D$210,'İndirimler'!$A$2:$A$210,B925,'İndirimler'!$B$2:$B$210,C925)),2),"")</x:f>
      </x:c>
      <x:c r="J925"/>
      <x:c r="K925"/>
    </x:row>
    <x:row r="926">
      <x:c r="A926"/>
      <x:c r="B926"/>
      <x:c r="C926"/>
      <x:c r="D926"/>
      <x:c r="E926"/>
      <x:c r="F926"/>
      <x:c r="G926"/>
      <x:c r="H926" t="str">
        <x:f>IF(SUMIFS('İndirimler'!$C$2:$C$210,'İndirimler'!$A$2:$A$210,B926,'İndirimler'!$B$2:$B$210,C926)&gt;0,ROUND(G926*(1-SUMIFS('İndirimler'!$C$2:$C$210,'İndirimler'!$A$2:$A$210,B926,'İndirimler'!$B$2:$B$210,C926)),2),"")</x:f>
      </x:c>
      <x:c r="I926" t="str">
        <x:f>IF(SUMIFS('İndirimler'!$D$2:$D$210,'İndirimler'!$A$2:$A$210,B926,'İndirimler'!$B$2:$B$210,C926)&gt;0,ROUND(G926*(1-SUMIFS('İndirimler'!$D$2:$D$210,'İndirimler'!$A$2:$A$210,B926,'İndirimler'!$B$2:$B$210,C926)),2),"")</x:f>
      </x:c>
      <x:c r="J926"/>
      <x:c r="K926"/>
    </x:row>
    <x:row r="927">
      <x:c r="A927"/>
      <x:c r="B927"/>
      <x:c r="C927"/>
      <x:c r="D927"/>
      <x:c r="E927"/>
      <x:c r="F927"/>
      <x:c r="G927"/>
      <x:c r="H927" t="str">
        <x:f>IF(SUMIFS('İndirimler'!$C$2:$C$210,'İndirimler'!$A$2:$A$210,B927,'İndirimler'!$B$2:$B$210,C927)&gt;0,ROUND(G927*(1-SUMIFS('İndirimler'!$C$2:$C$210,'İndirimler'!$A$2:$A$210,B927,'İndirimler'!$B$2:$B$210,C927)),2),"")</x:f>
      </x:c>
      <x:c r="I927" t="str">
        <x:f>IF(SUMIFS('İndirimler'!$D$2:$D$210,'İndirimler'!$A$2:$A$210,B927,'İndirimler'!$B$2:$B$210,C927)&gt;0,ROUND(G927*(1-SUMIFS('İndirimler'!$D$2:$D$210,'İndirimler'!$A$2:$A$210,B927,'İndirimler'!$B$2:$B$210,C927)),2),"")</x:f>
      </x:c>
      <x:c r="J927"/>
      <x:c r="K927"/>
    </x:row>
    <x:row r="928">
      <x:c r="A928"/>
      <x:c r="B928"/>
      <x:c r="C928"/>
      <x:c r="D928"/>
      <x:c r="E928"/>
      <x:c r="F928"/>
      <x:c r="G928"/>
      <x:c r="H928" t="str">
        <x:f>IF(SUMIFS('İndirimler'!$C$2:$C$210,'İndirimler'!$A$2:$A$210,B928,'İndirimler'!$B$2:$B$210,C928)&gt;0,ROUND(G928*(1-SUMIFS('İndirimler'!$C$2:$C$210,'İndirimler'!$A$2:$A$210,B928,'İndirimler'!$B$2:$B$210,C928)),2),"")</x:f>
      </x:c>
      <x:c r="I928" t="str">
        <x:f>IF(SUMIFS('İndirimler'!$D$2:$D$210,'İndirimler'!$A$2:$A$210,B928,'İndirimler'!$B$2:$B$210,C928)&gt;0,ROUND(G928*(1-SUMIFS('İndirimler'!$D$2:$D$210,'İndirimler'!$A$2:$A$210,B928,'İndirimler'!$B$2:$B$210,C928)),2),"")</x:f>
      </x:c>
      <x:c r="J928"/>
      <x:c r="K928"/>
    </x:row>
    <x:row r="929">
      <x:c r="A929"/>
      <x:c r="B929"/>
      <x:c r="C929"/>
      <x:c r="D929"/>
      <x:c r="E929"/>
      <x:c r="F929"/>
      <x:c r="G929"/>
      <x:c r="H929" t="str">
        <x:f>IF(SUMIFS('İndirimler'!$C$2:$C$210,'İndirimler'!$A$2:$A$210,B929,'İndirimler'!$B$2:$B$210,C929)&gt;0,ROUND(G929*(1-SUMIFS('İndirimler'!$C$2:$C$210,'İndirimler'!$A$2:$A$210,B929,'İndirimler'!$B$2:$B$210,C929)),2),"")</x:f>
      </x:c>
      <x:c r="I929" t="str">
        <x:f>IF(SUMIFS('İndirimler'!$D$2:$D$210,'İndirimler'!$A$2:$A$210,B929,'İndirimler'!$B$2:$B$210,C929)&gt;0,ROUND(G929*(1-SUMIFS('İndirimler'!$D$2:$D$210,'İndirimler'!$A$2:$A$210,B929,'İndirimler'!$B$2:$B$210,C929)),2),"")</x:f>
      </x:c>
      <x:c r="J929"/>
      <x:c r="K929"/>
    </x:row>
    <x:row r="930">
      <x:c r="A930"/>
      <x:c r="B930"/>
      <x:c r="C930"/>
      <x:c r="D930"/>
      <x:c r="E930"/>
      <x:c r="F930"/>
      <x:c r="G930"/>
      <x:c r="H930" t="str">
        <x:f>IF(SUMIFS('İndirimler'!$C$2:$C$210,'İndirimler'!$A$2:$A$210,B930,'İndirimler'!$B$2:$B$210,C930)&gt;0,ROUND(G930*(1-SUMIFS('İndirimler'!$C$2:$C$210,'İndirimler'!$A$2:$A$210,B930,'İndirimler'!$B$2:$B$210,C930)),2),"")</x:f>
      </x:c>
      <x:c r="I930" t="str">
        <x:f>IF(SUMIFS('İndirimler'!$D$2:$D$210,'İndirimler'!$A$2:$A$210,B930,'İndirimler'!$B$2:$B$210,C930)&gt;0,ROUND(G930*(1-SUMIFS('İndirimler'!$D$2:$D$210,'İndirimler'!$A$2:$A$210,B930,'İndirimler'!$B$2:$B$210,C930)),2),"")</x:f>
      </x:c>
      <x:c r="J930"/>
      <x:c r="K930"/>
    </x:row>
    <x:row r="931">
      <x:c r="A931"/>
      <x:c r="B931"/>
      <x:c r="C931"/>
      <x:c r="D931"/>
      <x:c r="E931"/>
      <x:c r="F931"/>
      <x:c r="G931"/>
      <x:c r="H931" t="str">
        <x:f>IF(SUMIFS('İndirimler'!$C$2:$C$210,'İndirimler'!$A$2:$A$210,B931,'İndirimler'!$B$2:$B$210,C931)&gt;0,ROUND(G931*(1-SUMIFS('İndirimler'!$C$2:$C$210,'İndirimler'!$A$2:$A$210,B931,'İndirimler'!$B$2:$B$210,C931)),2),"")</x:f>
      </x:c>
      <x:c r="I931" t="str">
        <x:f>IF(SUMIFS('İndirimler'!$D$2:$D$210,'İndirimler'!$A$2:$A$210,B931,'İndirimler'!$B$2:$B$210,C931)&gt;0,ROUND(G931*(1-SUMIFS('İndirimler'!$D$2:$D$210,'İndirimler'!$A$2:$A$210,B931,'İndirimler'!$B$2:$B$210,C931)),2),"")</x:f>
      </x:c>
      <x:c r="J931"/>
      <x:c r="K931"/>
    </x:row>
    <x:row r="932">
      <x:c r="A932"/>
      <x:c r="B932"/>
      <x:c r="C932"/>
      <x:c r="D932"/>
      <x:c r="E932"/>
      <x:c r="F932"/>
      <x:c r="G932"/>
      <x:c r="H932" t="str">
        <x:f>IF(SUMIFS('İndirimler'!$C$2:$C$210,'İndirimler'!$A$2:$A$210,B932,'İndirimler'!$B$2:$B$210,C932)&gt;0,ROUND(G932*(1-SUMIFS('İndirimler'!$C$2:$C$210,'İndirimler'!$A$2:$A$210,B932,'İndirimler'!$B$2:$B$210,C932)),2),"")</x:f>
      </x:c>
      <x:c r="I932" t="str">
        <x:f>IF(SUMIFS('İndirimler'!$D$2:$D$210,'İndirimler'!$A$2:$A$210,B932,'İndirimler'!$B$2:$B$210,C932)&gt;0,ROUND(G932*(1-SUMIFS('İndirimler'!$D$2:$D$210,'İndirimler'!$A$2:$A$210,B932,'İndirimler'!$B$2:$B$210,C932)),2),"")</x:f>
      </x:c>
      <x:c r="J932"/>
      <x:c r="K932"/>
    </x:row>
    <x:row r="933">
      <x:c r="A933"/>
      <x:c r="B933"/>
      <x:c r="C933"/>
      <x:c r="D933"/>
      <x:c r="E933"/>
      <x:c r="F933"/>
      <x:c r="G933"/>
      <x:c r="H933" t="str">
        <x:f>IF(SUMIFS('İndirimler'!$C$2:$C$210,'İndirimler'!$A$2:$A$210,B933,'İndirimler'!$B$2:$B$210,C933)&gt;0,ROUND(G933*(1-SUMIFS('İndirimler'!$C$2:$C$210,'İndirimler'!$A$2:$A$210,B933,'İndirimler'!$B$2:$B$210,C933)),2),"")</x:f>
      </x:c>
      <x:c r="I933" t="str">
        <x:f>IF(SUMIFS('İndirimler'!$D$2:$D$210,'İndirimler'!$A$2:$A$210,B933,'İndirimler'!$B$2:$B$210,C933)&gt;0,ROUND(G933*(1-SUMIFS('İndirimler'!$D$2:$D$210,'İndirimler'!$A$2:$A$210,B933,'İndirimler'!$B$2:$B$210,C933)),2),"")</x:f>
      </x:c>
      <x:c r="J933"/>
      <x:c r="K933"/>
    </x:row>
    <x:row r="934">
      <x:c r="A934"/>
      <x:c r="B934"/>
      <x:c r="C934"/>
      <x:c r="D934"/>
      <x:c r="E934"/>
      <x:c r="F934"/>
      <x:c r="G934"/>
      <x:c r="H934" t="str">
        <x:f>IF(SUMIFS('İndirimler'!$C$2:$C$210,'İndirimler'!$A$2:$A$210,B934,'İndirimler'!$B$2:$B$210,C934)&gt;0,ROUND(G934*(1-SUMIFS('İndirimler'!$C$2:$C$210,'İndirimler'!$A$2:$A$210,B934,'İndirimler'!$B$2:$B$210,C934)),2),"")</x:f>
      </x:c>
      <x:c r="I934" t="str">
        <x:f>IF(SUMIFS('İndirimler'!$D$2:$D$210,'İndirimler'!$A$2:$A$210,B934,'İndirimler'!$B$2:$B$210,C934)&gt;0,ROUND(G934*(1-SUMIFS('İndirimler'!$D$2:$D$210,'İndirimler'!$A$2:$A$210,B934,'İndirimler'!$B$2:$B$210,C934)),2),"")</x:f>
      </x:c>
      <x:c r="J934"/>
      <x:c r="K934"/>
    </x:row>
    <x:row r="935">
      <x:c r="A935"/>
      <x:c r="B935"/>
      <x:c r="C935"/>
      <x:c r="D935"/>
      <x:c r="E935"/>
      <x:c r="F935"/>
      <x:c r="G935"/>
      <x:c r="H935" t="str">
        <x:f>IF(SUMIFS('İndirimler'!$C$2:$C$210,'İndirimler'!$A$2:$A$210,B935,'İndirimler'!$B$2:$B$210,C935)&gt;0,ROUND(G935*(1-SUMIFS('İndirimler'!$C$2:$C$210,'İndirimler'!$A$2:$A$210,B935,'İndirimler'!$B$2:$B$210,C935)),2),"")</x:f>
      </x:c>
      <x:c r="I935" t="str">
        <x:f>IF(SUMIFS('İndirimler'!$D$2:$D$210,'İndirimler'!$A$2:$A$210,B935,'İndirimler'!$B$2:$B$210,C935)&gt;0,ROUND(G935*(1-SUMIFS('İndirimler'!$D$2:$D$210,'İndirimler'!$A$2:$A$210,B935,'İndirimler'!$B$2:$B$210,C935)),2),"")</x:f>
      </x:c>
      <x:c r="J935"/>
      <x:c r="K935"/>
    </x:row>
    <x:row r="936">
      <x:c r="A936"/>
      <x:c r="B936"/>
      <x:c r="C936"/>
      <x:c r="D936"/>
      <x:c r="E936"/>
      <x:c r="F936"/>
      <x:c r="G936"/>
      <x:c r="H936" t="str">
        <x:f>IF(SUMIFS('İndirimler'!$C$2:$C$210,'İndirimler'!$A$2:$A$210,B936,'İndirimler'!$B$2:$B$210,C936)&gt;0,ROUND(G936*(1-SUMIFS('İndirimler'!$C$2:$C$210,'İndirimler'!$A$2:$A$210,B936,'İndirimler'!$B$2:$B$210,C936)),2),"")</x:f>
      </x:c>
      <x:c r="I936" t="str">
        <x:f>IF(SUMIFS('İndirimler'!$D$2:$D$210,'İndirimler'!$A$2:$A$210,B936,'İndirimler'!$B$2:$B$210,C936)&gt;0,ROUND(G936*(1-SUMIFS('İndirimler'!$D$2:$D$210,'İndirimler'!$A$2:$A$210,B936,'İndirimler'!$B$2:$B$210,C936)),2),"")</x:f>
      </x:c>
      <x:c r="J936"/>
      <x:c r="K936"/>
    </x:row>
    <x:row r="937">
      <x:c r="A937"/>
      <x:c r="B937"/>
      <x:c r="C937"/>
      <x:c r="D937"/>
      <x:c r="E937"/>
      <x:c r="F937"/>
      <x:c r="G937"/>
      <x:c r="H937" t="str">
        <x:f>IF(SUMIFS('İndirimler'!$C$2:$C$210,'İndirimler'!$A$2:$A$210,B937,'İndirimler'!$B$2:$B$210,C937)&gt;0,ROUND(G937*(1-SUMIFS('İndirimler'!$C$2:$C$210,'İndirimler'!$A$2:$A$210,B937,'İndirimler'!$B$2:$B$210,C937)),2),"")</x:f>
      </x:c>
      <x:c r="I937" t="str">
        <x:f>IF(SUMIFS('İndirimler'!$D$2:$D$210,'İndirimler'!$A$2:$A$210,B937,'İndirimler'!$B$2:$B$210,C937)&gt;0,ROUND(G937*(1-SUMIFS('İndirimler'!$D$2:$D$210,'İndirimler'!$A$2:$A$210,B937,'İndirimler'!$B$2:$B$210,C937)),2),"")</x:f>
      </x:c>
      <x:c r="J937"/>
      <x:c r="K937"/>
    </x:row>
    <x:row r="938">
      <x:c r="A938"/>
      <x:c r="B938"/>
      <x:c r="C938"/>
      <x:c r="D938"/>
      <x:c r="E938"/>
      <x:c r="F938"/>
      <x:c r="G938"/>
      <x:c r="H938" t="str">
        <x:f>IF(SUMIFS('İndirimler'!$C$2:$C$210,'İndirimler'!$A$2:$A$210,B938,'İndirimler'!$B$2:$B$210,C938)&gt;0,ROUND(G938*(1-SUMIFS('İndirimler'!$C$2:$C$210,'İndirimler'!$A$2:$A$210,B938,'İndirimler'!$B$2:$B$210,C938)),2),"")</x:f>
      </x:c>
      <x:c r="I938" t="str">
        <x:f>IF(SUMIFS('İndirimler'!$D$2:$D$210,'İndirimler'!$A$2:$A$210,B938,'İndirimler'!$B$2:$B$210,C938)&gt;0,ROUND(G938*(1-SUMIFS('İndirimler'!$D$2:$D$210,'İndirimler'!$A$2:$A$210,B938,'İndirimler'!$B$2:$B$210,C938)),2),"")</x:f>
      </x:c>
      <x:c r="J938"/>
      <x:c r="K938"/>
    </x:row>
    <x:row r="939">
      <x:c r="A939"/>
      <x:c r="B939"/>
      <x:c r="C939"/>
      <x:c r="D939"/>
      <x:c r="E939"/>
      <x:c r="F939"/>
      <x:c r="G939"/>
      <x:c r="H939" t="str">
        <x:f>IF(SUMIFS('İndirimler'!$C$2:$C$210,'İndirimler'!$A$2:$A$210,B939,'İndirimler'!$B$2:$B$210,C939)&gt;0,ROUND(G939*(1-SUMIFS('İndirimler'!$C$2:$C$210,'İndirimler'!$A$2:$A$210,B939,'İndirimler'!$B$2:$B$210,C939)),2),"")</x:f>
      </x:c>
      <x:c r="I939" t="str">
        <x:f>IF(SUMIFS('İndirimler'!$D$2:$D$210,'İndirimler'!$A$2:$A$210,B939,'İndirimler'!$B$2:$B$210,C939)&gt;0,ROUND(G939*(1-SUMIFS('İndirimler'!$D$2:$D$210,'İndirimler'!$A$2:$A$210,B939,'İndirimler'!$B$2:$B$210,C939)),2),"")</x:f>
      </x:c>
      <x:c r="J939"/>
      <x:c r="K939"/>
    </x:row>
    <x:row r="940">
      <x:c r="A940"/>
      <x:c r="B940"/>
      <x:c r="C940"/>
      <x:c r="D940"/>
      <x:c r="E940"/>
      <x:c r="F940"/>
      <x:c r="G940"/>
      <x:c r="H940" t="str">
        <x:f>IF(SUMIFS('İndirimler'!$C$2:$C$210,'İndirimler'!$A$2:$A$210,B940,'İndirimler'!$B$2:$B$210,C940)&gt;0,ROUND(G940*(1-SUMIFS('İndirimler'!$C$2:$C$210,'İndirimler'!$A$2:$A$210,B940,'İndirimler'!$B$2:$B$210,C940)),2),"")</x:f>
      </x:c>
      <x:c r="I940" t="str">
        <x:f>IF(SUMIFS('İndirimler'!$D$2:$D$210,'İndirimler'!$A$2:$A$210,B940,'İndirimler'!$B$2:$B$210,C940)&gt;0,ROUND(G940*(1-SUMIFS('İndirimler'!$D$2:$D$210,'İndirimler'!$A$2:$A$210,B940,'İndirimler'!$B$2:$B$210,C940)),2),"")</x:f>
      </x:c>
      <x:c r="J940"/>
      <x:c r="K940"/>
    </x:row>
    <x:row r="941">
      <x:c r="A941"/>
      <x:c r="B941"/>
      <x:c r="C941"/>
      <x:c r="D941"/>
      <x:c r="E941"/>
      <x:c r="F941"/>
      <x:c r="G941"/>
      <x:c r="H941" t="str">
        <x:f>IF(SUMIFS('İndirimler'!$C$2:$C$210,'İndirimler'!$A$2:$A$210,B941,'İndirimler'!$B$2:$B$210,C941)&gt;0,ROUND(G941*(1-SUMIFS('İndirimler'!$C$2:$C$210,'İndirimler'!$A$2:$A$210,B941,'İndirimler'!$B$2:$B$210,C941)),2),"")</x:f>
      </x:c>
      <x:c r="I941" t="str">
        <x:f>IF(SUMIFS('İndirimler'!$D$2:$D$210,'İndirimler'!$A$2:$A$210,B941,'İndirimler'!$B$2:$B$210,C941)&gt;0,ROUND(G941*(1-SUMIFS('İndirimler'!$D$2:$D$210,'İndirimler'!$A$2:$A$210,B941,'İndirimler'!$B$2:$B$210,C941)),2),"")</x:f>
      </x:c>
      <x:c r="J941"/>
      <x:c r="K941"/>
    </x:row>
    <x:row r="942">
      <x:c r="A942"/>
      <x:c r="B942"/>
      <x:c r="C942"/>
      <x:c r="D942"/>
      <x:c r="E942"/>
      <x:c r="F942"/>
      <x:c r="G942"/>
      <x:c r="H942" t="str">
        <x:f>IF(SUMIFS('İndirimler'!$C$2:$C$210,'İndirimler'!$A$2:$A$210,B942,'İndirimler'!$B$2:$B$210,C942)&gt;0,ROUND(G942*(1-SUMIFS('İndirimler'!$C$2:$C$210,'İndirimler'!$A$2:$A$210,B942,'İndirimler'!$B$2:$B$210,C942)),2),"")</x:f>
      </x:c>
      <x:c r="I942" t="str">
        <x:f>IF(SUMIFS('İndirimler'!$D$2:$D$210,'İndirimler'!$A$2:$A$210,B942,'İndirimler'!$B$2:$B$210,C942)&gt;0,ROUND(G942*(1-SUMIFS('İndirimler'!$D$2:$D$210,'İndirimler'!$A$2:$A$210,B942,'İndirimler'!$B$2:$B$210,C942)),2),"")</x:f>
      </x:c>
      <x:c r="J942"/>
      <x:c r="K942"/>
    </x:row>
    <x:row r="943">
      <x:c r="A943"/>
      <x:c r="B943"/>
      <x:c r="C943"/>
      <x:c r="D943"/>
      <x:c r="E943"/>
      <x:c r="F943"/>
      <x:c r="G943"/>
      <x:c r="H943" t="str">
        <x:f>IF(SUMIFS('İndirimler'!$C$2:$C$210,'İndirimler'!$A$2:$A$210,B943,'İndirimler'!$B$2:$B$210,C943)&gt;0,ROUND(G943*(1-SUMIFS('İndirimler'!$C$2:$C$210,'İndirimler'!$A$2:$A$210,B943,'İndirimler'!$B$2:$B$210,C943)),2),"")</x:f>
      </x:c>
      <x:c r="I943" t="str">
        <x:f>IF(SUMIFS('İndirimler'!$D$2:$D$210,'İndirimler'!$A$2:$A$210,B943,'İndirimler'!$B$2:$B$210,C943)&gt;0,ROUND(G943*(1-SUMIFS('İndirimler'!$D$2:$D$210,'İndirimler'!$A$2:$A$210,B943,'İndirimler'!$B$2:$B$210,C943)),2),"")</x:f>
      </x:c>
      <x:c r="J943"/>
      <x:c r="K943"/>
    </x:row>
    <x:row r="944">
      <x:c r="A944"/>
      <x:c r="B944"/>
      <x:c r="C944"/>
      <x:c r="D944"/>
      <x:c r="E944"/>
      <x:c r="F944"/>
      <x:c r="G944"/>
      <x:c r="H944" t="str">
        <x:f>IF(SUMIFS('İndirimler'!$C$2:$C$210,'İndirimler'!$A$2:$A$210,B944,'İndirimler'!$B$2:$B$210,C944)&gt;0,ROUND(G944*(1-SUMIFS('İndirimler'!$C$2:$C$210,'İndirimler'!$A$2:$A$210,B944,'İndirimler'!$B$2:$B$210,C944)),2),"")</x:f>
      </x:c>
      <x:c r="I944" t="str">
        <x:f>IF(SUMIFS('İndirimler'!$D$2:$D$210,'İndirimler'!$A$2:$A$210,B944,'İndirimler'!$B$2:$B$210,C944)&gt;0,ROUND(G944*(1-SUMIFS('İndirimler'!$D$2:$D$210,'İndirimler'!$A$2:$A$210,B944,'İndirimler'!$B$2:$B$210,C944)),2),"")</x:f>
      </x:c>
      <x:c r="J944"/>
      <x:c r="K944"/>
    </x:row>
    <x:row r="945">
      <x:c r="A945"/>
      <x:c r="B945"/>
      <x:c r="C945"/>
      <x:c r="D945"/>
      <x:c r="E945"/>
      <x:c r="F945"/>
      <x:c r="G945"/>
      <x:c r="H945" t="str">
        <x:f>IF(SUMIFS('İndirimler'!$C$2:$C$210,'İndirimler'!$A$2:$A$210,B945,'İndirimler'!$B$2:$B$210,C945)&gt;0,ROUND(G945*(1-SUMIFS('İndirimler'!$C$2:$C$210,'İndirimler'!$A$2:$A$210,B945,'İndirimler'!$B$2:$B$210,C945)),2),"")</x:f>
      </x:c>
      <x:c r="I945" t="str">
        <x:f>IF(SUMIFS('İndirimler'!$D$2:$D$210,'İndirimler'!$A$2:$A$210,B945,'İndirimler'!$B$2:$B$210,C945)&gt;0,ROUND(G945*(1-SUMIFS('İndirimler'!$D$2:$D$210,'İndirimler'!$A$2:$A$210,B945,'İndirimler'!$B$2:$B$210,C945)),2),"")</x:f>
      </x:c>
      <x:c r="J945"/>
      <x:c r="K945"/>
    </x:row>
    <x:row r="946">
      <x:c r="A946"/>
      <x:c r="B946"/>
      <x:c r="C946"/>
      <x:c r="D946"/>
      <x:c r="E946"/>
      <x:c r="F946"/>
      <x:c r="G946"/>
      <x:c r="H946" t="str">
        <x:f>IF(SUMIFS('İndirimler'!$C$2:$C$210,'İndirimler'!$A$2:$A$210,B946,'İndirimler'!$B$2:$B$210,C946)&gt;0,ROUND(G946*(1-SUMIFS('İndirimler'!$C$2:$C$210,'İndirimler'!$A$2:$A$210,B946,'İndirimler'!$B$2:$B$210,C946)),2),"")</x:f>
      </x:c>
      <x:c r="I946" t="str">
        <x:f>IF(SUMIFS('İndirimler'!$D$2:$D$210,'İndirimler'!$A$2:$A$210,B946,'İndirimler'!$B$2:$B$210,C946)&gt;0,ROUND(G946*(1-SUMIFS('İndirimler'!$D$2:$D$210,'İndirimler'!$A$2:$A$210,B946,'İndirimler'!$B$2:$B$210,C946)),2),"")</x:f>
      </x:c>
      <x:c r="J946"/>
      <x:c r="K946"/>
    </x:row>
    <x:row r="947">
      <x:c r="A947"/>
      <x:c r="B947"/>
      <x:c r="C947"/>
      <x:c r="D947"/>
      <x:c r="E947"/>
      <x:c r="F947"/>
      <x:c r="G947"/>
      <x:c r="H947" t="str">
        <x:f>IF(SUMIFS('İndirimler'!$C$2:$C$210,'İndirimler'!$A$2:$A$210,B947,'İndirimler'!$B$2:$B$210,C947)&gt;0,ROUND(G947*(1-SUMIFS('İndirimler'!$C$2:$C$210,'İndirimler'!$A$2:$A$210,B947,'İndirimler'!$B$2:$B$210,C947)),2),"")</x:f>
      </x:c>
      <x:c r="I947" t="str">
        <x:f>IF(SUMIFS('İndirimler'!$D$2:$D$210,'İndirimler'!$A$2:$A$210,B947,'İndirimler'!$B$2:$B$210,C947)&gt;0,ROUND(G947*(1-SUMIFS('İndirimler'!$D$2:$D$210,'İndirimler'!$A$2:$A$210,B947,'İndirimler'!$B$2:$B$210,C947)),2),"")</x:f>
      </x:c>
      <x:c r="J947"/>
      <x:c r="K947"/>
    </x:row>
    <x:row r="948">
      <x:c r="A948"/>
      <x:c r="B948"/>
      <x:c r="C948"/>
      <x:c r="D948"/>
      <x:c r="E948"/>
      <x:c r="F948"/>
      <x:c r="G948"/>
      <x:c r="H948" t="str">
        <x:f>IF(SUMIFS('İndirimler'!$C$2:$C$210,'İndirimler'!$A$2:$A$210,B948,'İndirimler'!$B$2:$B$210,C948)&gt;0,ROUND(G948*(1-SUMIFS('İndirimler'!$C$2:$C$210,'İndirimler'!$A$2:$A$210,B948,'İndirimler'!$B$2:$B$210,C948)),2),"")</x:f>
      </x:c>
      <x:c r="I948" t="str">
        <x:f>IF(SUMIFS('İndirimler'!$D$2:$D$210,'İndirimler'!$A$2:$A$210,B948,'İndirimler'!$B$2:$B$210,C948)&gt;0,ROUND(G948*(1-SUMIFS('İndirimler'!$D$2:$D$210,'İndirimler'!$A$2:$A$210,B948,'İndirimler'!$B$2:$B$210,C948)),2),"")</x:f>
      </x:c>
      <x:c r="J948"/>
      <x:c r="K948"/>
    </x:row>
    <x:row r="949">
      <x:c r="A949"/>
      <x:c r="B949"/>
      <x:c r="C949"/>
      <x:c r="D949"/>
      <x:c r="E949"/>
      <x:c r="F949"/>
      <x:c r="G949"/>
      <x:c r="H949" t="str">
        <x:f>IF(SUMIFS('İndirimler'!$C$2:$C$210,'İndirimler'!$A$2:$A$210,B949,'İndirimler'!$B$2:$B$210,C949)&gt;0,ROUND(G949*(1-SUMIFS('İndirimler'!$C$2:$C$210,'İndirimler'!$A$2:$A$210,B949,'İndirimler'!$B$2:$B$210,C949)),2),"")</x:f>
      </x:c>
      <x:c r="I949" t="str">
        <x:f>IF(SUMIFS('İndirimler'!$D$2:$D$210,'İndirimler'!$A$2:$A$210,B949,'İndirimler'!$B$2:$B$210,C949)&gt;0,ROUND(G949*(1-SUMIFS('İndirimler'!$D$2:$D$210,'İndirimler'!$A$2:$A$210,B949,'İndirimler'!$B$2:$B$210,C949)),2),"")</x:f>
      </x:c>
      <x:c r="J949"/>
      <x:c r="K949"/>
    </x:row>
    <x:row r="950">
      <x:c r="A950"/>
      <x:c r="B950"/>
      <x:c r="C950"/>
      <x:c r="D950"/>
      <x:c r="E950"/>
      <x:c r="F950"/>
      <x:c r="G950"/>
      <x:c r="H950" t="str">
        <x:f>IF(SUMIFS('İndirimler'!$C$2:$C$210,'İndirimler'!$A$2:$A$210,B950,'İndirimler'!$B$2:$B$210,C950)&gt;0,ROUND(G950*(1-SUMIFS('İndirimler'!$C$2:$C$210,'İndirimler'!$A$2:$A$210,B950,'İndirimler'!$B$2:$B$210,C950)),2),"")</x:f>
      </x:c>
      <x:c r="I950" t="str">
        <x:f>IF(SUMIFS('İndirimler'!$D$2:$D$210,'İndirimler'!$A$2:$A$210,B950,'İndirimler'!$B$2:$B$210,C950)&gt;0,ROUND(G950*(1-SUMIFS('İndirimler'!$D$2:$D$210,'İndirimler'!$A$2:$A$210,B950,'İndirimler'!$B$2:$B$210,C950)),2),"")</x:f>
      </x:c>
      <x:c r="J950"/>
      <x:c r="K950"/>
    </x:row>
    <x:row r="951">
      <x:c r="A951"/>
      <x:c r="B951"/>
      <x:c r="C951"/>
      <x:c r="D951"/>
      <x:c r="E951"/>
      <x:c r="F951"/>
      <x:c r="G951"/>
      <x:c r="H951" t="str">
        <x:f>IF(SUMIFS('İndirimler'!$C$2:$C$210,'İndirimler'!$A$2:$A$210,B951,'İndirimler'!$B$2:$B$210,C951)&gt;0,ROUND(G951*(1-SUMIFS('İndirimler'!$C$2:$C$210,'İndirimler'!$A$2:$A$210,B951,'İndirimler'!$B$2:$B$210,C951)),2),"")</x:f>
      </x:c>
      <x:c r="I951" t="str">
        <x:f>IF(SUMIFS('İndirimler'!$D$2:$D$210,'İndirimler'!$A$2:$A$210,B951,'İndirimler'!$B$2:$B$210,C951)&gt;0,ROUND(G951*(1-SUMIFS('İndirimler'!$D$2:$D$210,'İndirimler'!$A$2:$A$210,B951,'İndirimler'!$B$2:$B$210,C951)),2),"")</x:f>
      </x:c>
      <x:c r="J951"/>
      <x:c r="K951"/>
    </x:row>
    <x:row r="952">
      <x:c r="A952"/>
      <x:c r="B952"/>
      <x:c r="C952"/>
      <x:c r="D952"/>
      <x:c r="E952"/>
      <x:c r="F952"/>
      <x:c r="G952"/>
      <x:c r="H952" t="str">
        <x:f>IF(SUMIFS('İndirimler'!$C$2:$C$210,'İndirimler'!$A$2:$A$210,B952,'İndirimler'!$B$2:$B$210,C952)&gt;0,ROUND(G952*(1-SUMIFS('İndirimler'!$C$2:$C$210,'İndirimler'!$A$2:$A$210,B952,'İndirimler'!$B$2:$B$210,C952)),2),"")</x:f>
      </x:c>
      <x:c r="I952" t="str">
        <x:f>IF(SUMIFS('İndirimler'!$D$2:$D$210,'İndirimler'!$A$2:$A$210,B952,'İndirimler'!$B$2:$B$210,C952)&gt;0,ROUND(G952*(1-SUMIFS('İndirimler'!$D$2:$D$210,'İndirimler'!$A$2:$A$210,B952,'İndirimler'!$B$2:$B$210,C952)),2),"")</x:f>
      </x:c>
      <x:c r="J952"/>
      <x:c r="K952"/>
    </x:row>
    <x:row r="953">
      <x:c r="A953"/>
      <x:c r="B953"/>
      <x:c r="C953"/>
      <x:c r="D953"/>
      <x:c r="E953"/>
      <x:c r="F953"/>
      <x:c r="G953"/>
      <x:c r="H953" t="str">
        <x:f>IF(SUMIFS('İndirimler'!$C$2:$C$210,'İndirimler'!$A$2:$A$210,B953,'İndirimler'!$B$2:$B$210,C953)&gt;0,ROUND(G953*(1-SUMIFS('İndirimler'!$C$2:$C$210,'İndirimler'!$A$2:$A$210,B953,'İndirimler'!$B$2:$B$210,C953)),2),"")</x:f>
      </x:c>
      <x:c r="I953" t="str">
        <x:f>IF(SUMIFS('İndirimler'!$D$2:$D$210,'İndirimler'!$A$2:$A$210,B953,'İndirimler'!$B$2:$B$210,C953)&gt;0,ROUND(G953*(1-SUMIFS('İndirimler'!$D$2:$D$210,'İndirimler'!$A$2:$A$210,B953,'İndirimler'!$B$2:$B$210,C953)),2),"")</x:f>
      </x:c>
      <x:c r="J953"/>
      <x:c r="K953"/>
    </x:row>
    <x:row r="954">
      <x:c r="A954"/>
      <x:c r="B954"/>
      <x:c r="C954"/>
      <x:c r="D954"/>
      <x:c r="E954"/>
      <x:c r="F954"/>
      <x:c r="G954"/>
      <x:c r="H954" t="str">
        <x:f>IF(SUMIFS('İndirimler'!$C$2:$C$210,'İndirimler'!$A$2:$A$210,B954,'İndirimler'!$B$2:$B$210,C954)&gt;0,ROUND(G954*(1-SUMIFS('İndirimler'!$C$2:$C$210,'İndirimler'!$A$2:$A$210,B954,'İndirimler'!$B$2:$B$210,C954)),2),"")</x:f>
      </x:c>
      <x:c r="I954" t="str">
        <x:f>IF(SUMIFS('İndirimler'!$D$2:$D$210,'İndirimler'!$A$2:$A$210,B954,'İndirimler'!$B$2:$B$210,C954)&gt;0,ROUND(G954*(1-SUMIFS('İndirimler'!$D$2:$D$210,'İndirimler'!$A$2:$A$210,B954,'İndirimler'!$B$2:$B$210,C954)),2),"")</x:f>
      </x:c>
      <x:c r="J954"/>
      <x:c r="K954"/>
    </x:row>
    <x:row r="955">
      <x:c r="A955"/>
      <x:c r="B955"/>
      <x:c r="C955"/>
      <x:c r="D955"/>
      <x:c r="E955"/>
      <x:c r="F955"/>
      <x:c r="G955"/>
      <x:c r="H955" t="str">
        <x:f>IF(SUMIFS('İndirimler'!$C$2:$C$210,'İndirimler'!$A$2:$A$210,B955,'İndirimler'!$B$2:$B$210,C955)&gt;0,ROUND(G955*(1-SUMIFS('İndirimler'!$C$2:$C$210,'İndirimler'!$A$2:$A$210,B955,'İndirimler'!$B$2:$B$210,C955)),2),"")</x:f>
      </x:c>
      <x:c r="I955" t="str">
        <x:f>IF(SUMIFS('İndirimler'!$D$2:$D$210,'İndirimler'!$A$2:$A$210,B955,'İndirimler'!$B$2:$B$210,C955)&gt;0,ROUND(G955*(1-SUMIFS('İndirimler'!$D$2:$D$210,'İndirimler'!$A$2:$A$210,B955,'İndirimler'!$B$2:$B$210,C955)),2),"")</x:f>
      </x:c>
      <x:c r="J955"/>
      <x:c r="K955"/>
    </x:row>
    <x:row r="956">
      <x:c r="A956"/>
      <x:c r="B956"/>
      <x:c r="C956"/>
      <x:c r="D956"/>
      <x:c r="E956"/>
      <x:c r="F956"/>
      <x:c r="G956"/>
      <x:c r="H956" t="str">
        <x:f>IF(SUMIFS('İndirimler'!$C$2:$C$210,'İndirimler'!$A$2:$A$210,B956,'İndirimler'!$B$2:$B$210,C956)&gt;0,ROUND(G956*(1-SUMIFS('İndirimler'!$C$2:$C$210,'İndirimler'!$A$2:$A$210,B956,'İndirimler'!$B$2:$B$210,C956)),2),"")</x:f>
      </x:c>
      <x:c r="I956" t="str">
        <x:f>IF(SUMIFS('İndirimler'!$D$2:$D$210,'İndirimler'!$A$2:$A$210,B956,'İndirimler'!$B$2:$B$210,C956)&gt;0,ROUND(G956*(1-SUMIFS('İndirimler'!$D$2:$D$210,'İndirimler'!$A$2:$A$210,B956,'İndirimler'!$B$2:$B$210,C956)),2),"")</x:f>
      </x:c>
      <x:c r="J956"/>
      <x:c r="K956"/>
    </x:row>
    <x:row r="957">
      <x:c r="A957"/>
      <x:c r="B957"/>
      <x:c r="C957"/>
      <x:c r="D957"/>
      <x:c r="E957"/>
      <x:c r="F957"/>
      <x:c r="G957"/>
      <x:c r="H957" t="str">
        <x:f>IF(SUMIFS('İndirimler'!$C$2:$C$210,'İndirimler'!$A$2:$A$210,B957,'İndirimler'!$B$2:$B$210,C957)&gt;0,ROUND(G957*(1-SUMIFS('İndirimler'!$C$2:$C$210,'İndirimler'!$A$2:$A$210,B957,'İndirimler'!$B$2:$B$210,C957)),2),"")</x:f>
      </x:c>
      <x:c r="I957" t="str">
        <x:f>IF(SUMIFS('İndirimler'!$D$2:$D$210,'İndirimler'!$A$2:$A$210,B957,'İndirimler'!$B$2:$B$210,C957)&gt;0,ROUND(G957*(1-SUMIFS('İndirimler'!$D$2:$D$210,'İndirimler'!$A$2:$A$210,B957,'İndirimler'!$B$2:$B$210,C957)),2),"")</x:f>
      </x:c>
      <x:c r="J957"/>
      <x:c r="K957"/>
    </x:row>
    <x:row r="958">
      <x:c r="A958"/>
      <x:c r="B958"/>
      <x:c r="C958"/>
      <x:c r="D958"/>
      <x:c r="E958"/>
      <x:c r="F958"/>
      <x:c r="G958"/>
      <x:c r="H958" t="str">
        <x:f>IF(SUMIFS('İndirimler'!$C$2:$C$210,'İndirimler'!$A$2:$A$210,B958,'İndirimler'!$B$2:$B$210,C958)&gt;0,ROUND(G958*(1-SUMIFS('İndirimler'!$C$2:$C$210,'İndirimler'!$A$2:$A$210,B958,'İndirimler'!$B$2:$B$210,C958)),2),"")</x:f>
      </x:c>
      <x:c r="I958" t="str">
        <x:f>IF(SUMIFS('İndirimler'!$D$2:$D$210,'İndirimler'!$A$2:$A$210,B958,'İndirimler'!$B$2:$B$210,C958)&gt;0,ROUND(G958*(1-SUMIFS('İndirimler'!$D$2:$D$210,'İndirimler'!$A$2:$A$210,B958,'İndirimler'!$B$2:$B$210,C958)),2),"")</x:f>
      </x:c>
      <x:c r="J958"/>
      <x:c r="K958"/>
    </x:row>
    <x:row r="959">
      <x:c r="A959"/>
      <x:c r="B959"/>
      <x:c r="C959"/>
      <x:c r="D959"/>
      <x:c r="E959"/>
      <x:c r="F959"/>
      <x:c r="G959"/>
      <x:c r="H959" t="str">
        <x:f>IF(SUMIFS('İndirimler'!$C$2:$C$210,'İndirimler'!$A$2:$A$210,B959,'İndirimler'!$B$2:$B$210,C959)&gt;0,ROUND(G959*(1-SUMIFS('İndirimler'!$C$2:$C$210,'İndirimler'!$A$2:$A$210,B959,'İndirimler'!$B$2:$B$210,C959)),2),"")</x:f>
      </x:c>
      <x:c r="I959" t="str">
        <x:f>IF(SUMIFS('İndirimler'!$D$2:$D$210,'İndirimler'!$A$2:$A$210,B959,'İndirimler'!$B$2:$B$210,C959)&gt;0,ROUND(G959*(1-SUMIFS('İndirimler'!$D$2:$D$210,'İndirimler'!$A$2:$A$210,B959,'İndirimler'!$B$2:$B$210,C959)),2),"")</x:f>
      </x:c>
      <x:c r="J959"/>
      <x:c r="K959"/>
    </x:row>
    <x:row r="960">
      <x:c r="A960"/>
      <x:c r="B960"/>
      <x:c r="C960"/>
      <x:c r="D960"/>
      <x:c r="E960"/>
      <x:c r="F960"/>
      <x:c r="G960"/>
      <x:c r="H960" t="str">
        <x:f>IF(SUMIFS('İndirimler'!$C$2:$C$210,'İndirimler'!$A$2:$A$210,B960,'İndirimler'!$B$2:$B$210,C960)&gt;0,ROUND(G960*(1-SUMIFS('İndirimler'!$C$2:$C$210,'İndirimler'!$A$2:$A$210,B960,'İndirimler'!$B$2:$B$210,C960)),2),"")</x:f>
      </x:c>
      <x:c r="I960" t="str">
        <x:f>IF(SUMIFS('İndirimler'!$D$2:$D$210,'İndirimler'!$A$2:$A$210,B960,'İndirimler'!$B$2:$B$210,C960)&gt;0,ROUND(G960*(1-SUMIFS('İndirimler'!$D$2:$D$210,'İndirimler'!$A$2:$A$210,B960,'İndirimler'!$B$2:$B$210,C960)),2),"")</x:f>
      </x:c>
      <x:c r="J960"/>
      <x:c r="K960"/>
    </x:row>
    <x:row r="961">
      <x:c r="A961"/>
      <x:c r="B961"/>
      <x:c r="C961"/>
      <x:c r="D961"/>
      <x:c r="E961"/>
      <x:c r="F961"/>
      <x:c r="G961"/>
      <x:c r="H961" t="str">
        <x:f>IF(SUMIFS('İndirimler'!$C$2:$C$210,'İndirimler'!$A$2:$A$210,B961,'İndirimler'!$B$2:$B$210,C961)&gt;0,ROUND(G961*(1-SUMIFS('İndirimler'!$C$2:$C$210,'İndirimler'!$A$2:$A$210,B961,'İndirimler'!$B$2:$B$210,C961)),2),"")</x:f>
      </x:c>
      <x:c r="I961" t="str">
        <x:f>IF(SUMIFS('İndirimler'!$D$2:$D$210,'İndirimler'!$A$2:$A$210,B961,'İndirimler'!$B$2:$B$210,C961)&gt;0,ROUND(G961*(1-SUMIFS('İndirimler'!$D$2:$D$210,'İndirimler'!$A$2:$A$210,B961,'İndirimler'!$B$2:$B$210,C961)),2),"")</x:f>
      </x:c>
      <x:c r="J961"/>
      <x:c r="K961"/>
    </x:row>
    <x:row r="962">
      <x:c r="A962"/>
      <x:c r="B962"/>
      <x:c r="C962"/>
      <x:c r="D962"/>
      <x:c r="E962"/>
      <x:c r="F962"/>
      <x:c r="G962"/>
      <x:c r="H962" t="str">
        <x:f>IF(SUMIFS('İndirimler'!$C$2:$C$210,'İndirimler'!$A$2:$A$210,B962,'İndirimler'!$B$2:$B$210,C962)&gt;0,ROUND(G962*(1-SUMIFS('İndirimler'!$C$2:$C$210,'İndirimler'!$A$2:$A$210,B962,'İndirimler'!$B$2:$B$210,C962)),2),"")</x:f>
      </x:c>
      <x:c r="I962" t="str">
        <x:f>IF(SUMIFS('İndirimler'!$D$2:$D$210,'İndirimler'!$A$2:$A$210,B962,'İndirimler'!$B$2:$B$210,C962)&gt;0,ROUND(G962*(1-SUMIFS('İndirimler'!$D$2:$D$210,'İndirimler'!$A$2:$A$210,B962,'İndirimler'!$B$2:$B$210,C962)),2),"")</x:f>
      </x:c>
      <x:c r="J962"/>
      <x:c r="K962"/>
    </x:row>
    <x:row r="963">
      <x:c r="A963"/>
      <x:c r="B963"/>
      <x:c r="C963"/>
      <x:c r="D963"/>
      <x:c r="E963"/>
      <x:c r="F963"/>
      <x:c r="G963"/>
      <x:c r="H963" t="str">
        <x:f>IF(SUMIFS('İndirimler'!$C$2:$C$210,'İndirimler'!$A$2:$A$210,B963,'İndirimler'!$B$2:$B$210,C963)&gt;0,ROUND(G963*(1-SUMIFS('İndirimler'!$C$2:$C$210,'İndirimler'!$A$2:$A$210,B963,'İndirimler'!$B$2:$B$210,C963)),2),"")</x:f>
      </x:c>
      <x:c r="I963" t="str">
        <x:f>IF(SUMIFS('İndirimler'!$D$2:$D$210,'İndirimler'!$A$2:$A$210,B963,'İndirimler'!$B$2:$B$210,C963)&gt;0,ROUND(G963*(1-SUMIFS('İndirimler'!$D$2:$D$210,'İndirimler'!$A$2:$A$210,B963,'İndirimler'!$B$2:$B$210,C963)),2),"")</x:f>
      </x:c>
      <x:c r="J963"/>
      <x:c r="K963"/>
    </x:row>
    <x:row r="964">
      <x:c r="A964"/>
      <x:c r="B964"/>
      <x:c r="C964"/>
      <x:c r="D964"/>
      <x:c r="E964"/>
      <x:c r="F964"/>
      <x:c r="G964"/>
      <x:c r="H964" t="str">
        <x:f>IF(SUMIFS('İndirimler'!$C$2:$C$210,'İndirimler'!$A$2:$A$210,B964,'İndirimler'!$B$2:$B$210,C964)&gt;0,ROUND(G964*(1-SUMIFS('İndirimler'!$C$2:$C$210,'İndirimler'!$A$2:$A$210,B964,'İndirimler'!$B$2:$B$210,C964)),2),"")</x:f>
      </x:c>
      <x:c r="I964" t="str">
        <x:f>IF(SUMIFS('İndirimler'!$D$2:$D$210,'İndirimler'!$A$2:$A$210,B964,'İndirimler'!$B$2:$B$210,C964)&gt;0,ROUND(G964*(1-SUMIFS('İndirimler'!$D$2:$D$210,'İndirimler'!$A$2:$A$210,B964,'İndirimler'!$B$2:$B$210,C964)),2),"")</x:f>
      </x:c>
      <x:c r="J964"/>
      <x:c r="K964"/>
    </x:row>
    <x:row r="965">
      <x:c r="A965"/>
      <x:c r="B965"/>
      <x:c r="C965"/>
      <x:c r="D965"/>
      <x:c r="E965"/>
      <x:c r="F965"/>
      <x:c r="G965"/>
      <x:c r="H965" t="str">
        <x:f>IF(SUMIFS('İndirimler'!$C$2:$C$210,'İndirimler'!$A$2:$A$210,B965,'İndirimler'!$B$2:$B$210,C965)&gt;0,ROUND(G965*(1-SUMIFS('İndirimler'!$C$2:$C$210,'İndirimler'!$A$2:$A$210,B965,'İndirimler'!$B$2:$B$210,C965)),2),"")</x:f>
      </x:c>
      <x:c r="I965" t="str">
        <x:f>IF(SUMIFS('İndirimler'!$D$2:$D$210,'İndirimler'!$A$2:$A$210,B965,'İndirimler'!$B$2:$B$210,C965)&gt;0,ROUND(G965*(1-SUMIFS('İndirimler'!$D$2:$D$210,'İndirimler'!$A$2:$A$210,B965,'İndirimler'!$B$2:$B$210,C965)),2),"")</x:f>
      </x:c>
      <x:c r="J965"/>
      <x:c r="K965"/>
    </x:row>
    <x:row r="966">
      <x:c r="A966"/>
      <x:c r="B966"/>
      <x:c r="C966"/>
      <x:c r="D966"/>
      <x:c r="E966"/>
      <x:c r="F966"/>
      <x:c r="G966"/>
      <x:c r="H966" t="str">
        <x:f>IF(SUMIFS('İndirimler'!$C$2:$C$210,'İndirimler'!$A$2:$A$210,B966,'İndirimler'!$B$2:$B$210,C966)&gt;0,ROUND(G966*(1-SUMIFS('İndirimler'!$C$2:$C$210,'İndirimler'!$A$2:$A$210,B966,'İndirimler'!$B$2:$B$210,C966)),2),"")</x:f>
      </x:c>
      <x:c r="I966" t="str">
        <x:f>IF(SUMIFS('İndirimler'!$D$2:$D$210,'İndirimler'!$A$2:$A$210,B966,'İndirimler'!$B$2:$B$210,C966)&gt;0,ROUND(G966*(1-SUMIFS('İndirimler'!$D$2:$D$210,'İndirimler'!$A$2:$A$210,B966,'İndirimler'!$B$2:$B$210,C966)),2),"")</x:f>
      </x:c>
      <x:c r="J966"/>
      <x:c r="K966"/>
    </x:row>
    <x:row r="967">
      <x:c r="A967"/>
      <x:c r="B967"/>
      <x:c r="C967"/>
      <x:c r="D967"/>
      <x:c r="E967"/>
      <x:c r="F967"/>
      <x:c r="G967"/>
      <x:c r="H967" t="str">
        <x:f>IF(SUMIFS('İndirimler'!$C$2:$C$210,'İndirimler'!$A$2:$A$210,B967,'İndirimler'!$B$2:$B$210,C967)&gt;0,ROUND(G967*(1-SUMIFS('İndirimler'!$C$2:$C$210,'İndirimler'!$A$2:$A$210,B967,'İndirimler'!$B$2:$B$210,C967)),2),"")</x:f>
      </x:c>
      <x:c r="I967" t="str">
        <x:f>IF(SUMIFS('İndirimler'!$D$2:$D$210,'İndirimler'!$A$2:$A$210,B967,'İndirimler'!$B$2:$B$210,C967)&gt;0,ROUND(G967*(1-SUMIFS('İndirimler'!$D$2:$D$210,'İndirimler'!$A$2:$A$210,B967,'İndirimler'!$B$2:$B$210,C967)),2),"")</x:f>
      </x:c>
      <x:c r="J967"/>
      <x:c r="K967"/>
    </x:row>
    <x:row r="968">
      <x:c r="A968"/>
      <x:c r="B968"/>
      <x:c r="C968"/>
      <x:c r="D968"/>
      <x:c r="E968"/>
      <x:c r="F968"/>
      <x:c r="G968"/>
      <x:c r="H968" t="str">
        <x:f>IF(SUMIFS('İndirimler'!$C$2:$C$210,'İndirimler'!$A$2:$A$210,B968,'İndirimler'!$B$2:$B$210,C968)&gt;0,ROUND(G968*(1-SUMIFS('İndirimler'!$C$2:$C$210,'İndirimler'!$A$2:$A$210,B968,'İndirimler'!$B$2:$B$210,C968)),2),"")</x:f>
      </x:c>
      <x:c r="I968" t="str">
        <x:f>IF(SUMIFS('İndirimler'!$D$2:$D$210,'İndirimler'!$A$2:$A$210,B968,'İndirimler'!$B$2:$B$210,C968)&gt;0,ROUND(G968*(1-SUMIFS('İndirimler'!$D$2:$D$210,'İndirimler'!$A$2:$A$210,B968,'İndirimler'!$B$2:$B$210,C968)),2),"")</x:f>
      </x:c>
      <x:c r="J968"/>
      <x:c r="K968"/>
    </x:row>
    <x:row r="969">
      <x:c r="A969"/>
      <x:c r="B969"/>
      <x:c r="C969"/>
      <x:c r="D969"/>
      <x:c r="E969"/>
      <x:c r="F969"/>
      <x:c r="G969"/>
      <x:c r="H969" t="str">
        <x:f>IF(SUMIFS('İndirimler'!$C$2:$C$210,'İndirimler'!$A$2:$A$210,B969,'İndirimler'!$B$2:$B$210,C969)&gt;0,ROUND(G969*(1-SUMIFS('İndirimler'!$C$2:$C$210,'İndirimler'!$A$2:$A$210,B969,'İndirimler'!$B$2:$B$210,C969)),2),"")</x:f>
      </x:c>
      <x:c r="I969" t="str">
        <x:f>IF(SUMIFS('İndirimler'!$D$2:$D$210,'İndirimler'!$A$2:$A$210,B969,'İndirimler'!$B$2:$B$210,C969)&gt;0,ROUND(G969*(1-SUMIFS('İndirimler'!$D$2:$D$210,'İndirimler'!$A$2:$A$210,B969,'İndirimler'!$B$2:$B$210,C969)),2),"")</x:f>
      </x:c>
      <x:c r="J969"/>
      <x:c r="K969"/>
    </x:row>
    <x:row r="970">
      <x:c r="A970"/>
      <x:c r="B970"/>
      <x:c r="C970"/>
      <x:c r="D970"/>
      <x:c r="E970"/>
      <x:c r="F970"/>
      <x:c r="G970"/>
      <x:c r="H970" t="str">
        <x:f>IF(SUMIFS('İndirimler'!$C$2:$C$210,'İndirimler'!$A$2:$A$210,B970,'İndirimler'!$B$2:$B$210,C970)&gt;0,ROUND(G970*(1-SUMIFS('İndirimler'!$C$2:$C$210,'İndirimler'!$A$2:$A$210,B970,'İndirimler'!$B$2:$B$210,C970)),2),"")</x:f>
      </x:c>
      <x:c r="I970" t="str">
        <x:f>IF(SUMIFS('İndirimler'!$D$2:$D$210,'İndirimler'!$A$2:$A$210,B970,'İndirimler'!$B$2:$B$210,C970)&gt;0,ROUND(G970*(1-SUMIFS('İndirimler'!$D$2:$D$210,'İndirimler'!$A$2:$A$210,B970,'İndirimler'!$B$2:$B$210,C970)),2),"")</x:f>
      </x:c>
      <x:c r="J970"/>
      <x:c r="K970"/>
    </x:row>
    <x:row r="971">
      <x:c r="A971"/>
      <x:c r="B971"/>
      <x:c r="C971"/>
      <x:c r="D971"/>
      <x:c r="E971"/>
      <x:c r="F971"/>
      <x:c r="G971"/>
      <x:c r="H971" t="str">
        <x:f>IF(SUMIFS('İndirimler'!$C$2:$C$210,'İndirimler'!$A$2:$A$210,B971,'İndirimler'!$B$2:$B$210,C971)&gt;0,ROUND(G971*(1-SUMIFS('İndirimler'!$C$2:$C$210,'İndirimler'!$A$2:$A$210,B971,'İndirimler'!$B$2:$B$210,C971)),2),"")</x:f>
      </x:c>
      <x:c r="I971" t="str">
        <x:f>IF(SUMIFS('İndirimler'!$D$2:$D$210,'İndirimler'!$A$2:$A$210,B971,'İndirimler'!$B$2:$B$210,C971)&gt;0,ROUND(G971*(1-SUMIFS('İndirimler'!$D$2:$D$210,'İndirimler'!$A$2:$A$210,B971,'İndirimler'!$B$2:$B$210,C971)),2),"")</x:f>
      </x:c>
      <x:c r="J971"/>
      <x:c r="K971"/>
    </x:row>
    <x:row r="972">
      <x:c r="A972"/>
      <x:c r="B972"/>
      <x:c r="C972"/>
      <x:c r="D972"/>
      <x:c r="E972"/>
      <x:c r="F972"/>
      <x:c r="G972"/>
      <x:c r="H972" t="str">
        <x:f>IF(SUMIFS('İndirimler'!$C$2:$C$210,'İndirimler'!$A$2:$A$210,B972,'İndirimler'!$B$2:$B$210,C972)&gt;0,ROUND(G972*(1-SUMIFS('İndirimler'!$C$2:$C$210,'İndirimler'!$A$2:$A$210,B972,'İndirimler'!$B$2:$B$210,C972)),2),"")</x:f>
      </x:c>
      <x:c r="I972" t="str">
        <x:f>IF(SUMIFS('İndirimler'!$D$2:$D$210,'İndirimler'!$A$2:$A$210,B972,'İndirimler'!$B$2:$B$210,C972)&gt;0,ROUND(G972*(1-SUMIFS('İndirimler'!$D$2:$D$210,'İndirimler'!$A$2:$A$210,B972,'İndirimler'!$B$2:$B$210,C972)),2),"")</x:f>
      </x:c>
      <x:c r="J972"/>
      <x:c r="K972"/>
    </x:row>
    <x:row r="973">
      <x:c r="A973"/>
      <x:c r="B973"/>
      <x:c r="C973"/>
      <x:c r="D973"/>
      <x:c r="E973"/>
      <x:c r="F973"/>
      <x:c r="G973"/>
      <x:c r="H973" t="str">
        <x:f>IF(SUMIFS('İndirimler'!$C$2:$C$210,'İndirimler'!$A$2:$A$210,B973,'İndirimler'!$B$2:$B$210,C973)&gt;0,ROUND(G973*(1-SUMIFS('İndirimler'!$C$2:$C$210,'İndirimler'!$A$2:$A$210,B973,'İndirimler'!$B$2:$B$210,C973)),2),"")</x:f>
      </x:c>
      <x:c r="I973" t="str">
        <x:f>IF(SUMIFS('İndirimler'!$D$2:$D$210,'İndirimler'!$A$2:$A$210,B973,'İndirimler'!$B$2:$B$210,C973)&gt;0,ROUND(G973*(1-SUMIFS('İndirimler'!$D$2:$D$210,'İndirimler'!$A$2:$A$210,B973,'İndirimler'!$B$2:$B$210,C973)),2),"")</x:f>
      </x:c>
      <x:c r="J973"/>
      <x:c r="K973"/>
    </x:row>
    <x:row r="974">
      <x:c r="A974"/>
      <x:c r="B974"/>
      <x:c r="C974"/>
      <x:c r="D974"/>
      <x:c r="E974"/>
      <x:c r="F974"/>
      <x:c r="G974"/>
      <x:c r="H974" t="str">
        <x:f>IF(SUMIFS('İndirimler'!$C$2:$C$210,'İndirimler'!$A$2:$A$210,B974,'İndirimler'!$B$2:$B$210,C974)&gt;0,ROUND(G974*(1-SUMIFS('İndirimler'!$C$2:$C$210,'İndirimler'!$A$2:$A$210,B974,'İndirimler'!$B$2:$B$210,C974)),2),"")</x:f>
      </x:c>
      <x:c r="I974" t="str">
        <x:f>IF(SUMIFS('İndirimler'!$D$2:$D$210,'İndirimler'!$A$2:$A$210,B974,'İndirimler'!$B$2:$B$210,C974)&gt;0,ROUND(G974*(1-SUMIFS('İndirimler'!$D$2:$D$210,'İndirimler'!$A$2:$A$210,B974,'İndirimler'!$B$2:$B$210,C974)),2),"")</x:f>
      </x:c>
      <x:c r="J974"/>
      <x:c r="K974"/>
    </x:row>
    <x:row r="975">
      <x:c r="A975"/>
      <x:c r="B975"/>
      <x:c r="C975"/>
      <x:c r="D975"/>
      <x:c r="E975"/>
      <x:c r="F975"/>
      <x:c r="G975"/>
      <x:c r="H975" t="str">
        <x:f>IF(SUMIFS('İndirimler'!$C$2:$C$210,'İndirimler'!$A$2:$A$210,B975,'İndirimler'!$B$2:$B$210,C975)&gt;0,ROUND(G975*(1-SUMIFS('İndirimler'!$C$2:$C$210,'İndirimler'!$A$2:$A$210,B975,'İndirimler'!$B$2:$B$210,C975)),2),"")</x:f>
      </x:c>
      <x:c r="I975" t="str">
        <x:f>IF(SUMIFS('İndirimler'!$D$2:$D$210,'İndirimler'!$A$2:$A$210,B975,'İndirimler'!$B$2:$B$210,C975)&gt;0,ROUND(G975*(1-SUMIFS('İndirimler'!$D$2:$D$210,'İndirimler'!$A$2:$A$210,B975,'İndirimler'!$B$2:$B$210,C975)),2),"")</x:f>
      </x:c>
      <x:c r="J975"/>
      <x:c r="K975"/>
    </x:row>
    <x:row r="976">
      <x:c r="A976"/>
      <x:c r="B976"/>
      <x:c r="C976"/>
      <x:c r="D976"/>
      <x:c r="E976"/>
      <x:c r="F976"/>
      <x:c r="G976"/>
      <x:c r="H976" t="str">
        <x:f>IF(SUMIFS('İndirimler'!$C$2:$C$210,'İndirimler'!$A$2:$A$210,B976,'İndirimler'!$B$2:$B$210,C976)&gt;0,ROUND(G976*(1-SUMIFS('İndirimler'!$C$2:$C$210,'İndirimler'!$A$2:$A$210,B976,'İndirimler'!$B$2:$B$210,C976)),2),"")</x:f>
      </x:c>
      <x:c r="I976" t="str">
        <x:f>IF(SUMIFS('İndirimler'!$D$2:$D$210,'İndirimler'!$A$2:$A$210,B976,'İndirimler'!$B$2:$B$210,C976)&gt;0,ROUND(G976*(1-SUMIFS('İndirimler'!$D$2:$D$210,'İndirimler'!$A$2:$A$210,B976,'İndirimler'!$B$2:$B$210,C976)),2),"")</x:f>
      </x:c>
      <x:c r="J976"/>
      <x:c r="K976"/>
    </x:row>
    <x:row r="977">
      <x:c r="A977"/>
      <x:c r="B977"/>
      <x:c r="C977"/>
      <x:c r="D977"/>
      <x:c r="E977"/>
      <x:c r="F977"/>
      <x:c r="G977"/>
      <x:c r="H977" t="str">
        <x:f>IF(SUMIFS('İndirimler'!$C$2:$C$210,'İndirimler'!$A$2:$A$210,B977,'İndirimler'!$B$2:$B$210,C977)&gt;0,ROUND(G977*(1-SUMIFS('İndirimler'!$C$2:$C$210,'İndirimler'!$A$2:$A$210,B977,'İndirimler'!$B$2:$B$210,C977)),2),"")</x:f>
      </x:c>
      <x:c r="I977" t="str">
        <x:f>IF(SUMIFS('İndirimler'!$D$2:$D$210,'İndirimler'!$A$2:$A$210,B977,'İndirimler'!$B$2:$B$210,C977)&gt;0,ROUND(G977*(1-SUMIFS('İndirimler'!$D$2:$D$210,'İndirimler'!$A$2:$A$210,B977,'İndirimler'!$B$2:$B$210,C977)),2),"")</x:f>
      </x:c>
      <x:c r="J977"/>
      <x:c r="K977"/>
    </x:row>
    <x:row r="978">
      <x:c r="A978"/>
      <x:c r="B978"/>
      <x:c r="C978"/>
      <x:c r="D978"/>
      <x:c r="E978"/>
      <x:c r="F978"/>
      <x:c r="G978"/>
      <x:c r="H978" t="str">
        <x:f>IF(SUMIFS('İndirimler'!$C$2:$C$210,'İndirimler'!$A$2:$A$210,B978,'İndirimler'!$B$2:$B$210,C978)&gt;0,ROUND(G978*(1-SUMIFS('İndirimler'!$C$2:$C$210,'İndirimler'!$A$2:$A$210,B978,'İndirimler'!$B$2:$B$210,C978)),2),"")</x:f>
      </x:c>
      <x:c r="I978" t="str">
        <x:f>IF(SUMIFS('İndirimler'!$D$2:$D$210,'İndirimler'!$A$2:$A$210,B978,'İndirimler'!$B$2:$B$210,C978)&gt;0,ROUND(G978*(1-SUMIFS('İndirimler'!$D$2:$D$210,'İndirimler'!$A$2:$A$210,B978,'İndirimler'!$B$2:$B$210,C978)),2),"")</x:f>
      </x:c>
      <x:c r="J978"/>
      <x:c r="K978"/>
    </x:row>
    <x:row r="979">
      <x:c r="A979"/>
      <x:c r="B979"/>
      <x:c r="C979"/>
      <x:c r="D979"/>
      <x:c r="E979"/>
      <x:c r="F979"/>
      <x:c r="G979"/>
      <x:c r="H979" t="str">
        <x:f>IF(SUMIFS('İndirimler'!$C$2:$C$210,'İndirimler'!$A$2:$A$210,B979,'İndirimler'!$B$2:$B$210,C979)&gt;0,ROUND(G979*(1-SUMIFS('İndirimler'!$C$2:$C$210,'İndirimler'!$A$2:$A$210,B979,'İndirimler'!$B$2:$B$210,C979)),2),"")</x:f>
      </x:c>
      <x:c r="I979" t="str">
        <x:f>IF(SUMIFS('İndirimler'!$D$2:$D$210,'İndirimler'!$A$2:$A$210,B979,'İndirimler'!$B$2:$B$210,C979)&gt;0,ROUND(G979*(1-SUMIFS('İndirimler'!$D$2:$D$210,'İndirimler'!$A$2:$A$210,B979,'İndirimler'!$B$2:$B$210,C979)),2),"")</x:f>
      </x:c>
      <x:c r="J979"/>
      <x:c r="K979"/>
    </x:row>
    <x:row r="980">
      <x:c r="A980"/>
      <x:c r="B980"/>
      <x:c r="C980"/>
      <x:c r="D980"/>
      <x:c r="E980"/>
      <x:c r="F980"/>
      <x:c r="G980"/>
      <x:c r="H980" t="str">
        <x:f>IF(SUMIFS('İndirimler'!$C$2:$C$210,'İndirimler'!$A$2:$A$210,B980,'İndirimler'!$B$2:$B$210,C980)&gt;0,ROUND(G980*(1-SUMIFS('İndirimler'!$C$2:$C$210,'İndirimler'!$A$2:$A$210,B980,'İndirimler'!$B$2:$B$210,C980)),2),"")</x:f>
      </x:c>
      <x:c r="I980" t="str">
        <x:f>IF(SUMIFS('İndirimler'!$D$2:$D$210,'İndirimler'!$A$2:$A$210,B980,'İndirimler'!$B$2:$B$210,C980)&gt;0,ROUND(G980*(1-SUMIFS('İndirimler'!$D$2:$D$210,'İndirimler'!$A$2:$A$210,B980,'İndirimler'!$B$2:$B$210,C980)),2),"")</x:f>
      </x:c>
      <x:c r="J980"/>
      <x:c r="K980"/>
    </x:row>
    <x:row r="981">
      <x:c r="A981"/>
      <x:c r="B981"/>
      <x:c r="C981"/>
      <x:c r="D981"/>
      <x:c r="E981"/>
      <x:c r="F981"/>
      <x:c r="G981"/>
      <x:c r="H981" t="str">
        <x:f>IF(SUMIFS('İndirimler'!$C$2:$C$210,'İndirimler'!$A$2:$A$210,B981,'İndirimler'!$B$2:$B$210,C981)&gt;0,ROUND(G981*(1-SUMIFS('İndirimler'!$C$2:$C$210,'İndirimler'!$A$2:$A$210,B981,'İndirimler'!$B$2:$B$210,C981)),2),"")</x:f>
      </x:c>
      <x:c r="I981" t="str">
        <x:f>IF(SUMIFS('İndirimler'!$D$2:$D$210,'İndirimler'!$A$2:$A$210,B981,'İndirimler'!$B$2:$B$210,C981)&gt;0,ROUND(G981*(1-SUMIFS('İndirimler'!$D$2:$D$210,'İndirimler'!$A$2:$A$210,B981,'İndirimler'!$B$2:$B$210,C981)),2),"")</x:f>
      </x:c>
      <x:c r="J981"/>
      <x:c r="K981"/>
    </x:row>
    <x:row r="982">
      <x:c r="A982"/>
      <x:c r="B982"/>
      <x:c r="C982"/>
      <x:c r="D982"/>
      <x:c r="E982"/>
      <x:c r="F982"/>
      <x:c r="G982"/>
      <x:c r="H982" t="str">
        <x:f>IF(SUMIFS('İndirimler'!$C$2:$C$210,'İndirimler'!$A$2:$A$210,B982,'İndirimler'!$B$2:$B$210,C982)&gt;0,ROUND(G982*(1-SUMIFS('İndirimler'!$C$2:$C$210,'İndirimler'!$A$2:$A$210,B982,'İndirimler'!$B$2:$B$210,C982)),2),"")</x:f>
      </x:c>
      <x:c r="I982" t="str">
        <x:f>IF(SUMIFS('İndirimler'!$D$2:$D$210,'İndirimler'!$A$2:$A$210,B982,'İndirimler'!$B$2:$B$210,C982)&gt;0,ROUND(G982*(1-SUMIFS('İndirimler'!$D$2:$D$210,'İndirimler'!$A$2:$A$210,B982,'İndirimler'!$B$2:$B$210,C982)),2),"")</x:f>
      </x:c>
      <x:c r="J982"/>
      <x:c r="K982"/>
    </x:row>
    <x:row r="983">
      <x:c r="A983"/>
      <x:c r="B983"/>
      <x:c r="C983"/>
      <x:c r="D983"/>
      <x:c r="E983"/>
      <x:c r="F983"/>
      <x:c r="G983"/>
      <x:c r="H983" t="str">
        <x:f>IF(SUMIFS('İndirimler'!$C$2:$C$210,'İndirimler'!$A$2:$A$210,B983,'İndirimler'!$B$2:$B$210,C983)&gt;0,ROUND(G983*(1-SUMIFS('İndirimler'!$C$2:$C$210,'İndirimler'!$A$2:$A$210,B983,'İndirimler'!$B$2:$B$210,C983)),2),"")</x:f>
      </x:c>
      <x:c r="I983" t="str">
        <x:f>IF(SUMIFS('İndirimler'!$D$2:$D$210,'İndirimler'!$A$2:$A$210,B983,'İndirimler'!$B$2:$B$210,C983)&gt;0,ROUND(G983*(1-SUMIFS('İndirimler'!$D$2:$D$210,'İndirimler'!$A$2:$A$210,B983,'İndirimler'!$B$2:$B$210,C983)),2),"")</x:f>
      </x:c>
      <x:c r="J983"/>
      <x:c r="K983"/>
    </x:row>
    <x:row r="984">
      <x:c r="A984"/>
      <x:c r="B984"/>
      <x:c r="C984"/>
      <x:c r="D984"/>
      <x:c r="E984"/>
      <x:c r="F984"/>
      <x:c r="G984"/>
      <x:c r="H984" t="str">
        <x:f>IF(SUMIFS('İndirimler'!$C$2:$C$210,'İndirimler'!$A$2:$A$210,B984,'İndirimler'!$B$2:$B$210,C984)&gt;0,ROUND(G984*(1-SUMIFS('İndirimler'!$C$2:$C$210,'İndirimler'!$A$2:$A$210,B984,'İndirimler'!$B$2:$B$210,C984)),2),"")</x:f>
      </x:c>
      <x:c r="I984" t="str">
        <x:f>IF(SUMIFS('İndirimler'!$D$2:$D$210,'İndirimler'!$A$2:$A$210,B984,'İndirimler'!$B$2:$B$210,C984)&gt;0,ROUND(G984*(1-SUMIFS('İndirimler'!$D$2:$D$210,'İndirimler'!$A$2:$A$210,B984,'İndirimler'!$B$2:$B$210,C984)),2),"")</x:f>
      </x:c>
      <x:c r="J984"/>
      <x:c r="K984"/>
    </x:row>
    <x:row r="985">
      <x:c r="A985"/>
      <x:c r="B985"/>
      <x:c r="C985"/>
      <x:c r="D985"/>
      <x:c r="E985"/>
      <x:c r="F985"/>
      <x:c r="G985"/>
      <x:c r="H985" t="str">
        <x:f>IF(SUMIFS('İndirimler'!$C$2:$C$210,'İndirimler'!$A$2:$A$210,B985,'İndirimler'!$B$2:$B$210,C985)&gt;0,ROUND(G985*(1-SUMIFS('İndirimler'!$C$2:$C$210,'İndirimler'!$A$2:$A$210,B985,'İndirimler'!$B$2:$B$210,C985)),2),"")</x:f>
      </x:c>
      <x:c r="I985" t="str">
        <x:f>IF(SUMIFS('İndirimler'!$D$2:$D$210,'İndirimler'!$A$2:$A$210,B985,'İndirimler'!$B$2:$B$210,C985)&gt;0,ROUND(G985*(1-SUMIFS('İndirimler'!$D$2:$D$210,'İndirimler'!$A$2:$A$210,B985,'İndirimler'!$B$2:$B$210,C985)),2),"")</x:f>
      </x:c>
      <x:c r="J985"/>
      <x:c r="K985"/>
    </x:row>
    <x:row r="986">
      <x:c r="A986"/>
      <x:c r="B986"/>
      <x:c r="C986"/>
      <x:c r="D986"/>
      <x:c r="E986"/>
      <x:c r="F986"/>
      <x:c r="G986"/>
      <x:c r="H986" t="str">
        <x:f>IF(SUMIFS('İndirimler'!$C$2:$C$210,'İndirimler'!$A$2:$A$210,B986,'İndirimler'!$B$2:$B$210,C986)&gt;0,ROUND(G986*(1-SUMIFS('İndirimler'!$C$2:$C$210,'İndirimler'!$A$2:$A$210,B986,'İndirimler'!$B$2:$B$210,C986)),2),"")</x:f>
      </x:c>
      <x:c r="I986" t="str">
        <x:f>IF(SUMIFS('İndirimler'!$D$2:$D$210,'İndirimler'!$A$2:$A$210,B986,'İndirimler'!$B$2:$B$210,C986)&gt;0,ROUND(G986*(1-SUMIFS('İndirimler'!$D$2:$D$210,'İndirimler'!$A$2:$A$210,B986,'İndirimler'!$B$2:$B$210,C986)),2),"")</x:f>
      </x:c>
      <x:c r="J986"/>
      <x:c r="K986"/>
    </x:row>
    <x:row r="987">
      <x:c r="A987"/>
      <x:c r="B987"/>
      <x:c r="C987"/>
      <x:c r="D987"/>
      <x:c r="E987"/>
      <x:c r="F987"/>
      <x:c r="G987"/>
      <x:c r="H987" t="str">
        <x:f>IF(SUMIFS('İndirimler'!$C$2:$C$210,'İndirimler'!$A$2:$A$210,B987,'İndirimler'!$B$2:$B$210,C987)&gt;0,ROUND(G987*(1-SUMIFS('İndirimler'!$C$2:$C$210,'İndirimler'!$A$2:$A$210,B987,'İndirimler'!$B$2:$B$210,C987)),2),"")</x:f>
      </x:c>
      <x:c r="I987" t="str">
        <x:f>IF(SUMIFS('İndirimler'!$D$2:$D$210,'İndirimler'!$A$2:$A$210,B987,'İndirimler'!$B$2:$B$210,C987)&gt;0,ROUND(G987*(1-SUMIFS('İndirimler'!$D$2:$D$210,'İndirimler'!$A$2:$A$210,B987,'İndirimler'!$B$2:$B$210,C987)),2),"")</x:f>
      </x:c>
      <x:c r="J987"/>
      <x:c r="K987"/>
    </x:row>
    <x:row r="988">
      <x:c r="A988"/>
      <x:c r="B988"/>
      <x:c r="C988"/>
      <x:c r="D988"/>
      <x:c r="E988"/>
      <x:c r="F988"/>
      <x:c r="G988"/>
      <x:c r="H988" t="str">
        <x:f>IF(SUMIFS('İndirimler'!$C$2:$C$210,'İndirimler'!$A$2:$A$210,B988,'İndirimler'!$B$2:$B$210,C988)&gt;0,ROUND(G988*(1-SUMIFS('İndirimler'!$C$2:$C$210,'İndirimler'!$A$2:$A$210,B988,'İndirimler'!$B$2:$B$210,C988)),2),"")</x:f>
      </x:c>
      <x:c r="I988" t="str">
        <x:f>IF(SUMIFS('İndirimler'!$D$2:$D$210,'İndirimler'!$A$2:$A$210,B988,'İndirimler'!$B$2:$B$210,C988)&gt;0,ROUND(G988*(1-SUMIFS('İndirimler'!$D$2:$D$210,'İndirimler'!$A$2:$A$210,B988,'İndirimler'!$B$2:$B$210,C988)),2),"")</x:f>
      </x:c>
      <x:c r="J988"/>
      <x:c r="K988"/>
    </x:row>
  </x:sheetData>
  <x:hyperlinks>
    <x:hyperlink xmlns:r="http://schemas.openxmlformats.org/officeDocument/2006/relationships" ref="J9" r:id="Ra4b72324e2ef4080"/>
    <x:hyperlink xmlns:r="http://schemas.openxmlformats.org/officeDocument/2006/relationships" ref="J10" r:id="R3a3feb0f39be4566"/>
    <x:hyperlink xmlns:r="http://schemas.openxmlformats.org/officeDocument/2006/relationships" ref="J17" r:id="Rb85309b5d0734425"/>
    <x:hyperlink xmlns:r="http://schemas.openxmlformats.org/officeDocument/2006/relationships" ref="J20" r:id="R80ca529821ca466b"/>
    <x:hyperlink xmlns:r="http://schemas.openxmlformats.org/officeDocument/2006/relationships" ref="J25" r:id="R20dd3effbe1a4509"/>
    <x:hyperlink xmlns:r="http://schemas.openxmlformats.org/officeDocument/2006/relationships" ref="J32" r:id="R7d5fc73713b94bee"/>
    <x:hyperlink xmlns:r="http://schemas.openxmlformats.org/officeDocument/2006/relationships" ref="J59" r:id="R073546dd04dd4c53"/>
    <x:hyperlink xmlns:r="http://schemas.openxmlformats.org/officeDocument/2006/relationships" ref="J61" r:id="Rc67f8e1f43654072"/>
    <x:hyperlink xmlns:r="http://schemas.openxmlformats.org/officeDocument/2006/relationships" ref="J62" r:id="R2839874f0cc943b9"/>
    <x:hyperlink xmlns:r="http://schemas.openxmlformats.org/officeDocument/2006/relationships" ref="J64" r:id="R34a43ed5fab649f1"/>
    <x:hyperlink xmlns:r="http://schemas.openxmlformats.org/officeDocument/2006/relationships" ref="J70" r:id="Rdfbb061f1ce44f4d"/>
    <x:hyperlink xmlns:r="http://schemas.openxmlformats.org/officeDocument/2006/relationships" ref="J71" r:id="Rdb6a2c1869274d5a"/>
    <x:hyperlink xmlns:r="http://schemas.openxmlformats.org/officeDocument/2006/relationships" ref="J76" r:id="Rbede3230d9c54a29"/>
    <x:hyperlink xmlns:r="http://schemas.openxmlformats.org/officeDocument/2006/relationships" ref="J87" r:id="R2f9915037ac343aa"/>
    <x:hyperlink xmlns:r="http://schemas.openxmlformats.org/officeDocument/2006/relationships" ref="J98" r:id="R8d9ffcc7fbd747b0"/>
    <x:hyperlink xmlns:r="http://schemas.openxmlformats.org/officeDocument/2006/relationships" ref="J128" r:id="R67bb0b85df5742e8"/>
    <x:hyperlink xmlns:r="http://schemas.openxmlformats.org/officeDocument/2006/relationships" ref="J179" r:id="R1a4cc84275aa4638"/>
    <x:hyperlink xmlns:r="http://schemas.openxmlformats.org/officeDocument/2006/relationships" ref="J181" r:id="R7a7d457da26647b1"/>
    <x:hyperlink xmlns:r="http://schemas.openxmlformats.org/officeDocument/2006/relationships" ref="J188" r:id="R3409997c30734d3c"/>
    <x:hyperlink xmlns:r="http://schemas.openxmlformats.org/officeDocument/2006/relationships" ref="J189" r:id="R02fbd3927dd342b2"/>
    <x:hyperlink xmlns:r="http://schemas.openxmlformats.org/officeDocument/2006/relationships" ref="J194" r:id="Re50de0ff127d4023"/>
    <x:hyperlink xmlns:r="http://schemas.openxmlformats.org/officeDocument/2006/relationships" ref="J200" r:id="R1e6e48adb3214a04"/>
    <x:hyperlink xmlns:r="http://schemas.openxmlformats.org/officeDocument/2006/relationships" ref="J210" r:id="R15b038015f7f4c30"/>
    <x:hyperlink xmlns:r="http://schemas.openxmlformats.org/officeDocument/2006/relationships" ref="J257" r:id="R698b4622167844d8"/>
    <x:hyperlink xmlns:r="http://schemas.openxmlformats.org/officeDocument/2006/relationships" ref="J258" r:id="Rf8f41c6501074d72"/>
    <x:hyperlink xmlns:r="http://schemas.openxmlformats.org/officeDocument/2006/relationships" ref="J259" r:id="R28df510b75fd4bdf"/>
    <x:hyperlink xmlns:r="http://schemas.openxmlformats.org/officeDocument/2006/relationships" ref="J262" r:id="R7fb3c9ddbef74fa8"/>
    <x:hyperlink xmlns:r="http://schemas.openxmlformats.org/officeDocument/2006/relationships" ref="J266" r:id="R0717bca0174d4377"/>
    <x:hyperlink xmlns:r="http://schemas.openxmlformats.org/officeDocument/2006/relationships" ref="J267" r:id="R6c4e391390e94d13"/>
    <x:hyperlink xmlns:r="http://schemas.openxmlformats.org/officeDocument/2006/relationships" ref="J270" r:id="R20def37089394d19"/>
    <x:hyperlink xmlns:r="http://schemas.openxmlformats.org/officeDocument/2006/relationships" ref="J276" r:id="R8f2a2478a84d4519"/>
    <x:hyperlink xmlns:r="http://schemas.openxmlformats.org/officeDocument/2006/relationships" ref="J286" r:id="R2692de91c6414706"/>
    <x:hyperlink xmlns:r="http://schemas.openxmlformats.org/officeDocument/2006/relationships" ref="J304" r:id="R2188be5fb5ae4347"/>
    <x:hyperlink xmlns:r="http://schemas.openxmlformats.org/officeDocument/2006/relationships" ref="J324" r:id="Rde66a607319842a1"/>
    <x:hyperlink xmlns:r="http://schemas.openxmlformats.org/officeDocument/2006/relationships" ref="J329" r:id="R1dffdca16b044525"/>
    <x:hyperlink xmlns:r="http://schemas.openxmlformats.org/officeDocument/2006/relationships" ref="J332" r:id="R28f05dd3f30b4ae4"/>
    <x:hyperlink xmlns:r="http://schemas.openxmlformats.org/officeDocument/2006/relationships" ref="J333" r:id="Rfc786db988d84f08"/>
    <x:hyperlink xmlns:r="http://schemas.openxmlformats.org/officeDocument/2006/relationships" ref="J338" r:id="R2abc01c6cfd04272"/>
    <x:hyperlink xmlns:r="http://schemas.openxmlformats.org/officeDocument/2006/relationships" ref="J343" r:id="Rf3cb290067fc4760"/>
    <x:hyperlink xmlns:r="http://schemas.openxmlformats.org/officeDocument/2006/relationships" ref="J352" r:id="R0cd80baa7aab40c9"/>
    <x:hyperlink xmlns:r="http://schemas.openxmlformats.org/officeDocument/2006/relationships" ref="J387" r:id="Rc2d8efbdfd1e45a2"/>
    <x:hyperlink xmlns:r="http://schemas.openxmlformats.org/officeDocument/2006/relationships" ref="J393" r:id="R03008b1be7474a50"/>
    <x:hyperlink xmlns:r="http://schemas.openxmlformats.org/officeDocument/2006/relationships" ref="J405" r:id="Rcb4e46360523436e"/>
    <x:hyperlink xmlns:r="http://schemas.openxmlformats.org/officeDocument/2006/relationships" ref="J425" r:id="R52eea6f359a141d8"/>
    <x:hyperlink xmlns:r="http://schemas.openxmlformats.org/officeDocument/2006/relationships" ref="J429" r:id="R549568ce1cc14060"/>
    <x:hyperlink xmlns:r="http://schemas.openxmlformats.org/officeDocument/2006/relationships" ref="J431" r:id="R596e788bde694818"/>
    <x:hyperlink xmlns:r="http://schemas.openxmlformats.org/officeDocument/2006/relationships" ref="J439" r:id="Rda54e90ebb6846ad"/>
    <x:hyperlink xmlns:r="http://schemas.openxmlformats.org/officeDocument/2006/relationships" ref="J458" r:id="R0d13e16f18e34ab0"/>
    <x:hyperlink xmlns:r="http://schemas.openxmlformats.org/officeDocument/2006/relationships" ref="J470" r:id="Rfb7a6fc4b099408b"/>
  </x:hyperlinks>
  <x:pageMargins left="0.7" right="0.7" top="0.75" bottom="0.75" header="0.3" footer="0.3"/>
  <x:tableParts count="1">
    <x:tablePart xmlns:r="http://schemas.openxmlformats.org/officeDocument/2006/relationships" r:id="R44906b2b71544f71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23.375" customWidth="1"/>
    <x:col min="2" max="2" width="9.625" customWidth="1"/>
    <x:col min="3" max="3" width="14" customWidth="1"/>
    <x:col min="4" max="4" width="19" customWidth="1"/>
  </x:cols>
  <x:sheetData>
    <x:row r="1" ht="24" customHeight="1">
      <x:c r="A1" s="2" t="s">
        <x:v>1</x:v>
      </x:c>
      <x:c r="B1" s="2" t="s">
        <x:v>2</x:v>
      </x:c>
      <x:c r="C1" s="2" t="s">
        <x:v>790</x:v>
      </x:c>
      <x:c r="D1" s="2" t="s">
        <x:v>791</x:v>
      </x:c>
    </x:row>
    <x:row r="2" ht="24" customHeight="1">
      <x:c r="A2" s="3" t="s">
        <x:v>55</x:v>
      </x:c>
      <x:c r="B2" s="3" t="s">
        <x:v>76</x:v>
      </x:c>
      <x:c r="C2" s="6">
        <x:v>0.15</x:v>
      </x:c>
      <x:c r="D2" s="6">
        <x:v>0.3</x:v>
      </x:c>
    </x:row>
    <x:row r="3" ht="24" customHeight="1">
      <x:c r="A3" s="4" t="s">
        <x:v>55</x:v>
      </x:c>
      <x:c r="B3" s="4" t="s">
        <x:v>101</x:v>
      </x:c>
      <x:c r="C3" s="7">
        <x:v>0.15</x:v>
      </x:c>
      <x:c r="D3" s="7">
        <x:v>0.3</x:v>
      </x:c>
    </x:row>
    <x:row r="4" ht="24" customHeight="1">
      <x:c r="A4" s="4" t="s">
        <x:v>55</x:v>
      </x:c>
      <x:c r="B4" s="4" t="s">
        <x:v>33</x:v>
      </x:c>
      <x:c r="C4" s="6">
        <x:v>0.15</x:v>
      </x:c>
      <x:c r="D4" s="6">
        <x:v>0.3</x:v>
      </x:c>
    </x:row>
    <x:row r="5" ht="24" customHeight="1">
      <x:c r="A5" s="4" t="s">
        <x:v>119</x:v>
      </x:c>
      <x:c r="B5" s="4" t="s">
        <x:v>76</x:v>
      </x:c>
      <x:c r="C5" s="7">
        <x:v>0.15</x:v>
      </x:c>
      <x:c r="D5" s="7">
        <x:v>0.3</x:v>
      </x:c>
    </x:row>
    <x:row r="6" ht="24" customHeight="1">
      <x:c r="A6" s="4" t="s">
        <x:v>119</x:v>
      </x:c>
      <x:c r="B6" s="4" t="s">
        <x:v>101</x:v>
      </x:c>
      <x:c r="C6" s="6">
        <x:v>0.15</x:v>
      </x:c>
      <x:c r="D6" s="6">
        <x:v>0.3</x:v>
      </x:c>
    </x:row>
    <x:row r="7" ht="24" customHeight="1">
      <x:c r="A7" s="4" t="s">
        <x:v>119</x:v>
      </x:c>
      <x:c r="B7" s="4" t="s">
        <x:v>246</x:v>
      </x:c>
      <x:c r="C7" s="7">
        <x:v>0.15</x:v>
      </x:c>
      <x:c r="D7" s="7">
        <x:v>0.3</x:v>
      </x:c>
    </x:row>
    <x:row r="8" ht="24" customHeight="1">
      <x:c r="A8" s="4" t="s">
        <x:v>119</x:v>
      </x:c>
      <x:c r="B8" s="4" t="s">
        <x:v>33</x:v>
      </x:c>
      <x:c r="C8" s="6">
        <x:v>0.15</x:v>
      </x:c>
      <x:c r="D8" s="6">
        <x:v>0.3</x:v>
      </x:c>
    </x:row>
    <x:row r="9" ht="24" customHeight="1">
      <x:c r="A9" s="4" t="s">
        <x:v>119</x:v>
      </x:c>
      <x:c r="B9" s="4" t="s">
        <x:v>13</x:v>
      </x:c>
      <x:c r="C9" s="7">
        <x:v>0.15</x:v>
      </x:c>
      <x:c r="D9" s="7">
        <x:v>0.3</x:v>
      </x:c>
    </x:row>
    <x:row r="10" ht="24" customHeight="1">
      <x:c r="A10" s="4" t="s">
        <x:v>123</x:v>
      </x:c>
      <x:c r="B10" s="4" t="s">
        <x:v>76</x:v>
      </x:c>
      <x:c r="C10" s="6">
        <x:v>0.15</x:v>
      </x:c>
      <x:c r="D10" s="6">
        <x:v>0.3</x:v>
      </x:c>
    </x:row>
    <x:row r="11" ht="24" customHeight="1">
      <x:c r="A11" s="4" t="s">
        <x:v>123</x:v>
      </x:c>
      <x:c r="B11" s="4" t="s">
        <x:v>101</x:v>
      </x:c>
      <x:c r="C11" s="7">
        <x:v>0.15</x:v>
      </x:c>
      <x:c r="D11" s="7">
        <x:v>0.3</x:v>
      </x:c>
    </x:row>
    <x:row r="12" ht="24" customHeight="1">
      <x:c r="A12" s="4" t="s">
        <x:v>123</x:v>
      </x:c>
      <x:c r="B12" s="4" t="s">
        <x:v>33</x:v>
      </x:c>
      <x:c r="C12" s="6">
        <x:v>0.15</x:v>
      </x:c>
      <x:c r="D12" s="6">
        <x:v>0.3</x:v>
      </x:c>
    </x:row>
    <x:row r="13" ht="24" customHeight="1">
      <x:c r="A13" s="4" t="s">
        <x:v>123</x:v>
      </x:c>
      <x:c r="B13" s="4" t="s">
        <x:v>13</x:v>
      </x:c>
      <x:c r="C13" s="7">
        <x:v>0.15</x:v>
      </x:c>
      <x:c r="D13" s="7">
        <x:v>0.3</x:v>
      </x:c>
    </x:row>
    <x:row r="14" ht="24" customHeight="1">
      <x:c r="A14" s="4" t="s">
        <x:v>780</x:v>
      </x:c>
      <x:c r="B14" s="4" t="s">
        <x:v>76</x:v>
      </x:c>
      <x:c r="C14" s="6">
        <x:v>0.15</x:v>
      </x:c>
      <x:c r="D14" s="6">
        <x:v>0.3</x:v>
      </x:c>
    </x:row>
    <x:row r="15" ht="24" customHeight="1">
      <x:c r="A15" s="4" t="s">
        <x:v>780</x:v>
      </x:c>
      <x:c r="B15" s="4" t="s">
        <x:v>33</x:v>
      </x:c>
      <x:c r="C15" s="7">
        <x:v>0.15</x:v>
      </x:c>
      <x:c r="D15" s="7">
        <x:v>0.3</x:v>
      </x:c>
    </x:row>
    <x:row r="16" ht="24" customHeight="1">
      <x:c r="A16" s="4" t="s">
        <x:v>12</x:v>
      </x:c>
      <x:c r="B16" s="4" t="s">
        <x:v>13</x:v>
      </x:c>
      <x:c r="C16" s="6">
        <x:v>0.15</x:v>
      </x:c>
      <x:c r="D16" s="6">
        <x:v>0.3</x:v>
      </x:c>
    </x:row>
    <x:row r="17" ht="24" customHeight="1">
      <x:c r="A17" s="4" t="s">
        <x:v>138</x:v>
      </x:c>
      <x:c r="B17" s="4" t="s">
        <x:v>76</x:v>
      </x:c>
      <x:c r="C17" s="7">
        <x:v>0.15</x:v>
      </x:c>
      <x:c r="D17" s="7">
        <x:v>0.3</x:v>
      </x:c>
    </x:row>
    <x:row r="18" ht="24" customHeight="1">
      <x:c r="A18" s="4" t="s">
        <x:v>138</x:v>
      </x:c>
      <x:c r="B18" s="4" t="s">
        <x:v>101</x:v>
      </x:c>
      <x:c r="C18" s="6">
        <x:v>0.15</x:v>
      </x:c>
      <x:c r="D18" s="6">
        <x:v>0.3</x:v>
      </x:c>
    </x:row>
    <x:row r="19" ht="24" customHeight="1">
      <x:c r="A19" s="4" t="s">
        <x:v>138</x:v>
      </x:c>
      <x:c r="B19" s="4" t="s">
        <x:v>246</x:v>
      </x:c>
      <x:c r="C19" s="7">
        <x:v>0.15</x:v>
      </x:c>
      <x:c r="D19" s="7">
        <x:v>0.3</x:v>
      </x:c>
    </x:row>
    <x:row r="20" ht="24" customHeight="1">
      <x:c r="A20" s="4" t="s">
        <x:v>138</x:v>
      </x:c>
      <x:c r="B20" s="4" t="s">
        <x:v>33</x:v>
      </x:c>
      <x:c r="C20" s="6">
        <x:v>0.15</x:v>
      </x:c>
      <x:c r="D20" s="6">
        <x:v>0.3</x:v>
      </x:c>
    </x:row>
    <x:row r="21" ht="24" customHeight="1">
      <x:c r="A21" s="4" t="s">
        <x:v>138</x:v>
      </x:c>
      <x:c r="B21" s="4" t="s">
        <x:v>13</x:v>
      </x:c>
      <x:c r="C21" s="7">
        <x:v>0.15</x:v>
      </x:c>
      <x:c r="D21" s="7">
        <x:v>0.3</x:v>
      </x:c>
    </x:row>
    <x:row r="22" ht="24" customHeight="1">
      <x:c r="A22" s="4" t="s">
        <x:v>644</x:v>
      </x:c>
      <x:c r="B22" s="4" t="s">
        <x:v>76</x:v>
      </x:c>
      <x:c r="C22" s="6">
        <x:v>0.15</x:v>
      </x:c>
      <x:c r="D22" s="6">
        <x:v>0.3</x:v>
      </x:c>
    </x:row>
    <x:row r="23" ht="24" customHeight="1">
      <x:c r="A23" s="4" t="s">
        <x:v>644</x:v>
      </x:c>
      <x:c r="B23" s="4" t="s">
        <x:v>101</x:v>
      </x:c>
      <x:c r="C23" s="7">
        <x:v>0.15</x:v>
      </x:c>
      <x:c r="D23" s="7">
        <x:v>0.3</x:v>
      </x:c>
    </x:row>
    <x:row r="24" ht="24" customHeight="1">
      <x:c r="A24" s="4" t="s">
        <x:v>644</x:v>
      </x:c>
      <x:c r="B24" s="4" t="s">
        <x:v>33</x:v>
      </x:c>
      <x:c r="C24" s="6">
        <x:v>0.15</x:v>
      </x:c>
      <x:c r="D24" s="6">
        <x:v>0.3</x:v>
      </x:c>
    </x:row>
    <x:row r="25" ht="24" customHeight="1">
      <x:c r="A25" s="4" t="s">
        <x:v>18</x:v>
      </x:c>
      <x:c r="B25" s="4" t="s">
        <x:v>76</x:v>
      </x:c>
      <x:c r="C25" s="7">
        <x:v>0.15</x:v>
      </x:c>
      <x:c r="D25" s="7">
        <x:v>0.3</x:v>
      </x:c>
    </x:row>
    <x:row r="26" ht="24" customHeight="1">
      <x:c r="A26" s="4" t="s">
        <x:v>18</x:v>
      </x:c>
      <x:c r="B26" s="4" t="s">
        <x:v>101</x:v>
      </x:c>
      <x:c r="C26" s="6">
        <x:v>0.15</x:v>
      </x:c>
      <x:c r="D26" s="6">
        <x:v>0.3</x:v>
      </x:c>
    </x:row>
    <x:row r="27" ht="24" customHeight="1">
      <x:c r="A27" s="4" t="s">
        <x:v>18</x:v>
      </x:c>
      <x:c r="B27" s="4" t="s">
        <x:v>33</x:v>
      </x:c>
      <x:c r="C27" s="7">
        <x:v>0.15</x:v>
      </x:c>
      <x:c r="D27" s="7">
        <x:v>0.3</x:v>
      </x:c>
    </x:row>
    <x:row r="28" ht="24" customHeight="1">
      <x:c r="A28" s="4" t="s">
        <x:v>18</x:v>
      </x:c>
      <x:c r="B28" s="4" t="s">
        <x:v>13</x:v>
      </x:c>
      <x:c r="C28" s="6">
        <x:v>0.15</x:v>
      </x:c>
      <x:c r="D28" s="6">
        <x:v>0.3</x:v>
      </x:c>
    </x:row>
    <x:row r="29" ht="24" customHeight="1">
      <x:c r="A29" s="4" t="s">
        <x:v>534</x:v>
      </x:c>
      <x:c r="B29" s="4" t="s">
        <x:v>76</x:v>
      </x:c>
      <x:c r="C29" s="7">
        <x:v>0.15</x:v>
      </x:c>
      <x:c r="D29" s="7">
        <x:v>0.3</x:v>
      </x:c>
    </x:row>
    <x:row r="30" ht="24" customHeight="1">
      <x:c r="A30" s="4" t="s">
        <x:v>534</x:v>
      </x:c>
      <x:c r="B30" s="4" t="s">
        <x:v>101</x:v>
      </x:c>
      <x:c r="C30" s="6">
        <x:v>0.15</x:v>
      </x:c>
      <x:c r="D30" s="6">
        <x:v>0.3</x:v>
      </x:c>
    </x:row>
    <x:row r="31" ht="24" customHeight="1">
      <x:c r="A31" s="4" t="s">
        <x:v>534</x:v>
      </x:c>
      <x:c r="B31" s="4" t="s">
        <x:v>33</x:v>
      </x:c>
      <x:c r="C31" s="7">
        <x:v>0.15</x:v>
      </x:c>
      <x:c r="D31" s="7">
        <x:v>0.3</x:v>
      </x:c>
    </x:row>
    <x:row r="32" ht="24" customHeight="1">
      <x:c r="A32" s="4" t="s">
        <x:v>534</x:v>
      </x:c>
      <x:c r="B32" s="4" t="s">
        <x:v>13</x:v>
      </x:c>
      <x:c r="C32" s="6">
        <x:v>0.15</x:v>
      </x:c>
      <x:c r="D32" s="6">
        <x:v>0.3</x:v>
      </x:c>
    </x:row>
    <x:row r="33" ht="24" customHeight="1">
      <x:c r="A33" s="4" t="s">
        <x:v>698</x:v>
      </x:c>
      <x:c r="B33" s="4" t="s">
        <x:v>76</x:v>
      </x:c>
      <x:c r="C33" s="7">
        <x:v>0.15</x:v>
      </x:c>
      <x:c r="D33" s="7">
        <x:v>0.3</x:v>
      </x:c>
    </x:row>
    <x:row r="34" ht="24" customHeight="1">
      <x:c r="A34" s="4" t="s">
        <x:v>698</x:v>
      </x:c>
      <x:c r="B34" s="4" t="s">
        <x:v>101</x:v>
      </x:c>
      <x:c r="C34" s="6">
        <x:v>0.15</x:v>
      </x:c>
      <x:c r="D34" s="6">
        <x:v>0.3</x:v>
      </x:c>
    </x:row>
    <x:row r="35" ht="24" customHeight="1">
      <x:c r="A35" s="4" t="s">
        <x:v>698</x:v>
      </x:c>
      <x:c r="B35" s="4" t="s">
        <x:v>33</x:v>
      </x:c>
      <x:c r="C35" s="7">
        <x:v>0.15</x:v>
      </x:c>
      <x:c r="D35" s="7">
        <x:v>0.3</x:v>
      </x:c>
    </x:row>
    <x:row r="36" ht="24" customHeight="1">
      <x:c r="A36" s="4" t="s">
        <x:v>698</x:v>
      </x:c>
      <x:c r="B36" s="4" t="s">
        <x:v>13</x:v>
      </x:c>
      <x:c r="C36" s="6">
        <x:v>0.15</x:v>
      </x:c>
      <x:c r="D36" s="6">
        <x:v>0.3</x:v>
      </x:c>
    </x:row>
    <x:row r="37" ht="24" customHeight="1">
      <x:c r="A37" s="4" t="s">
        <x:v>38</x:v>
      </x:c>
      <x:c r="B37" s="4" t="s">
        <x:v>76</x:v>
      </x:c>
      <x:c r="C37" s="7">
        <x:v>0.15</x:v>
      </x:c>
      <x:c r="D37" s="7">
        <x:v>0.3</x:v>
      </x:c>
    </x:row>
    <x:row r="38" ht="24" customHeight="1">
      <x:c r="A38" s="4" t="s">
        <x:v>38</x:v>
      </x:c>
      <x:c r="B38" s="4" t="s">
        <x:v>101</x:v>
      </x:c>
      <x:c r="C38" s="6">
        <x:v>0.15</x:v>
      </x:c>
      <x:c r="D38" s="6">
        <x:v>0.3</x:v>
      </x:c>
    </x:row>
    <x:row r="39" ht="24" customHeight="1">
      <x:c r="A39" s="4" t="s">
        <x:v>38</x:v>
      </x:c>
      <x:c r="B39" s="4" t="s">
        <x:v>246</x:v>
      </x:c>
      <x:c r="C39" s="7">
        <x:v>0.15</x:v>
      </x:c>
      <x:c r="D39" s="7">
        <x:v>0.3</x:v>
      </x:c>
    </x:row>
    <x:row r="40" ht="24" customHeight="1">
      <x:c r="A40" s="4" t="s">
        <x:v>38</x:v>
      </x:c>
      <x:c r="B40" s="4" t="s">
        <x:v>33</x:v>
      </x:c>
      <x:c r="C40" s="6">
        <x:v>0.15</x:v>
      </x:c>
      <x:c r="D40" s="6">
        <x:v>0.3</x:v>
      </x:c>
    </x:row>
    <x:row r="41" ht="24" customHeight="1">
      <x:c r="A41" s="4" t="s">
        <x:v>38</x:v>
      </x:c>
      <x:c r="B41" s="4" t="s">
        <x:v>13</x:v>
      </x:c>
      <x:c r="C41" s="7">
        <x:v>0.15</x:v>
      </x:c>
      <x:c r="D41" s="7">
        <x:v>0.3</x:v>
      </x:c>
    </x:row>
    <x:row r="42" ht="24" customHeight="1">
      <x:c r="A42" s="4" t="s">
        <x:v>21</x:v>
      </x:c>
      <x:c r="B42" s="4" t="s">
        <x:v>13</x:v>
      </x:c>
      <x:c r="C42" s="6">
        <x:v>0.15</x:v>
      </x:c>
      <x:c r="D42" s="6">
        <x:v>0.3</x:v>
      </x:c>
    </x:row>
    <x:row r="43" ht="24" customHeight="1">
      <x:c r="A43" s="4" t="s">
        <x:v>331</x:v>
      </x:c>
      <x:c r="B43" s="4" t="s">
        <x:v>76</x:v>
      </x:c>
      <x:c r="C43" s="7">
        <x:v>0.15</x:v>
      </x:c>
      <x:c r="D43" s="7">
        <x:v>0.3</x:v>
      </x:c>
    </x:row>
    <x:row r="44" ht="24" customHeight="1">
      <x:c r="A44" s="4" t="s">
        <x:v>331</x:v>
      </x:c>
      <x:c r="B44" s="4" t="s">
        <x:v>101</x:v>
      </x:c>
      <x:c r="C44" s="6">
        <x:v>0.15</x:v>
      </x:c>
      <x:c r="D44" s="6">
        <x:v>0.3</x:v>
      </x:c>
    </x:row>
    <x:row r="45" ht="24" customHeight="1">
      <x:c r="A45" s="4" t="s">
        <x:v>331</x:v>
      </x:c>
      <x:c r="B45" s="4" t="s">
        <x:v>33</x:v>
      </x:c>
      <x:c r="C45" s="7">
        <x:v>0.15</x:v>
      </x:c>
      <x:c r="D45" s="7">
        <x:v>0.3</x:v>
      </x:c>
    </x:row>
    <x:row r="46" ht="24" customHeight="1">
      <x:c r="A46" s="4" t="s">
        <x:v>331</x:v>
      </x:c>
      <x:c r="B46" s="4" t="s">
        <x:v>13</x:v>
      </x:c>
      <x:c r="C46" s="6">
        <x:v>0.15</x:v>
      </x:c>
      <x:c r="D46" s="6">
        <x:v>0.3</x:v>
      </x:c>
    </x:row>
    <x:row r="47" ht="24" customHeight="1">
      <x:c r="A47" s="4" t="s">
        <x:v>44</x:v>
      </x:c>
      <x:c r="B47" s="4" t="s">
        <x:v>76</x:v>
      </x:c>
      <x:c r="C47" s="7">
        <x:v>0.15</x:v>
      </x:c>
      <x:c r="D47" s="7">
        <x:v>0.3</x:v>
      </x:c>
    </x:row>
    <x:row r="48" ht="24" customHeight="1">
      <x:c r="A48" s="4" t="s">
        <x:v>44</x:v>
      </x:c>
      <x:c r="B48" s="4" t="s">
        <x:v>33</x:v>
      </x:c>
      <x:c r="C48" s="6">
        <x:v>0.15</x:v>
      </x:c>
      <x:c r="D48" s="6">
        <x:v>0.3</x:v>
      </x:c>
    </x:row>
    <x:row r="49" ht="24" customHeight="1">
      <x:c r="A49" s="4" t="s">
        <x:v>72</x:v>
      </x:c>
      <x:c r="B49" s="4" t="s">
        <x:v>76</x:v>
      </x:c>
      <x:c r="C49" s="7">
        <x:v>0.15</x:v>
      </x:c>
      <x:c r="D49" s="7">
        <x:v>0.3</x:v>
      </x:c>
    </x:row>
    <x:row r="50" ht="24" customHeight="1">
      <x:c r="A50" s="4" t="s">
        <x:v>72</x:v>
      </x:c>
      <x:c r="B50" s="4" t="s">
        <x:v>101</x:v>
      </x:c>
      <x:c r="C50" s="6">
        <x:v>0.15</x:v>
      </x:c>
      <x:c r="D50" s="6">
        <x:v>0.3</x:v>
      </x:c>
    </x:row>
    <x:row r="51" ht="24" customHeight="1">
      <x:c r="A51" s="4" t="s">
        <x:v>72</x:v>
      </x:c>
      <x:c r="B51" s="4" t="s">
        <x:v>33</x:v>
      </x:c>
      <x:c r="C51" s="7">
        <x:v>0.15</x:v>
      </x:c>
      <x:c r="D51" s="7">
        <x:v>0.3</x:v>
      </x:c>
    </x:row>
    <x:row r="52" ht="24" customHeight="1">
      <x:c r="A52" s="4" t="s">
        <x:v>226</x:v>
      </x:c>
      <x:c r="B52" s="4" t="s">
        <x:v>101</x:v>
      </x:c>
      <x:c r="C52" s="6">
        <x:v>0.15</x:v>
      </x:c>
      <x:c r="D52" s="6">
        <x:v>0.3</x:v>
      </x:c>
    </x:row>
    <x:row r="53" ht="24" customHeight="1">
      <x:c r="A53" s="4" t="s">
        <x:v>304</x:v>
      </x:c>
      <x:c r="B53" s="4" t="s">
        <x:v>76</x:v>
      </x:c>
      <x:c r="C53" s="7">
        <x:v>0.15</x:v>
      </x:c>
      <x:c r="D53" s="7">
        <x:v>0.3</x:v>
      </x:c>
    </x:row>
    <x:row r="54" ht="24" customHeight="1">
      <x:c r="A54" s="4" t="s">
        <x:v>304</x:v>
      </x:c>
      <x:c r="B54" s="4" t="s">
        <x:v>101</x:v>
      </x:c>
      <x:c r="C54" s="6">
        <x:v>0.15</x:v>
      </x:c>
      <x:c r="D54" s="6">
        <x:v>0.3</x:v>
      </x:c>
    </x:row>
    <x:row r="55" ht="24" customHeight="1">
      <x:c r="A55" s="4" t="s">
        <x:v>304</x:v>
      </x:c>
      <x:c r="B55" s="4" t="s">
        <x:v>33</x:v>
      </x:c>
      <x:c r="C55" s="7">
        <x:v>0.15</x:v>
      </x:c>
      <x:c r="D55" s="7">
        <x:v>0.3</x:v>
      </x:c>
    </x:row>
    <x:row r="56" ht="24" customHeight="1">
      <x:c r="A56" s="4" t="s">
        <x:v>304</x:v>
      </x:c>
      <x:c r="B56" s="4" t="s">
        <x:v>13</x:v>
      </x:c>
      <x:c r="C56" s="6">
        <x:v>0.15</x:v>
      </x:c>
      <x:c r="D56" s="6">
        <x:v>0.3</x:v>
      </x:c>
    </x:row>
    <x:row r="57" ht="24" customHeight="1">
      <x:c r="A57" s="4" t="s">
        <x:v>166</x:v>
      </x:c>
      <x:c r="B57" s="4" t="s">
        <x:v>76</x:v>
      </x:c>
      <x:c r="C57" s="7">
        <x:v>0.15</x:v>
      </x:c>
      <x:c r="D57" s="7">
        <x:v>0.3</x:v>
      </x:c>
    </x:row>
    <x:row r="58" ht="24" customHeight="1">
      <x:c r="A58" s="4" t="s">
        <x:v>166</x:v>
      </x:c>
      <x:c r="B58" s="4" t="s">
        <x:v>101</x:v>
      </x:c>
      <x:c r="C58" s="6">
        <x:v>0.15</x:v>
      </x:c>
      <x:c r="D58" s="6">
        <x:v>0.3</x:v>
      </x:c>
    </x:row>
    <x:row r="59" ht="24" customHeight="1">
      <x:c r="A59" s="4" t="s">
        <x:v>166</x:v>
      </x:c>
      <x:c r="B59" s="4" t="s">
        <x:v>33</x:v>
      </x:c>
      <x:c r="C59" s="7">
        <x:v>0.15</x:v>
      </x:c>
      <x:c r="D59" s="7">
        <x:v>0.3</x:v>
      </x:c>
    </x:row>
    <x:row r="60" ht="24" customHeight="1">
      <x:c r="A60" s="4" t="s">
        <x:v>166</x:v>
      </x:c>
      <x:c r="B60" s="4" t="s">
        <x:v>13</x:v>
      </x:c>
      <x:c r="C60" s="6">
        <x:v>0.15</x:v>
      </x:c>
      <x:c r="D60" s="6">
        <x:v>0.3</x:v>
      </x:c>
    </x:row>
    <x:row r="61" ht="24" customHeight="1">
      <x:c r="A61" s="4" t="s">
        <x:v>63</x:v>
      </x:c>
      <x:c r="B61" s="4" t="s">
        <x:v>76</x:v>
      </x:c>
      <x:c r="C61" s="7">
        <x:v>0.15</x:v>
      </x:c>
      <x:c r="D61" s="7">
        <x:v>0.3</x:v>
      </x:c>
    </x:row>
    <x:row r="62" ht="24" customHeight="1">
      <x:c r="A62" s="4" t="s">
        <x:v>63</x:v>
      </x:c>
      <x:c r="B62" s="4" t="s">
        <x:v>101</x:v>
      </x:c>
      <x:c r="C62" s="6">
        <x:v>0.15</x:v>
      </x:c>
      <x:c r="D62" s="6">
        <x:v>0.3</x:v>
      </x:c>
    </x:row>
    <x:row r="63" ht="24" customHeight="1">
      <x:c r="A63" s="4" t="s">
        <x:v>63</x:v>
      </x:c>
      <x:c r="B63" s="4" t="s">
        <x:v>33</x:v>
      </x:c>
      <x:c r="C63" s="7">
        <x:v>0.15</x:v>
      </x:c>
      <x:c r="D63" s="7">
        <x:v>0.3</x:v>
      </x:c>
    </x:row>
    <x:row r="64" ht="24" customHeight="1">
      <x:c r="A64" s="4" t="s">
        <x:v>63</x:v>
      </x:c>
      <x:c r="B64" s="4" t="s">
        <x:v>13</x:v>
      </x:c>
      <x:c r="C64" s="6">
        <x:v>0.15</x:v>
      </x:c>
      <x:c r="D64" s="6">
        <x:v>0.3</x:v>
      </x:c>
    </x:row>
    <x:row r="65" ht="24" customHeight="1">
      <x:c r="A65" s="4" t="s">
        <x:v>23</x:v>
      </x:c>
      <x:c r="B65" s="4" t="s">
        <x:v>76</x:v>
      </x:c>
      <x:c r="C65" s="7">
        <x:v>0.15</x:v>
      </x:c>
      <x:c r="D65" s="7">
        <x:v>0.3</x:v>
      </x:c>
    </x:row>
    <x:row r="66" ht="24" customHeight="1">
      <x:c r="A66" s="4" t="s">
        <x:v>23</x:v>
      </x:c>
      <x:c r="B66" s="4" t="s">
        <x:v>101</x:v>
      </x:c>
      <x:c r="C66" s="6">
        <x:v>0.15</x:v>
      </x:c>
      <x:c r="D66" s="6">
        <x:v>0.3</x:v>
      </x:c>
    </x:row>
    <x:row r="67" ht="24" customHeight="1">
      <x:c r="A67" s="4" t="s">
        <x:v>23</x:v>
      </x:c>
      <x:c r="B67" s="4" t="s">
        <x:v>33</x:v>
      </x:c>
      <x:c r="C67" s="7">
        <x:v>0.15</x:v>
      </x:c>
      <x:c r="D67" s="7">
        <x:v>0.3</x:v>
      </x:c>
    </x:row>
    <x:row r="68" ht="24" customHeight="1">
      <x:c r="A68" s="4" t="s">
        <x:v>23</x:v>
      </x:c>
      <x:c r="B68" s="4" t="s">
        <x:v>13</x:v>
      </x:c>
      <x:c r="C68" s="6">
        <x:v>0.15</x:v>
      </x:c>
      <x:c r="D68" s="6">
        <x:v>0.3</x:v>
      </x:c>
    </x:row>
    <x:row r="69" ht="24" customHeight="1">
      <x:c r="A69" s="4" t="s">
        <x:v>25</x:v>
      </x:c>
      <x:c r="B69" s="4" t="s">
        <x:v>76</x:v>
      </x:c>
      <x:c r="C69" s="7">
        <x:v>0.15</x:v>
      </x:c>
      <x:c r="D69" s="7">
        <x:v>0.3</x:v>
      </x:c>
    </x:row>
    <x:row r="70" ht="24" customHeight="1">
      <x:c r="A70" s="4" t="s">
        <x:v>25</x:v>
      </x:c>
      <x:c r="B70" s="4" t="s">
        <x:v>101</x:v>
      </x:c>
      <x:c r="C70" s="6">
        <x:v>0.15</x:v>
      </x:c>
      <x:c r="D70" s="6">
        <x:v>0.3</x:v>
      </x:c>
    </x:row>
    <x:row r="71" ht="24" customHeight="1">
      <x:c r="A71" s="4" t="s">
        <x:v>25</x:v>
      </x:c>
      <x:c r="B71" s="4" t="s">
        <x:v>246</x:v>
      </x:c>
      <x:c r="C71" s="7">
        <x:v>0.15</x:v>
      </x:c>
      <x:c r="D71" s="7">
        <x:v>0.3</x:v>
      </x:c>
    </x:row>
    <x:row r="72" ht="24" customHeight="1">
      <x:c r="A72" s="4" t="s">
        <x:v>25</x:v>
      </x:c>
      <x:c r="B72" s="4" t="s">
        <x:v>33</x:v>
      </x:c>
      <x:c r="C72" s="6">
        <x:v>0.15</x:v>
      </x:c>
      <x:c r="D72" s="6">
        <x:v>0.3</x:v>
      </x:c>
    </x:row>
    <x:row r="73" ht="24" customHeight="1">
      <x:c r="A73" s="4" t="s">
        <x:v>25</x:v>
      </x:c>
      <x:c r="B73" s="4" t="s">
        <x:v>13</x:v>
      </x:c>
      <x:c r="C73" s="7">
        <x:v>0.15</x:v>
      </x:c>
      <x:c r="D73" s="7">
        <x:v>0.3</x:v>
      </x:c>
    </x:row>
    <x:row r="74" ht="24" customHeight="1">
      <x:c r="A74" s="4" t="s">
        <x:v>50</x:v>
      </x:c>
      <x:c r="B74" s="4" t="s">
        <x:v>76</x:v>
      </x:c>
      <x:c r="C74" s="6">
        <x:v>0.15</x:v>
      </x:c>
      <x:c r="D74" s="6">
        <x:v>0.3</x:v>
      </x:c>
    </x:row>
    <x:row r="75" ht="24" customHeight="1">
      <x:c r="A75" s="4" t="s">
        <x:v>50</x:v>
      </x:c>
      <x:c r="B75" s="4" t="s">
        <x:v>101</x:v>
      </x:c>
      <x:c r="C75" s="7">
        <x:v>0.15</x:v>
      </x:c>
      <x:c r="D75" s="7">
        <x:v>0.3</x:v>
      </x:c>
    </x:row>
    <x:row r="76" ht="24" customHeight="1">
      <x:c r="A76" s="4" t="s">
        <x:v>50</x:v>
      </x:c>
      <x:c r="B76" s="4" t="s">
        <x:v>246</x:v>
      </x:c>
      <x:c r="C76" s="6">
        <x:v>0.15</x:v>
      </x:c>
      <x:c r="D76" s="6">
        <x:v>0.3</x:v>
      </x:c>
    </x:row>
    <x:row r="77" ht="24" customHeight="1">
      <x:c r="A77" s="4" t="s">
        <x:v>50</x:v>
      </x:c>
      <x:c r="B77" s="4" t="s">
        <x:v>33</x:v>
      </x:c>
      <x:c r="C77" s="7">
        <x:v>0.15</x:v>
      </x:c>
      <x:c r="D77" s="7">
        <x:v>0.3</x:v>
      </x:c>
    </x:row>
    <x:row r="78" ht="24" customHeight="1">
      <x:c r="A78" s="4" t="s">
        <x:v>50</x:v>
      </x:c>
      <x:c r="B78" s="4" t="s">
        <x:v>13</x:v>
      </x:c>
      <x:c r="C78" s="6">
        <x:v>0.15</x:v>
      </x:c>
      <x:c r="D78" s="6">
        <x:v>0.3</x:v>
      </x:c>
    </x:row>
    <x:row r="79" ht="24" customHeight="1">
      <x:c r="A79" s="4" t="s">
        <x:v>439</x:v>
      </x:c>
      <x:c r="B79" s="4" t="s">
        <x:v>76</x:v>
      </x:c>
      <x:c r="C79" s="7">
        <x:v>0.15</x:v>
      </x:c>
      <x:c r="D79" s="7">
        <x:v>0.3</x:v>
      </x:c>
    </x:row>
    <x:row r="80" ht="24" customHeight="1">
      <x:c r="A80" s="4" t="s">
        <x:v>439</x:v>
      </x:c>
      <x:c r="B80" s="4" t="s">
        <x:v>101</x:v>
      </x:c>
      <x:c r="C80" s="6">
        <x:v>0.15</x:v>
      </x:c>
      <x:c r="D80" s="6">
        <x:v>0.3</x:v>
      </x:c>
    </x:row>
    <x:row r="81" ht="24" customHeight="1">
      <x:c r="A81" s="4" t="s">
        <x:v>439</x:v>
      </x:c>
      <x:c r="B81" s="4" t="s">
        <x:v>33</x:v>
      </x:c>
      <x:c r="C81" s="7">
        <x:v>0.15</x:v>
      </x:c>
      <x:c r="D81" s="7">
        <x:v>0.3</x:v>
      </x:c>
    </x:row>
    <x:row r="82" ht="24" customHeight="1">
      <x:c r="A82" s="4" t="s">
        <x:v>439</x:v>
      </x:c>
      <x:c r="B82" s="4" t="s">
        <x:v>13</x:v>
      </x:c>
      <x:c r="C82" s="6">
        <x:v>0.15</x:v>
      </x:c>
      <x:c r="D82" s="6">
        <x:v>0.3</x:v>
      </x:c>
    </x:row>
    <x:row r="83" ht="24" customHeight="1">
      <x:c r="A83" s="4" t="s">
        <x:v>422</x:v>
      </x:c>
      <x:c r="B83" s="4" t="s">
        <x:v>76</x:v>
      </x:c>
      <x:c r="C83" s="7">
        <x:v>0.15</x:v>
      </x:c>
      <x:c r="D83" s="7">
        <x:v>0.3</x:v>
      </x:c>
    </x:row>
    <x:row r="84" ht="24" customHeight="1">
      <x:c r="A84" s="4" t="s">
        <x:v>422</x:v>
      </x:c>
      <x:c r="B84" s="4" t="s">
        <x:v>101</x:v>
      </x:c>
      <x:c r="C84" s="6">
        <x:v>0.15</x:v>
      </x:c>
      <x:c r="D84" s="6">
        <x:v>0.3</x:v>
      </x:c>
    </x:row>
    <x:row r="85" ht="24" customHeight="1">
      <x:c r="A85" s="4" t="s">
        <x:v>422</x:v>
      </x:c>
      <x:c r="B85" s="4" t="s">
        <x:v>246</x:v>
      </x:c>
      <x:c r="C85" s="7">
        <x:v>0.15</x:v>
      </x:c>
      <x:c r="D85" s="7">
        <x:v>0.3</x:v>
      </x:c>
    </x:row>
    <x:row r="86" ht="24" customHeight="1">
      <x:c r="A86" s="4" t="s">
        <x:v>422</x:v>
      </x:c>
      <x:c r="B86" s="4" t="s">
        <x:v>33</x:v>
      </x:c>
      <x:c r="C86" s="6">
        <x:v>0.15</x:v>
      </x:c>
      <x:c r="D86" s="6">
        <x:v>0.3</x:v>
      </x:c>
    </x:row>
    <x:row r="87" ht="24" customHeight="1">
      <x:c r="A87" s="4" t="s">
        <x:v>422</x:v>
      </x:c>
      <x:c r="B87" s="4" t="s">
        <x:v>13</x:v>
      </x:c>
      <x:c r="C87" s="7">
        <x:v>0.15</x:v>
      </x:c>
      <x:c r="D87" s="7">
        <x:v>0.3</x:v>
      </x:c>
    </x:row>
    <x:row r="88" ht="24" customHeight="1">
      <x:c r="A88" s="4" t="s">
        <x:v>128</x:v>
      </x:c>
      <x:c r="B88" s="4" t="s">
        <x:v>76</x:v>
      </x:c>
      <x:c r="C88" s="6">
        <x:v>0.15</x:v>
      </x:c>
      <x:c r="D88" s="6">
        <x:v>0.3</x:v>
      </x:c>
    </x:row>
    <x:row r="89" ht="24" customHeight="1">
      <x:c r="A89" s="4" t="s">
        <x:v>128</x:v>
      </x:c>
      <x:c r="B89" s="4" t="s">
        <x:v>101</x:v>
      </x:c>
      <x:c r="C89" s="7">
        <x:v>0.15</x:v>
      </x:c>
      <x:c r="D89" s="7">
        <x:v>0.3</x:v>
      </x:c>
    </x:row>
    <x:row r="90" ht="24" customHeight="1">
      <x:c r="A90" s="4" t="s">
        <x:v>128</x:v>
      </x:c>
      <x:c r="B90" s="4" t="s">
        <x:v>246</x:v>
      </x:c>
      <x:c r="C90" s="6">
        <x:v>0.15</x:v>
      </x:c>
      <x:c r="D90" s="6">
        <x:v>0.3</x:v>
      </x:c>
    </x:row>
    <x:row r="91" ht="24" customHeight="1">
      <x:c r="A91" s="4" t="s">
        <x:v>128</x:v>
      </x:c>
      <x:c r="B91" s="4" t="s">
        <x:v>33</x:v>
      </x:c>
      <x:c r="C91" s="7">
        <x:v>0.15</x:v>
      </x:c>
      <x:c r="D91" s="7">
        <x:v>0.3</x:v>
      </x:c>
    </x:row>
    <x:row r="92" ht="24" customHeight="1">
      <x:c r="A92" s="4" t="s">
        <x:v>128</x:v>
      </x:c>
      <x:c r="B92" s="4" t="s">
        <x:v>13</x:v>
      </x:c>
      <x:c r="C92" s="6">
        <x:v>0.15</x:v>
      </x:c>
      <x:c r="D92" s="6">
        <x:v>0.3</x:v>
      </x:c>
    </x:row>
    <x:row r="93" ht="24" customHeight="1">
      <x:c r="A93" s="4" t="s">
        <x:v>323</x:v>
      </x:c>
      <x:c r="B93" s="4" t="s">
        <x:v>76</x:v>
      </x:c>
      <x:c r="C93" s="7">
        <x:v>0.15</x:v>
      </x:c>
      <x:c r="D93" s="7">
        <x:v>0.3</x:v>
      </x:c>
    </x:row>
    <x:row r="94" ht="24" customHeight="1">
      <x:c r="A94" s="4" t="s">
        <x:v>323</x:v>
      </x:c>
      <x:c r="B94" s="4" t="s">
        <x:v>246</x:v>
      </x:c>
      <x:c r="C94" s="6">
        <x:v>0.15</x:v>
      </x:c>
      <x:c r="D94" s="6">
        <x:v>0.3</x:v>
      </x:c>
    </x:row>
    <x:row r="95" ht="24" customHeight="1">
      <x:c r="A95" s="4" t="s">
        <x:v>323</x:v>
      </x:c>
      <x:c r="B95" s="4" t="s">
        <x:v>33</x:v>
      </x:c>
      <x:c r="C95" s="7">
        <x:v>0.15</x:v>
      </x:c>
      <x:c r="D95" s="7">
        <x:v>0.3</x:v>
      </x:c>
    </x:row>
    <x:row r="96" ht="24" customHeight="1">
      <x:c r="A96" s="4" t="s">
        <x:v>286</x:v>
      </x:c>
      <x:c r="B96" s="4" t="s">
        <x:v>13</x:v>
      </x:c>
      <x:c r="C96" s="6">
        <x:v>0</x:v>
      </x:c>
      <x:c r="D96" s="6">
        <x:v>0</x:v>
      </x:c>
    </x:row>
    <x:row r="97" ht="24" customHeight="1">
      <x:c r="A97" s="4" t="s">
        <x:v>564</x:v>
      </x:c>
      <x:c r="B97" s="4" t="s">
        <x:v>76</x:v>
      </x:c>
      <x:c r="C97" s="7">
        <x:v>0.15</x:v>
      </x:c>
      <x:c r="D97" s="7">
        <x:v>0.3</x:v>
      </x:c>
    </x:row>
    <x:row r="98" ht="24" customHeight="1">
      <x:c r="A98" s="4" t="s">
        <x:v>564</x:v>
      </x:c>
      <x:c r="B98" s="4" t="s">
        <x:v>101</x:v>
      </x:c>
      <x:c r="C98" s="6">
        <x:v>0.15</x:v>
      </x:c>
      <x:c r="D98" s="6">
        <x:v>0.3</x:v>
      </x:c>
    </x:row>
    <x:row r="99" ht="24" customHeight="1">
      <x:c r="A99" s="4" t="s">
        <x:v>564</x:v>
      </x:c>
      <x:c r="B99" s="4" t="s">
        <x:v>33</x:v>
      </x:c>
      <x:c r="C99" s="7">
        <x:v>0.15</x:v>
      </x:c>
      <x:c r="D99" s="7">
        <x:v>0.3</x:v>
      </x:c>
    </x:row>
    <x:row r="100" ht="24" customHeight="1">
      <x:c r="A100" s="4" t="s">
        <x:v>53</x:v>
      </x:c>
      <x:c r="B100" s="4" t="s">
        <x:v>76</x:v>
      </x:c>
      <x:c r="C100" s="6">
        <x:v>0.15</x:v>
      </x:c>
      <x:c r="D100" s="6">
        <x:v>0.3</x:v>
      </x:c>
    </x:row>
    <x:row r="101" ht="24" customHeight="1">
      <x:c r="A101" s="4" t="s">
        <x:v>53</x:v>
      </x:c>
      <x:c r="B101" s="4" t="s">
        <x:v>101</x:v>
      </x:c>
      <x:c r="C101" s="7">
        <x:v>0.15</x:v>
      </x:c>
      <x:c r="D101" s="7">
        <x:v>0.3</x:v>
      </x:c>
    </x:row>
    <x:row r="102" ht="24" customHeight="1">
      <x:c r="A102" s="4" t="s">
        <x:v>53</x:v>
      </x:c>
      <x:c r="B102" s="4" t="s">
        <x:v>33</x:v>
      </x:c>
      <x:c r="C102" s="6">
        <x:v>0.15</x:v>
      </x:c>
      <x:c r="D102" s="6">
        <x:v>0.3</x:v>
      </x:c>
    </x:row>
    <x:row r="103" ht="24" customHeight="1">
      <x:c r="A103" s="4" t="s">
        <x:v>32</x:v>
      </x:c>
      <x:c r="B103" s="4" t="s">
        <x:v>76</x:v>
      </x:c>
      <x:c r="C103" s="7">
        <x:v>0.15</x:v>
      </x:c>
      <x:c r="D103" s="7">
        <x:v>0.3</x:v>
      </x:c>
    </x:row>
    <x:row r="104" ht="24" customHeight="1">
      <x:c r="A104" s="4" t="s">
        <x:v>32</x:v>
      </x:c>
      <x:c r="B104" s="4" t="s">
        <x:v>33</x:v>
      </x:c>
      <x:c r="C104" s="6">
        <x:v>0.15</x:v>
      </x:c>
      <x:c r="D104" s="6">
        <x:v>0.3</x:v>
      </x:c>
    </x:row>
    <x:row r="105" ht="24" customHeight="1">
      <x:c r="A105" s="4" t="s">
        <x:v>282</x:v>
      </x:c>
      <x:c r="B105" s="4" t="s">
        <x:v>13</x:v>
      </x:c>
      <x:c r="C105" s="7">
        <x:v>0.15</x:v>
      </x:c>
      <x:c r="D105" s="7">
        <x:v>0.3</x:v>
      </x:c>
    </x:row>
    <x:row r="106" ht="24" customHeight="1">
      <x:c r="A106" s="4" t="s">
        <x:v>134</x:v>
      </x:c>
      <x:c r="B106" s="4" t="s">
        <x:v>76</x:v>
      </x:c>
      <x:c r="C106" s="6">
        <x:v>0.15</x:v>
      </x:c>
      <x:c r="D106" s="6">
        <x:v>0.3</x:v>
      </x:c>
    </x:row>
    <x:row r="107" ht="24" customHeight="1">
      <x:c r="A107" s="4" t="s">
        <x:v>134</x:v>
      </x:c>
      <x:c r="B107" s="4" t="s">
        <x:v>101</x:v>
      </x:c>
      <x:c r="C107" s="7">
        <x:v>0.15</x:v>
      </x:c>
      <x:c r="D107" s="7">
        <x:v>0.3</x:v>
      </x:c>
    </x:row>
    <x:row r="108" ht="24" customHeight="1">
      <x:c r="A108" s="4" t="s">
        <x:v>134</x:v>
      </x:c>
      <x:c r="B108" s="4" t="s">
        <x:v>246</x:v>
      </x:c>
      <x:c r="C108" s="6">
        <x:v>0.15</x:v>
      </x:c>
      <x:c r="D108" s="6">
        <x:v>0.3</x:v>
      </x:c>
    </x:row>
    <x:row r="109" ht="24" customHeight="1">
      <x:c r="A109" s="4" t="s">
        <x:v>134</x:v>
      </x:c>
      <x:c r="B109" s="4" t="s">
        <x:v>33</x:v>
      </x:c>
      <x:c r="C109" s="7">
        <x:v>0.15</x:v>
      </x:c>
      <x:c r="D109" s="7">
        <x:v>0.3</x:v>
      </x:c>
    </x:row>
    <x:row r="110" ht="24" customHeight="1">
      <x:c r="A110" s="5" t="s">
        <x:v>134</x:v>
      </x:c>
      <x:c r="B110" s="5" t="s">
        <x:v>13</x:v>
      </x:c>
      <x:c r="C110" s="6">
        <x:v>0.15</x:v>
      </x:c>
      <x:c r="D110" s="6">
        <x:v>0.3</x:v>
      </x:c>
    </x:row>
    <x:row r="111">
      <x:c r="A111"/>
      <x:c r="B111"/>
      <x:c r="C111"/>
      <x:c r="D111"/>
    </x:row>
    <x:row r="112">
      <x:c r="A112"/>
      <x:c r="B112"/>
      <x:c r="C112"/>
      <x:c r="D112"/>
    </x:row>
    <x:row r="113">
      <x:c r="A113"/>
      <x:c r="B113"/>
      <x:c r="C113"/>
      <x:c r="D113"/>
    </x:row>
    <x:row r="114">
      <x:c r="A114"/>
      <x:c r="B114"/>
      <x:c r="C114"/>
      <x:c r="D114"/>
    </x:row>
    <x:row r="115">
      <x:c r="A115"/>
      <x:c r="B115"/>
      <x:c r="C115"/>
      <x:c r="D115"/>
    </x:row>
    <x:row r="116">
      <x:c r="A116"/>
      <x:c r="B116"/>
      <x:c r="C116"/>
      <x:c r="D116"/>
    </x:row>
    <x:row r="117">
      <x:c r="A117"/>
      <x:c r="B117"/>
      <x:c r="C117"/>
      <x:c r="D117"/>
    </x:row>
    <x:row r="118">
      <x:c r="A118"/>
      <x:c r="B118"/>
      <x:c r="C118"/>
      <x:c r="D118"/>
    </x:row>
    <x:row r="119">
      <x:c r="A119"/>
      <x:c r="B119"/>
      <x:c r="C119"/>
      <x:c r="D119"/>
    </x:row>
    <x:row r="120">
      <x:c r="A120"/>
      <x:c r="B120"/>
      <x:c r="C120"/>
      <x:c r="D120"/>
    </x:row>
    <x:row r="121">
      <x:c r="A121"/>
      <x:c r="B121"/>
      <x:c r="C121"/>
      <x:c r="D121"/>
    </x:row>
    <x:row r="122">
      <x:c r="A122"/>
      <x:c r="B122"/>
      <x:c r="C122"/>
      <x:c r="D122"/>
    </x:row>
    <x:row r="123">
      <x:c r="A123"/>
      <x:c r="B123"/>
      <x:c r="C123"/>
      <x:c r="D123"/>
    </x:row>
    <x:row r="124">
      <x:c r="A124"/>
      <x:c r="B124"/>
      <x:c r="C124"/>
      <x:c r="D124"/>
    </x:row>
    <x:row r="125">
      <x:c r="A125"/>
      <x:c r="B125"/>
      <x:c r="C125"/>
      <x:c r="D125"/>
    </x:row>
    <x:row r="126">
      <x:c r="A126"/>
      <x:c r="B126"/>
      <x:c r="C126"/>
      <x:c r="D126"/>
    </x:row>
    <x:row r="127">
      <x:c r="A127"/>
      <x:c r="B127"/>
      <x:c r="C127"/>
      <x:c r="D127"/>
    </x:row>
    <x:row r="128">
      <x:c r="A128"/>
      <x:c r="B128"/>
      <x:c r="C128"/>
      <x:c r="D128"/>
    </x:row>
    <x:row r="129">
      <x:c r="A129"/>
      <x:c r="B129"/>
      <x:c r="C129"/>
      <x:c r="D129"/>
    </x:row>
    <x:row r="130">
      <x:c r="A130"/>
      <x:c r="B130"/>
      <x:c r="C130"/>
      <x:c r="D130"/>
    </x:row>
    <x:row r="131">
      <x:c r="A131"/>
      <x:c r="B131"/>
      <x:c r="C131"/>
      <x:c r="D131"/>
    </x:row>
    <x:row r="132">
      <x:c r="A132"/>
      <x:c r="B132"/>
      <x:c r="C132"/>
      <x:c r="D132"/>
    </x:row>
    <x:row r="133">
      <x:c r="A133"/>
      <x:c r="B133"/>
      <x:c r="C133"/>
      <x:c r="D133"/>
    </x:row>
    <x:row r="134">
      <x:c r="A134"/>
      <x:c r="B134"/>
      <x:c r="C134"/>
      <x:c r="D134"/>
    </x:row>
    <x:row r="135">
      <x:c r="A135"/>
      <x:c r="B135"/>
      <x:c r="C135"/>
      <x:c r="D135"/>
    </x:row>
    <x:row r="136">
      <x:c r="A136"/>
      <x:c r="B136"/>
      <x:c r="C136"/>
      <x:c r="D136"/>
    </x:row>
    <x:row r="137">
      <x:c r="A137"/>
      <x:c r="B137"/>
      <x:c r="C137"/>
      <x:c r="D137"/>
    </x:row>
    <x:row r="138">
      <x:c r="A138"/>
      <x:c r="B138"/>
      <x:c r="C138"/>
      <x:c r="D138"/>
    </x:row>
    <x:row r="139">
      <x:c r="A139"/>
      <x:c r="B139"/>
      <x:c r="C139"/>
      <x:c r="D139"/>
    </x:row>
    <x:row r="140">
      <x:c r="A140"/>
      <x:c r="B140"/>
      <x:c r="C140"/>
      <x:c r="D140"/>
    </x:row>
    <x:row r="141">
      <x:c r="A141"/>
      <x:c r="B141"/>
      <x:c r="C141"/>
      <x:c r="D141"/>
    </x:row>
    <x:row r="142">
      <x:c r="A142"/>
      <x:c r="B142"/>
      <x:c r="C142"/>
      <x:c r="D142"/>
    </x:row>
    <x:row r="143">
      <x:c r="A143"/>
      <x:c r="B143"/>
      <x:c r="C143"/>
      <x:c r="D143"/>
    </x:row>
    <x:row r="144">
      <x:c r="A144"/>
      <x:c r="B144"/>
      <x:c r="C144"/>
      <x:c r="D144"/>
    </x:row>
    <x:row r="145">
      <x:c r="A145"/>
      <x:c r="B145"/>
      <x:c r="C145"/>
      <x:c r="D145"/>
    </x:row>
    <x:row r="146">
      <x:c r="A146"/>
      <x:c r="B146"/>
      <x:c r="C146"/>
      <x:c r="D146"/>
    </x:row>
    <x:row r="147">
      <x:c r="A147"/>
      <x:c r="B147"/>
      <x:c r="C147"/>
      <x:c r="D147"/>
    </x:row>
    <x:row r="148">
      <x:c r="A148"/>
      <x:c r="B148"/>
      <x:c r="C148"/>
      <x:c r="D148"/>
    </x:row>
    <x:row r="149">
      <x:c r="A149"/>
      <x:c r="B149"/>
      <x:c r="C149"/>
      <x:c r="D149"/>
    </x:row>
    <x:row r="150">
      <x:c r="A150"/>
      <x:c r="B150"/>
      <x:c r="C150"/>
      <x:c r="D150"/>
    </x:row>
    <x:row r="151">
      <x:c r="A151"/>
      <x:c r="B151"/>
      <x:c r="C151"/>
      <x:c r="D151"/>
    </x:row>
    <x:row r="152">
      <x:c r="A152"/>
      <x:c r="B152"/>
      <x:c r="C152"/>
      <x:c r="D152"/>
    </x:row>
    <x:row r="153">
      <x:c r="A153"/>
      <x:c r="B153"/>
      <x:c r="C153"/>
      <x:c r="D153"/>
    </x:row>
    <x:row r="154">
      <x:c r="A154"/>
      <x:c r="B154"/>
      <x:c r="C154"/>
      <x:c r="D154"/>
    </x:row>
    <x:row r="155">
      <x:c r="A155"/>
      <x:c r="B155"/>
      <x:c r="C155"/>
      <x:c r="D155"/>
    </x:row>
    <x:row r="156">
      <x:c r="A156"/>
      <x:c r="B156"/>
      <x:c r="C156"/>
      <x:c r="D156"/>
    </x:row>
    <x:row r="157">
      <x:c r="A157"/>
      <x:c r="B157"/>
      <x:c r="C157"/>
      <x:c r="D157"/>
    </x:row>
    <x:row r="158">
      <x:c r="A158"/>
      <x:c r="B158"/>
      <x:c r="C158"/>
      <x:c r="D158"/>
    </x:row>
    <x:row r="159">
      <x:c r="A159"/>
      <x:c r="B159"/>
      <x:c r="C159"/>
      <x:c r="D159"/>
    </x:row>
    <x:row r="160">
      <x:c r="A160"/>
      <x:c r="B160"/>
      <x:c r="C160"/>
      <x:c r="D160"/>
    </x:row>
    <x:row r="161">
      <x:c r="A161"/>
      <x:c r="B161"/>
      <x:c r="C161"/>
      <x:c r="D161"/>
    </x:row>
    <x:row r="162">
      <x:c r="A162"/>
      <x:c r="B162"/>
      <x:c r="C162"/>
      <x:c r="D162"/>
    </x:row>
    <x:row r="163">
      <x:c r="A163"/>
      <x:c r="B163"/>
      <x:c r="C163"/>
      <x:c r="D163"/>
    </x:row>
    <x:row r="164">
      <x:c r="A164"/>
      <x:c r="B164"/>
      <x:c r="C164"/>
      <x:c r="D164"/>
    </x:row>
    <x:row r="165">
      <x:c r="A165"/>
      <x:c r="B165"/>
      <x:c r="C165"/>
      <x:c r="D165"/>
    </x:row>
    <x:row r="166">
      <x:c r="A166"/>
      <x:c r="B166"/>
      <x:c r="C166"/>
      <x:c r="D166"/>
    </x:row>
    <x:row r="167">
      <x:c r="A167"/>
      <x:c r="B167"/>
      <x:c r="C167"/>
      <x:c r="D167"/>
    </x:row>
    <x:row r="168">
      <x:c r="A168"/>
      <x:c r="B168"/>
      <x:c r="C168"/>
      <x:c r="D168"/>
    </x:row>
    <x:row r="169">
      <x:c r="A169"/>
      <x:c r="B169"/>
      <x:c r="C169"/>
      <x:c r="D169"/>
    </x:row>
    <x:row r="170">
      <x:c r="A170"/>
      <x:c r="B170"/>
      <x:c r="C170"/>
      <x:c r="D170"/>
    </x:row>
    <x:row r="171">
      <x:c r="A171"/>
      <x:c r="B171"/>
      <x:c r="C171"/>
      <x:c r="D171"/>
    </x:row>
    <x:row r="172">
      <x:c r="A172"/>
      <x:c r="B172"/>
      <x:c r="C172"/>
      <x:c r="D172"/>
    </x:row>
    <x:row r="173">
      <x:c r="A173"/>
      <x:c r="B173"/>
      <x:c r="C173"/>
      <x:c r="D173"/>
    </x:row>
    <x:row r="174">
      <x:c r="A174"/>
      <x:c r="B174"/>
      <x:c r="C174"/>
      <x:c r="D174"/>
    </x:row>
    <x:row r="175">
      <x:c r="A175"/>
      <x:c r="B175"/>
      <x:c r="C175"/>
      <x:c r="D175"/>
    </x:row>
    <x:row r="176">
      <x:c r="A176"/>
      <x:c r="B176"/>
      <x:c r="C176"/>
      <x:c r="D176"/>
    </x:row>
    <x:row r="177">
      <x:c r="A177"/>
      <x:c r="B177"/>
      <x:c r="C177"/>
      <x:c r="D177"/>
    </x:row>
    <x:row r="178">
      <x:c r="A178"/>
      <x:c r="B178"/>
      <x:c r="C178"/>
      <x:c r="D178"/>
    </x:row>
    <x:row r="179">
      <x:c r="A179"/>
      <x:c r="B179"/>
      <x:c r="C179"/>
      <x:c r="D179"/>
    </x:row>
    <x:row r="180">
      <x:c r="A180"/>
      <x:c r="B180"/>
      <x:c r="C180"/>
      <x:c r="D180"/>
    </x:row>
    <x:row r="181">
      <x:c r="A181"/>
      <x:c r="B181"/>
      <x:c r="C181"/>
      <x:c r="D181"/>
    </x:row>
    <x:row r="182">
      <x:c r="A182"/>
      <x:c r="B182"/>
      <x:c r="C182"/>
      <x:c r="D182"/>
    </x:row>
    <x:row r="183">
      <x:c r="A183"/>
      <x:c r="B183"/>
      <x:c r="C183"/>
      <x:c r="D183"/>
    </x:row>
    <x:row r="184">
      <x:c r="A184"/>
      <x:c r="B184"/>
      <x:c r="C184"/>
      <x:c r="D184"/>
    </x:row>
    <x:row r="185">
      <x:c r="A185"/>
      <x:c r="B185"/>
      <x:c r="C185"/>
      <x:c r="D185"/>
    </x:row>
    <x:row r="186">
      <x:c r="A186"/>
      <x:c r="B186"/>
      <x:c r="C186"/>
      <x:c r="D186"/>
    </x:row>
    <x:row r="187">
      <x:c r="A187"/>
      <x:c r="B187"/>
      <x:c r="C187"/>
      <x:c r="D187"/>
    </x:row>
    <x:row r="188">
      <x:c r="A188"/>
      <x:c r="B188"/>
      <x:c r="C188"/>
      <x:c r="D188"/>
    </x:row>
    <x:row r="189">
      <x:c r="A189"/>
      <x:c r="B189"/>
      <x:c r="C189"/>
      <x:c r="D189"/>
    </x:row>
    <x:row r="190">
      <x:c r="A190"/>
      <x:c r="B190"/>
      <x:c r="C190"/>
      <x:c r="D190"/>
    </x:row>
    <x:row r="191">
      <x:c r="A191"/>
      <x:c r="B191"/>
      <x:c r="C191"/>
      <x:c r="D191"/>
    </x:row>
    <x:row r="192">
      <x:c r="A192"/>
      <x:c r="B192"/>
      <x:c r="C192"/>
      <x:c r="D192"/>
    </x:row>
    <x:row r="193">
      <x:c r="A193"/>
      <x:c r="B193"/>
      <x:c r="C193"/>
      <x:c r="D193"/>
    </x:row>
    <x:row r="194">
      <x:c r="A194"/>
      <x:c r="B194"/>
      <x:c r="C194"/>
      <x:c r="D194"/>
    </x:row>
    <x:row r="195">
      <x:c r="A195"/>
      <x:c r="B195"/>
      <x:c r="C195"/>
      <x:c r="D195"/>
    </x:row>
    <x:row r="196">
      <x:c r="A196"/>
      <x:c r="B196"/>
      <x:c r="C196"/>
      <x:c r="D196"/>
    </x:row>
    <x:row r="197">
      <x:c r="A197"/>
      <x:c r="B197"/>
      <x:c r="C197"/>
      <x:c r="D197"/>
    </x:row>
    <x:row r="198">
      <x:c r="A198"/>
      <x:c r="B198"/>
      <x:c r="C198"/>
      <x:c r="D198"/>
    </x:row>
    <x:row r="199">
      <x:c r="A199"/>
      <x:c r="B199"/>
      <x:c r="C199"/>
      <x:c r="D199"/>
    </x:row>
    <x:row r="200">
      <x:c r="A200"/>
      <x:c r="B200"/>
      <x:c r="C200"/>
      <x:c r="D200"/>
    </x:row>
    <x:row r="201">
      <x:c r="A201"/>
      <x:c r="B201"/>
      <x:c r="C201"/>
      <x:c r="D201"/>
    </x:row>
    <x:row r="202">
      <x:c r="A202"/>
      <x:c r="B202"/>
      <x:c r="C202"/>
      <x:c r="D202"/>
    </x:row>
    <x:row r="203">
      <x:c r="A203"/>
      <x:c r="B203"/>
      <x:c r="C203"/>
      <x:c r="D203"/>
    </x:row>
    <x:row r="204">
      <x:c r="A204"/>
      <x:c r="B204"/>
      <x:c r="C204"/>
      <x:c r="D204"/>
    </x:row>
    <x:row r="205">
      <x:c r="A205"/>
      <x:c r="B205"/>
      <x:c r="C205"/>
      <x:c r="D205"/>
    </x:row>
    <x:row r="206">
      <x:c r="A206"/>
      <x:c r="B206"/>
      <x:c r="C206"/>
      <x:c r="D206"/>
    </x:row>
    <x:row r="207">
      <x:c r="A207"/>
      <x:c r="B207"/>
      <x:c r="C207"/>
      <x:c r="D207"/>
    </x:row>
    <x:row r="208">
      <x:c r="A208"/>
      <x:c r="B208"/>
      <x:c r="C208"/>
      <x:c r="D208"/>
    </x:row>
    <x:row r="209">
      <x:c r="A209"/>
      <x:c r="B209"/>
      <x:c r="C209"/>
      <x:c r="D209"/>
    </x:row>
    <x:row r="210">
      <x:c r="A210"/>
      <x:c r="B210"/>
      <x:c r="C210"/>
      <x:c r="D210"/>
    </x:row>
  </x:sheetData>
  <x:dataValidations count="1">
    <x:dataValidation type="decimal" sqref="C2:D110">
      <x:formula1>0</x:formula1>
      <x:formula2>1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d7de647d39f64e4c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22" customWidth="1"/>
    <x:col min="2" max="2" width="78" customWidth="1"/>
  </x:cols>
  <x:sheetData>
    <x:row r="1" ht="30" customHeight="1">
      <x:c r="A1" s="1" t="s">
        <x:v>792</x:v>
      </x:c>
      <x:c r="B1" s="1" t="s">
        <x:v>793</x:v>
      </x:c>
    </x:row>
    <x:row r="2" ht="30" customHeight="1">
      <x:c r="A2" s="28" t="s">
        <x:v>794</x:v>
      </x:c>
      <x:c r="B2" s="29" t="s">
        <x:v>795</x:v>
      </x:c>
    </x:row>
    <x:row r="3" ht="30" customHeight="1">
      <x:c r="A3" s="28" t="s">
        <x:v>796</x:v>
      </x:c>
      <x:c r="B3" s="29" t="s">
        <x:v>797</x:v>
      </x:c>
    </x:row>
    <x:row r="4" ht="30" customHeight="1">
      <x:c r="A4" s="28" t="s">
        <x:v>798</x:v>
      </x:c>
      <x:c r="B4" s="29" t="s">
        <x:v>799</x:v>
      </x:c>
    </x:row>
    <x:row r="5" ht="30" customHeight="1">
      <x:c r="A5" s="28" t="s">
        <x:v>800</x:v>
      </x:c>
      <x:c r="B5" s="29" t="s">
        <x:v>801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16" customWidth="1"/>
    <x:col min="2" max="2" width="82" customWidth="1"/>
  </x:cols>
  <x:sheetData>
    <x:row r="1" ht="42" customHeight="1">
      <x:c r="A1" s="54" t="s">
        <x:v>802</x:v>
      </x:c>
      <x:c r="B1" s="54"/>
      <x:c r="C1" s="54"/>
      <x:c r="D1" s="54"/>
      <x:c r="E1" s="54"/>
      <x:c r="F1" s="54"/>
    </x:row>
    <x:row r="3" ht="33.95000076293945" customHeight="1">
      <x:c r="A3" s="26" t="s">
        <x:v>803</x:v>
      </x:c>
      <x:c r="B3" s="26"/>
    </x:row>
    <x:row r="4" ht="33.95000076293945" customHeight="1">
      <x:c r="A4" s="27" t="s">
        <x:v>804</x:v>
      </x:c>
      <x:c r="B4" s="27" t="s">
        <x:v>805</x:v>
      </x:c>
    </x:row>
    <x:row r="5" ht="33.95000076293945" customHeight="1">
      <x:c r="A5" s="27" t="s">
        <x:v>806</x:v>
      </x:c>
      <x:c r="B5" s="27" t="s">
        <x:v>807</x:v>
      </x:c>
    </x:row>
    <x:row r="6" ht="33.95000076293945" customHeight="1">
      <x:c r="A6" s="27" t="s">
        <x:v>808</x:v>
      </x:c>
      <x:c r="B6" s="27" t="s">
        <x:v>809</x:v>
      </x:c>
    </x:row>
    <x:row r="7" ht="33.95000076293945" customHeight="1">
      <x:c r="A7" s="27" t="s">
        <x:v>810</x:v>
      </x:c>
      <x:c r="B7" s="27" t="s">
        <x:v>811</x:v>
      </x:c>
    </x:row>
    <x:row r="8" ht="33.95000076293945" customHeight="1">
      <x:c r="A8" s="27" t="s">
        <x:v>812</x:v>
      </x:c>
      <x:c r="B8" s="27" t="s">
        <x:v>813</x:v>
      </x:c>
    </x:row>
    <x:row r="9" ht="33.95000076293945" customHeight="1">
      <x:c r="A9" s="27" t="s">
        <x:v>814</x:v>
      </x:c>
      <x:c r="B9" s="27" t="s">
        <x:v>815</x:v>
      </x:c>
    </x:row>
    <x:row r="10" ht="39.95000076293945" customHeight="1">
      <x:c r="A10" s="27" t="s">
        <x:v>816</x:v>
      </x:c>
      <x:c r="B10" s="27" t="s">
        <x:v>817</x:v>
      </x:c>
    </x:row>
    <x:row r="11" ht="39.95000076293945" customHeight="1">
      <x:c r="A11" s="27" t="s">
        <x:v>818</x:v>
      </x:c>
      <x:c r="B11" s="27" t="s">
        <x:v>819</x:v>
      </x:c>
    </x:row>
  </x:sheetData>
  <x:mergeCells>
    <x:mergeCell ref="A1:F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2" width="18" customWidth="1"/>
    <x:col min="4" max="4" width="20" customWidth="1"/>
    <x:col min="5" max="5" width="34" customWidth="1"/>
    <x:col min="7" max="7" width="34" customWidth="1"/>
    <x:col min="8" max="8" width="20" customWidth="1"/>
  </x:cols>
  <x:sheetData>
    <x:row r="1" ht="32.099998474121094" customHeight="1">
      <x:c r="A1" s="55" t="s">
        <x:v>820</x:v>
      </x:c>
      <x:c r="B1" s="55"/>
      <x:c r="D1" s="55" t="s">
        <x:v>821</x:v>
      </x:c>
      <x:c r="E1" s="55"/>
      <x:c r="G1" s="56" t="s">
        <x:v>822</x:v>
      </x:c>
      <x:c r="H1" s="56"/>
    </x:row>
    <x:row r="2" ht="24" customHeight="1"/>
    <x:row r="3" ht="24" customHeight="1">
      <x:c r="A3" s="32" t="s">
        <x:v>2</x:v>
      </x:c>
      <x:c r="B3" s="32" t="s">
        <x:v>823</x:v>
      </x:c>
      <x:c r="D3" s="32" t="s">
        <x:v>824</x:v>
      </x:c>
      <x:c r="E3" s="32" t="s">
        <x:v>825</x:v>
      </x:c>
      <x:c r="G3" s="47" t="s">
        <x:v>826</x:v>
      </x:c>
      <x:c r="H3" s="47" t="s">
        <x:v>824</x:v>
      </x:c>
    </x:row>
    <x:row r="4" ht="24" customHeight="1">
      <x:c r="A4" s="33" t="s">
        <x:v>827</x:v>
      </x:c>
      <x:c r="B4" s="33" t="s">
        <x:v>828</x:v>
      </x:c>
      <x:c r="D4" s="36" t="s">
        <x:v>829</x:v>
      </x:c>
      <x:c r="E4" s="36" t="s">
        <x:v>830</x:v>
      </x:c>
      <x:c r="G4" s="3" t="s">
        <x:v>55</x:v>
      </x:c>
      <x:c r="H4" s="50" t="s">
        <x:v>831</x:v>
      </x:c>
    </x:row>
    <x:row r="5" ht="24" customHeight="1">
      <x:c r="A5" s="34" t="s">
        <x:v>832</x:v>
      </x:c>
      <x:c r="B5" s="34" t="s">
        <x:v>828</x:v>
      </x:c>
      <x:c r="D5" s="37" t="s">
        <x:v>831</x:v>
      </x:c>
      <x:c r="E5" s="37" t="s">
        <x:v>833</x:v>
      </x:c>
      <x:c r="G5" s="4" t="s">
        <x:v>119</x:v>
      </x:c>
      <x:c r="H5" s="51" t="s">
        <x:v>829</x:v>
      </x:c>
    </x:row>
    <x:row r="6" ht="24" customHeight="1">
      <x:c r="A6" s="34" t="s">
        <x:v>834</x:v>
      </x:c>
      <x:c r="B6" s="34" t="s">
        <x:v>828</x:v>
      </x:c>
      <x:c r="D6" s="37"/>
      <x:c r="E6" s="37"/>
      <x:c r="G6" s="4" t="s">
        <x:v>123</x:v>
      </x:c>
      <x:c r="H6" s="51" t="s">
        <x:v>829</x:v>
      </x:c>
    </x:row>
    <x:row r="7" ht="24" customHeight="1">
      <x:c r="A7" s="34" t="s">
        <x:v>835</x:v>
      </x:c>
      <x:c r="B7" s="34" t="s">
        <x:v>828</x:v>
      </x:c>
      <x:c r="D7" s="37"/>
      <x:c r="E7" s="37"/>
      <x:c r="G7" s="4" t="s">
        <x:v>780</x:v>
      </x:c>
      <x:c r="H7" s="51" t="s">
        <x:v>829</x:v>
      </x:c>
    </x:row>
    <x:row r="8" ht="24" customHeight="1">
      <x:c r="A8" s="34" t="s">
        <x:v>33</x:v>
      </x:c>
      <x:c r="B8" s="34" t="s">
        <x:v>836</x:v>
      </x:c>
      <x:c r="D8" s="37"/>
      <x:c r="E8" s="37"/>
      <x:c r="G8" s="4" t="s">
        <x:v>12</x:v>
      </x:c>
      <x:c r="H8" s="51" t="s">
        <x:v>829</x:v>
      </x:c>
    </x:row>
    <x:row r="9" ht="24" customHeight="1">
      <x:c r="A9" s="34" t="s">
        <x:v>76</x:v>
      </x:c>
      <x:c r="B9" s="34" t="s">
        <x:v>836</x:v>
      </x:c>
      <x:c r="D9" s="37"/>
      <x:c r="E9" s="37"/>
      <x:c r="G9" s="4" t="s">
        <x:v>138</x:v>
      </x:c>
      <x:c r="H9" s="51" t="s">
        <x:v>831</x:v>
      </x:c>
    </x:row>
    <x:row r="10" ht="24" customHeight="1">
      <x:c r="A10" s="34" t="s">
        <x:v>101</x:v>
      </x:c>
      <x:c r="B10" s="34" t="s">
        <x:v>836</x:v>
      </x:c>
      <x:c r="D10" s="37"/>
      <x:c r="E10" s="37"/>
      <x:c r="G10" s="4" t="s">
        <x:v>644</x:v>
      </x:c>
      <x:c r="H10" s="51" t="s">
        <x:v>829</x:v>
      </x:c>
    </x:row>
    <x:row r="11" ht="24" customHeight="1">
      <x:c r="A11" s="34" t="s">
        <x:v>246</x:v>
      </x:c>
      <x:c r="B11" s="34" t="s">
        <x:v>836</x:v>
      </x:c>
      <x:c r="D11" s="37"/>
      <x:c r="E11" s="37"/>
      <x:c r="G11" s="4" t="s">
        <x:v>18</x:v>
      </x:c>
      <x:c r="H11" s="51" t="s">
        <x:v>829</x:v>
      </x:c>
    </x:row>
    <x:row r="12" ht="24" customHeight="1">
      <x:c r="A12" s="35" t="s">
        <x:v>13</x:v>
      </x:c>
      <x:c r="B12" s="35" t="s">
        <x:v>836</x:v>
      </x:c>
      <x:c r="D12" s="37"/>
      <x:c r="E12" s="37"/>
      <x:c r="G12" s="4" t="s">
        <x:v>534</x:v>
      </x:c>
      <x:c r="H12" s="51" t="s">
        <x:v>829</x:v>
      </x:c>
    </x:row>
    <x:row r="13" ht="24" customHeight="1">
      <x:c r="D13" s="37"/>
      <x:c r="E13" s="37"/>
      <x:c r="G13" s="4" t="s">
        <x:v>698</x:v>
      </x:c>
      <x:c r="H13" s="51" t="s">
        <x:v>829</x:v>
      </x:c>
    </x:row>
    <x:row r="14" ht="24" customHeight="1">
      <x:c r="D14" s="37"/>
      <x:c r="E14" s="37"/>
      <x:c r="G14" s="4" t="s">
        <x:v>38</x:v>
      </x:c>
      <x:c r="H14" s="51" t="s">
        <x:v>829</x:v>
      </x:c>
    </x:row>
    <x:row r="15" ht="24" customHeight="1">
      <x:c r="D15" s="37"/>
      <x:c r="E15" s="37"/>
      <x:c r="G15" s="4" t="s">
        <x:v>21</x:v>
      </x:c>
      <x:c r="H15" s="51" t="s">
        <x:v>829</x:v>
      </x:c>
    </x:row>
    <x:row r="16" ht="24" customHeight="1">
      <x:c r="D16" s="37"/>
      <x:c r="E16" s="37"/>
      <x:c r="G16" s="4" t="s">
        <x:v>331</x:v>
      </x:c>
      <x:c r="H16" s="51" t="s">
        <x:v>829</x:v>
      </x:c>
    </x:row>
    <x:row r="17" ht="24" customHeight="1">
      <x:c r="D17" s="37"/>
      <x:c r="E17" s="37"/>
      <x:c r="G17" s="4" t="s">
        <x:v>44</x:v>
      </x:c>
      <x:c r="H17" s="51" t="s">
        <x:v>831</x:v>
      </x:c>
    </x:row>
    <x:row r="18" ht="24" customHeight="1">
      <x:c r="D18" s="37"/>
      <x:c r="E18" s="37"/>
      <x:c r="G18" s="4" t="s">
        <x:v>72</x:v>
      </x:c>
      <x:c r="H18" s="51" t="s">
        <x:v>829</x:v>
      </x:c>
    </x:row>
    <x:row r="19" ht="24" customHeight="1">
      <x:c r="D19" s="37"/>
      <x:c r="E19" s="37"/>
      <x:c r="G19" s="4" t="s">
        <x:v>226</x:v>
      </x:c>
      <x:c r="H19" s="51" t="s">
        <x:v>829</x:v>
      </x:c>
    </x:row>
    <x:row r="20" ht="24" customHeight="1">
      <x:c r="D20" s="38"/>
      <x:c r="E20" s="38"/>
      <x:c r="G20" s="4" t="s">
        <x:v>304</x:v>
      </x:c>
      <x:c r="H20" s="51" t="s">
        <x:v>829</x:v>
      </x:c>
    </x:row>
    <x:row r="21" ht="24" customHeight="1">
      <x:c r="G21" s="4" t="s">
        <x:v>166</x:v>
      </x:c>
      <x:c r="H21" s="51" t="s">
        <x:v>829</x:v>
      </x:c>
    </x:row>
    <x:row r="22" ht="24" customHeight="1">
      <x:c r="G22" s="4" t="s">
        <x:v>63</x:v>
      </x:c>
      <x:c r="H22" s="51" t="s">
        <x:v>829</x:v>
      </x:c>
    </x:row>
    <x:row r="23" ht="24" customHeight="1">
      <x:c r="G23" s="4" t="s">
        <x:v>23</x:v>
      </x:c>
      <x:c r="H23" s="51" t="s">
        <x:v>831</x:v>
      </x:c>
    </x:row>
    <x:row r="24" ht="24" customHeight="1">
      <x:c r="G24" s="4" t="s">
        <x:v>25</x:v>
      </x:c>
      <x:c r="H24" s="51" t="s">
        <x:v>829</x:v>
      </x:c>
    </x:row>
    <x:row r="25" ht="24" customHeight="1">
      <x:c r="G25" s="4" t="s">
        <x:v>50</x:v>
      </x:c>
      <x:c r="H25" s="51" t="s">
        <x:v>831</x:v>
      </x:c>
    </x:row>
    <x:row r="26" ht="24" customHeight="1">
      <x:c r="G26" s="4" t="s">
        <x:v>439</x:v>
      </x:c>
      <x:c r="H26" s="51" t="s">
        <x:v>829</x:v>
      </x:c>
    </x:row>
    <x:row r="27" ht="24" customHeight="1">
      <x:c r="G27" s="4" t="s">
        <x:v>422</x:v>
      </x:c>
      <x:c r="H27" s="51" t="s">
        <x:v>829</x:v>
      </x:c>
    </x:row>
    <x:row r="28" ht="24" customHeight="1">
      <x:c r="G28" s="4" t="s">
        <x:v>128</x:v>
      </x:c>
      <x:c r="H28" s="51" t="s">
        <x:v>829</x:v>
      </x:c>
    </x:row>
    <x:row r="29" ht="24" customHeight="1">
      <x:c r="G29" s="4" t="s">
        <x:v>323</x:v>
      </x:c>
      <x:c r="H29" s="51" t="s">
        <x:v>831</x:v>
      </x:c>
    </x:row>
    <x:row r="30" ht="24" customHeight="1">
      <x:c r="G30" s="4" t="s">
        <x:v>286</x:v>
      </x:c>
      <x:c r="H30" s="51" t="s">
        <x:v>829</x:v>
      </x:c>
    </x:row>
    <x:row r="31" ht="24" customHeight="1">
      <x:c r="G31" s="4" t="s">
        <x:v>564</x:v>
      </x:c>
      <x:c r="H31" s="51" t="s">
        <x:v>829</x:v>
      </x:c>
    </x:row>
    <x:row r="32" ht="24" customHeight="1">
      <x:c r="G32" s="4" t="s">
        <x:v>53</x:v>
      </x:c>
      <x:c r="H32" s="51" t="s">
        <x:v>829</x:v>
      </x:c>
    </x:row>
    <x:row r="33" ht="24" customHeight="1">
      <x:c r="G33" s="4" t="s">
        <x:v>32</x:v>
      </x:c>
      <x:c r="H33" s="51" t="s">
        <x:v>829</x:v>
      </x:c>
    </x:row>
    <x:row r="34" ht="24" customHeight="1">
      <x:c r="G34" s="4" t="s">
        <x:v>282</x:v>
      </x:c>
      <x:c r="H34" s="51" t="s">
        <x:v>829</x:v>
      </x:c>
    </x:row>
    <x:row r="35" ht="24" customHeight="1">
      <x:c r="G35" s="4" t="s">
        <x:v>134</x:v>
      </x:c>
      <x:c r="H35" s="51" t="s">
        <x:v>829</x:v>
      </x:c>
    </x:row>
  </x:sheetData>
  <x:mergeCells>
    <x:mergeCell ref="A1:B1"/>
    <x:mergeCell ref="D1:E1"/>
    <x:mergeCell ref="G1:H1"/>
  </x:mergeCells>
  <x:dataValidations count="1">
    <x:dataValidation type="list" sqref="H4:H35">
      <x:formula1>$D$4:$D$25</x:formula1>
    </x:dataValidation>
  </x:dataValidations>
  <x:pageMargins left="0.7" right="0.7" top="0.75" bottom="0.75" header="0.3" footer="0.3"/>
  <x:tableParts count="2">
    <x:tablePart xmlns:r="http://schemas.openxmlformats.org/officeDocument/2006/relationships" r:id="Re4152070316f4f9d"/>
    <x:tablePart xmlns:r="http://schemas.openxmlformats.org/officeDocument/2006/relationships" r:id="R1b23ce31576c4f44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18" customWidth="1"/>
    <x:col min="2" max="2" width="16" customWidth="1"/>
    <x:col min="3" max="3" width="30" customWidth="1"/>
    <x:col min="4" max="4" width="52" customWidth="1"/>
    <x:col min="5" max="6" width="16" customWidth="1"/>
    <x:col min="7" max="8" width="17" customWidth="1"/>
    <x:col min="9" max="9" width="46" customWidth="1"/>
    <x:col min="10" max="10" width="28" customWidth="1"/>
  </x:cols>
  <x:sheetData>
    <x:row r="1" ht="24" customHeight="1">
      <x:c r="A1" s="39" t="s">
        <x:v>824</x:v>
      </x:c>
      <x:c r="B1" s="39" t="s">
        <x:v>823</x:v>
      </x:c>
      <x:c r="C1" s="39" t="s">
        <x:v>837</x:v>
      </x:c>
      <x:c r="D1" s="39" t="s">
        <x:v>838</x:v>
      </x:c>
      <x:c r="E1" s="39" t="s">
        <x:v>798</x:v>
      </x:c>
      <x:c r="F1" s="39" t="s">
        <x:v>800</x:v>
      </x:c>
      <x:c r="G1" s="39" t="s">
        <x:v>839</x:v>
      </x:c>
      <x:c r="H1" s="39" t="s">
        <x:v>840</x:v>
      </x:c>
      <x:c r="I1" s="48" t="s">
        <x:v>841</x:v>
      </x:c>
      <x:c r="J1" s="52" t="s">
        <x:v>842</x:v>
      </x:c>
    </x:row>
    <x:row r="2" ht="24" customHeight="1">
      <x:c r="A2" s="40" t="s">
        <x:v>829</x:v>
      </x:c>
      <x:c r="B2" s="40" t="s">
        <x:v>828</x:v>
      </x:c>
      <x:c r="C2" s="40"/>
      <x:c r="D2" s="40" t="s">
        <x:v>843</x:v>
      </x:c>
      <x:c r="E2" s="40" t="s">
        <x:v>844</x:v>
      </x:c>
      <x:c r="F2" s="40" t="s">
        <x:v>801</x:v>
      </x:c>
      <x:c r="G2" s="40" t="s">
        <x:v>845</x:v>
      </x:c>
      <x:c r="H2" s="40">
        <x:v>1</x:v>
      </x:c>
      <x:c r="I2" s="49" t="s">
        <x:v>846</x:v>
      </x:c>
      <x:c r="J2" s="53" t="s">
        <x:v>847</x:v>
      </x:c>
    </x:row>
    <x:row r="3" ht="24" customHeight="1">
      <x:c r="A3" s="41" t="s">
        <x:v>829</x:v>
      </x:c>
      <x:c r="B3" s="41" t="s">
        <x:v>836</x:v>
      </x:c>
      <x:c r="C3" s="41"/>
      <x:c r="D3" s="41" t="s">
        <x:v>848</x:v>
      </x:c>
      <x:c r="E3" s="41" t="s">
        <x:v>844</x:v>
      </x:c>
      <x:c r="F3" s="41" t="s">
        <x:v>801</x:v>
      </x:c>
      <x:c r="G3" s="41" t="s">
        <x:v>845</x:v>
      </x:c>
      <x:c r="H3" s="41">
        <x:v>2</x:v>
      </x:c>
      <x:c r="I3" s="49" t="s">
        <x:v>846</x:v>
      </x:c>
      <x:c r="J3" s="53" t="s">
        <x:v>849</x:v>
      </x:c>
    </x:row>
    <x:row r="4" ht="24" customHeight="1">
      <x:c r="A4" s="41" t="s">
        <x:v>831</x:v>
      </x:c>
      <x:c r="B4" s="41" t="s">
        <x:v>828</x:v>
      </x:c>
      <x:c r="C4" s="41"/>
      <x:c r="D4" s="41" t="s">
        <x:v>843</x:v>
      </x:c>
      <x:c r="E4" s="41" t="s">
        <x:v>850</x:v>
      </x:c>
      <x:c r="F4" s="41" t="s">
        <x:v>851</x:v>
      </x:c>
      <x:c r="G4" s="41" t="s">
        <x:v>845</x:v>
      </x:c>
      <x:c r="H4" s="41">
        <x:v>3</x:v>
      </x:c>
      <x:c r="I4" s="49" t="s">
        <x:v>852</x:v>
      </x:c>
      <x:c r="J4" s="53" t="s">
        <x:v>853</x:v>
      </x:c>
    </x:row>
    <x:row r="5" ht="24" customHeight="1">
      <x:c r="A5" s="41" t="s">
        <x:v>831</x:v>
      </x:c>
      <x:c r="B5" s="41" t="s">
        <x:v>836</x:v>
      </x:c>
      <x:c r="C5" s="41"/>
      <x:c r="D5" s="41" t="s">
        <x:v>848</x:v>
      </x:c>
      <x:c r="E5" s="41" t="s">
        <x:v>850</x:v>
      </x:c>
      <x:c r="F5" s="41" t="s">
        <x:v>851</x:v>
      </x:c>
      <x:c r="G5" s="41" t="s">
        <x:v>845</x:v>
      </x:c>
      <x:c r="H5" s="41">
        <x:v>4</x:v>
      </x:c>
      <x:c r="I5" s="49" t="s">
        <x:v>852</x:v>
      </x:c>
      <x:c r="J5" s="53" t="s">
        <x:v>853</x:v>
      </x:c>
    </x:row>
    <x:row r="6" ht="27.950000762939453" customHeight="1">
      <x:c r="A6" s="41"/>
      <x:c r="B6" s="41"/>
      <x:c r="C6" s="41"/>
      <x:c r="D6" s="41"/>
      <x:c r="E6" s="41"/>
      <x:c r="F6" s="41"/>
      <x:c r="G6" s="41"/>
      <x:c r="H6" s="41"/>
    </x:row>
    <x:row r="7" ht="27.950000762939453" customHeight="1">
      <x:c r="A7" s="41"/>
      <x:c r="B7" s="41"/>
      <x:c r="C7" s="41"/>
      <x:c r="D7" s="41"/>
      <x:c r="E7" s="41"/>
      <x:c r="F7" s="41"/>
      <x:c r="G7" s="41"/>
      <x:c r="H7" s="41"/>
    </x:row>
    <x:row r="8" ht="27.950000762939453" customHeight="1">
      <x:c r="A8" s="41"/>
      <x:c r="B8" s="41"/>
      <x:c r="C8" s="41"/>
      <x:c r="D8" s="41"/>
      <x:c r="E8" s="41"/>
      <x:c r="F8" s="41"/>
      <x:c r="G8" s="41"/>
      <x:c r="H8" s="41"/>
    </x:row>
    <x:row r="9" ht="27.950000762939453" customHeight="1">
      <x:c r="A9" s="41"/>
      <x:c r="B9" s="41"/>
      <x:c r="C9" s="41"/>
      <x:c r="D9" s="41"/>
      <x:c r="E9" s="41"/>
      <x:c r="F9" s="41"/>
      <x:c r="G9" s="41"/>
      <x:c r="H9" s="41"/>
    </x:row>
    <x:row r="10" ht="27.950000762939453" customHeight="1">
      <x:c r="A10" s="41"/>
      <x:c r="B10" s="41"/>
      <x:c r="C10" s="41"/>
      <x:c r="D10" s="41"/>
      <x:c r="E10" s="41"/>
      <x:c r="F10" s="41"/>
      <x:c r="G10" s="41"/>
      <x:c r="H10" s="41"/>
    </x:row>
    <x:row r="11" ht="27.950000762939453" customHeight="1">
      <x:c r="A11" s="41"/>
      <x:c r="B11" s="41"/>
      <x:c r="C11" s="41"/>
      <x:c r="D11" s="41"/>
      <x:c r="E11" s="41"/>
      <x:c r="F11" s="41"/>
      <x:c r="G11" s="41"/>
      <x:c r="H11" s="41"/>
    </x:row>
    <x:row r="12" ht="27.950000762939453" customHeight="1">
      <x:c r="A12" s="41"/>
      <x:c r="B12" s="41"/>
      <x:c r="C12" s="41"/>
      <x:c r="D12" s="41"/>
      <x:c r="E12" s="41"/>
      <x:c r="F12" s="41"/>
      <x:c r="G12" s="41"/>
      <x:c r="H12" s="41"/>
    </x:row>
    <x:row r="13" ht="27.950000762939453" customHeight="1">
      <x:c r="A13" s="41"/>
      <x:c r="B13" s="41"/>
      <x:c r="C13" s="41"/>
      <x:c r="D13" s="41"/>
      <x:c r="E13" s="41"/>
      <x:c r="F13" s="41"/>
      <x:c r="G13" s="41"/>
      <x:c r="H13" s="41"/>
    </x:row>
    <x:row r="14" ht="27.950000762939453" customHeight="1">
      <x:c r="A14" s="41"/>
      <x:c r="B14" s="41"/>
      <x:c r="C14" s="41"/>
      <x:c r="D14" s="41"/>
      <x:c r="E14" s="41"/>
      <x:c r="F14" s="41"/>
      <x:c r="G14" s="41"/>
      <x:c r="H14" s="41"/>
    </x:row>
    <x:row r="15" ht="27.950000762939453" customHeight="1">
      <x:c r="A15" s="41"/>
      <x:c r="B15" s="41"/>
      <x:c r="C15" s="41"/>
      <x:c r="D15" s="41"/>
      <x:c r="E15" s="41"/>
      <x:c r="F15" s="41"/>
      <x:c r="G15" s="41"/>
      <x:c r="H15" s="41"/>
    </x:row>
    <x:row r="16" ht="27.950000762939453" customHeight="1">
      <x:c r="A16" s="41"/>
      <x:c r="B16" s="41"/>
      <x:c r="C16" s="41"/>
      <x:c r="D16" s="41"/>
      <x:c r="E16" s="41"/>
      <x:c r="F16" s="41"/>
      <x:c r="G16" s="41"/>
      <x:c r="H16" s="41"/>
    </x:row>
    <x:row r="17" ht="27.950000762939453" customHeight="1">
      <x:c r="A17" s="41"/>
      <x:c r="B17" s="41"/>
      <x:c r="C17" s="41"/>
      <x:c r="D17" s="41"/>
      <x:c r="E17" s="41"/>
      <x:c r="F17" s="41"/>
      <x:c r="G17" s="41"/>
      <x:c r="H17" s="41"/>
    </x:row>
    <x:row r="18" ht="27.950000762939453" customHeight="1">
      <x:c r="A18" s="41"/>
      <x:c r="B18" s="41"/>
      <x:c r="C18" s="41"/>
      <x:c r="D18" s="41"/>
      <x:c r="E18" s="41"/>
      <x:c r="F18" s="41"/>
      <x:c r="G18" s="41"/>
      <x:c r="H18" s="41"/>
    </x:row>
    <x:row r="19" ht="27.950000762939453" customHeight="1">
      <x:c r="A19" s="41"/>
      <x:c r="B19" s="41"/>
      <x:c r="C19" s="41"/>
      <x:c r="D19" s="41"/>
      <x:c r="E19" s="41"/>
      <x:c r="F19" s="41"/>
      <x:c r="G19" s="41"/>
      <x:c r="H19" s="41"/>
    </x:row>
    <x:row r="20" ht="27.950000762939453" customHeight="1">
      <x:c r="A20" s="42"/>
      <x:c r="B20" s="42"/>
      <x:c r="C20" s="42"/>
      <x:c r="D20" s="42"/>
      <x:c r="E20" s="42"/>
      <x:c r="F20" s="42"/>
      <x:c r="G20" s="42"/>
      <x:c r="H20" s="42"/>
    </x:row>
  </x:sheetData>
  <x:dataValidations count="3">
    <x:dataValidation type="list" sqref="G2:G20">
      <x:formula1>"Evet,Hayır"</x:formula1>
    </x:dataValidation>
    <x:dataValidation type="list" sqref="B2:B20">
      <x:formula1>"Ortaokul,Lise"</x:formula1>
    </x:dataValidation>
    <x:dataValidation type="list" sqref="J2:J100">
      <x:formula1>"Yok,kitabevi-1 | Ortaokul,kitabevi-1 | Lise,kitabevi-2 | Ortaokul,kitabevi-2 | Lise"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33c4f020f134b8e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18" customWidth="1"/>
    <x:col min="2" max="2" width="16" customWidth="1"/>
    <x:col min="3" max="3" width="30" customWidth="1"/>
    <x:col min="4" max="4" width="22" customWidth="1"/>
    <x:col min="5" max="5" width="16" customWidth="1"/>
  </x:cols>
  <x:sheetData>
    <x:row r="1" ht="32.099998474121094" customHeight="1">
      <x:c r="A1" s="43" t="s">
        <x:v>824</x:v>
      </x:c>
      <x:c r="B1" s="43" t="s">
        <x:v>823</x:v>
      </x:c>
      <x:c r="C1" s="43" t="s">
        <x:v>854</x:v>
      </x:c>
      <x:c r="D1" s="43" t="s">
        <x:v>855</x:v>
      </x:c>
      <x:c r="E1" s="43" t="s">
        <x:v>856</x:v>
      </x:c>
    </x:row>
    <x:row r="2" ht="26.100000381469727" customHeight="1">
      <x:c r="A2" s="40" t="s">
        <x:v>829</x:v>
      </x:c>
      <x:c r="B2" s="40" t="s">
        <x:v>828</x:v>
      </x:c>
      <x:c r="C2" s="40" t="s">
        <x:v>857</x:v>
      </x:c>
      <x:c r="D2" s="44" t="s">
        <x:v>858</x:v>
      </x:c>
      <x:c r="E2" s="40" t="s">
        <x:v>845</x:v>
      </x:c>
    </x:row>
    <x:row r="3" ht="26.100000381469727" customHeight="1">
      <x:c r="A3" s="41" t="s">
        <x:v>829</x:v>
      </x:c>
      <x:c r="B3" s="41" t="s">
        <x:v>828</x:v>
      </x:c>
      <x:c r="C3" s="41" t="s">
        <x:v>859</x:v>
      </x:c>
      <x:c r="D3" s="45" t="s">
        <x:v>860</x:v>
      </x:c>
      <x:c r="E3" s="41" t="s">
        <x:v>845</x:v>
      </x:c>
    </x:row>
    <x:row r="4" ht="26.100000381469727" customHeight="1">
      <x:c r="A4" s="41" t="s">
        <x:v>829</x:v>
      </x:c>
      <x:c r="B4" s="41" t="s">
        <x:v>836</x:v>
      </x:c>
      <x:c r="C4" s="40" t="s">
        <x:v>857</x:v>
      </x:c>
      <x:c r="D4" s="44" t="s">
        <x:v>858</x:v>
      </x:c>
      <x:c r="E4" s="41" t="s">
        <x:v>845</x:v>
      </x:c>
    </x:row>
    <x:row r="5" ht="26.100000381469727" customHeight="1">
      <x:c r="A5" s="41" t="s">
        <x:v>829</x:v>
      </x:c>
      <x:c r="B5" s="41" t="s">
        <x:v>836</x:v>
      </x:c>
      <x:c r="C5" s="41" t="s">
        <x:v>859</x:v>
      </x:c>
      <x:c r="D5" s="45" t="s">
        <x:v>860</x:v>
      </x:c>
      <x:c r="E5" s="41" t="s">
        <x:v>845</x:v>
      </x:c>
    </x:row>
    <x:row r="6" ht="26.100000381469727" customHeight="1">
      <x:c r="A6" s="41" t="s">
        <x:v>831</x:v>
      </x:c>
      <x:c r="B6" s="41" t="s">
        <x:v>828</x:v>
      </x:c>
      <x:c r="C6" s="41" t="s">
        <x:v>861</x:v>
      </x:c>
      <x:c r="D6" s="45" t="s">
        <x:v>862</x:v>
      </x:c>
      <x:c r="E6" s="41" t="s">
        <x:v>845</x:v>
      </x:c>
    </x:row>
    <x:row r="7" ht="26.100000381469727" customHeight="1">
      <x:c r="A7" s="41" t="s">
        <x:v>831</x:v>
      </x:c>
      <x:c r="B7" s="41" t="s">
        <x:v>828</x:v>
      </x:c>
      <x:c r="C7" s="41"/>
      <x:c r="D7" s="45"/>
      <x:c r="E7" s="41" t="s">
        <x:v>845</x:v>
      </x:c>
    </x:row>
    <x:row r="8" ht="26.100000381469727" customHeight="1">
      <x:c r="A8" s="41" t="s">
        <x:v>831</x:v>
      </x:c>
      <x:c r="B8" s="41" t="s">
        <x:v>836</x:v>
      </x:c>
      <x:c r="C8" s="41" t="s">
        <x:v>861</x:v>
      </x:c>
      <x:c r="D8" s="45" t="s">
        <x:v>862</x:v>
      </x:c>
      <x:c r="E8" s="41" t="s">
        <x:v>845</x:v>
      </x:c>
    </x:row>
    <x:row r="9" ht="26.100000381469727" customHeight="1">
      <x:c r="A9" s="41" t="s">
        <x:v>831</x:v>
      </x:c>
      <x:c r="B9" s="41" t="s">
        <x:v>836</x:v>
      </x:c>
      <x:c r="C9" s="41"/>
      <x:c r="D9" s="45"/>
      <x:c r="E9" s="41" t="s">
        <x:v>845</x:v>
      </x:c>
    </x:row>
    <x:row r="10" ht="26.100000381469727" customHeight="1">
      <x:c r="A10" s="41"/>
      <x:c r="B10" s="41"/>
      <x:c r="C10" s="41"/>
      <x:c r="D10" s="45"/>
      <x:c r="E10" s="41"/>
    </x:row>
    <x:row r="11" ht="26.100000381469727" customHeight="1">
      <x:c r="A11" s="41"/>
      <x:c r="B11" s="41"/>
      <x:c r="C11" s="41"/>
      <x:c r="D11" s="45"/>
      <x:c r="E11" s="41"/>
    </x:row>
    <x:row r="12" ht="26.100000381469727" customHeight="1">
      <x:c r="A12" s="41"/>
      <x:c r="B12" s="41"/>
      <x:c r="C12" s="41"/>
      <x:c r="D12" s="45"/>
      <x:c r="E12" s="41"/>
    </x:row>
    <x:row r="13" ht="26.100000381469727" customHeight="1">
      <x:c r="A13" s="41"/>
      <x:c r="B13" s="41"/>
      <x:c r="C13" s="41"/>
      <x:c r="D13" s="45"/>
      <x:c r="E13" s="41"/>
    </x:row>
    <x:row r="14" ht="26.100000381469727" customHeight="1">
      <x:c r="A14" s="41"/>
      <x:c r="B14" s="41"/>
      <x:c r="C14" s="41"/>
      <x:c r="D14" s="45"/>
      <x:c r="E14" s="41"/>
    </x:row>
    <x:row r="15" ht="26.100000381469727" customHeight="1">
      <x:c r="A15" s="41"/>
      <x:c r="B15" s="41"/>
      <x:c r="C15" s="41"/>
      <x:c r="D15" s="45"/>
      <x:c r="E15" s="41"/>
    </x:row>
    <x:row r="16" ht="26.100000381469727" customHeight="1">
      <x:c r="A16" s="41"/>
      <x:c r="B16" s="41"/>
      <x:c r="C16" s="41"/>
      <x:c r="D16" s="45"/>
      <x:c r="E16" s="41"/>
    </x:row>
    <x:row r="17" ht="26.100000381469727" customHeight="1">
      <x:c r="A17" s="41"/>
      <x:c r="B17" s="41"/>
      <x:c r="C17" s="41"/>
      <x:c r="D17" s="45"/>
      <x:c r="E17" s="41"/>
    </x:row>
    <x:row r="18" ht="26.100000381469727" customHeight="1">
      <x:c r="A18" s="41"/>
      <x:c r="B18" s="41"/>
      <x:c r="C18" s="41"/>
      <x:c r="D18" s="45"/>
      <x:c r="E18" s="41"/>
    </x:row>
    <x:row r="19" ht="26.100000381469727" customHeight="1">
      <x:c r="A19" s="41"/>
      <x:c r="B19" s="41"/>
      <x:c r="C19" s="41"/>
      <x:c r="D19" s="45"/>
      <x:c r="E19" s="41"/>
    </x:row>
    <x:row r="20" ht="26.100000381469727" customHeight="1">
      <x:c r="A20" s="41"/>
      <x:c r="B20" s="41"/>
      <x:c r="C20" s="41"/>
      <x:c r="D20" s="45"/>
      <x:c r="E20" s="41"/>
    </x:row>
    <x:row r="21" ht="26.100000381469727" customHeight="1">
      <x:c r="A21" s="41"/>
      <x:c r="B21" s="41"/>
      <x:c r="C21" s="41"/>
      <x:c r="D21" s="45"/>
      <x:c r="E21" s="41"/>
    </x:row>
    <x:row r="22" ht="26.100000381469727" customHeight="1">
      <x:c r="A22" s="41"/>
      <x:c r="B22" s="41"/>
      <x:c r="C22" s="41"/>
      <x:c r="D22" s="45"/>
      <x:c r="E22" s="41"/>
    </x:row>
    <x:row r="23" ht="26.100000381469727" customHeight="1">
      <x:c r="A23" s="41"/>
      <x:c r="B23" s="41"/>
      <x:c r="C23" s="41"/>
      <x:c r="D23" s="45"/>
      <x:c r="E23" s="41"/>
    </x:row>
    <x:row r="24" ht="26.100000381469727" customHeight="1">
      <x:c r="A24" s="41"/>
      <x:c r="B24" s="41"/>
      <x:c r="C24" s="41"/>
      <x:c r="D24" s="45"/>
      <x:c r="E24" s="41"/>
    </x:row>
    <x:row r="25" ht="26.100000381469727" customHeight="1">
      <x:c r="A25" s="41"/>
      <x:c r="B25" s="41"/>
      <x:c r="C25" s="41"/>
      <x:c r="D25" s="45"/>
      <x:c r="E25" s="41"/>
    </x:row>
    <x:row r="26" ht="26.100000381469727" customHeight="1">
      <x:c r="A26" s="41"/>
      <x:c r="B26" s="41"/>
      <x:c r="C26" s="41"/>
      <x:c r="D26" s="45"/>
      <x:c r="E26" s="41"/>
    </x:row>
    <x:row r="27" ht="26.100000381469727" customHeight="1">
      <x:c r="A27" s="41"/>
      <x:c r="B27" s="41"/>
      <x:c r="C27" s="41"/>
      <x:c r="D27" s="45"/>
      <x:c r="E27" s="41"/>
    </x:row>
    <x:row r="28" ht="26.100000381469727" customHeight="1">
      <x:c r="A28" s="41"/>
      <x:c r="B28" s="41"/>
      <x:c r="C28" s="41"/>
      <x:c r="D28" s="45"/>
      <x:c r="E28" s="41"/>
    </x:row>
    <x:row r="29" ht="26.100000381469727" customHeight="1">
      <x:c r="A29" s="41"/>
      <x:c r="B29" s="41"/>
      <x:c r="C29" s="41"/>
      <x:c r="D29" s="45"/>
      <x:c r="E29" s="41"/>
    </x:row>
    <x:row r="30" ht="26.100000381469727" customHeight="1">
      <x:c r="A30" s="41"/>
      <x:c r="B30" s="41"/>
      <x:c r="C30" s="41"/>
      <x:c r="D30" s="45"/>
      <x:c r="E30" s="41"/>
    </x:row>
    <x:row r="31" ht="26.100000381469727" customHeight="1">
      <x:c r="A31" s="41"/>
      <x:c r="B31" s="41"/>
      <x:c r="C31" s="41"/>
      <x:c r="D31" s="45"/>
      <x:c r="E31" s="41"/>
    </x:row>
    <x:row r="32" ht="26.100000381469727" customHeight="1">
      <x:c r="A32" s="41"/>
      <x:c r="B32" s="41"/>
      <x:c r="C32" s="41"/>
      <x:c r="D32" s="45"/>
      <x:c r="E32" s="41"/>
    </x:row>
    <x:row r="33" ht="26.100000381469727" customHeight="1">
      <x:c r="A33" s="41"/>
      <x:c r="B33" s="41"/>
      <x:c r="C33" s="41"/>
      <x:c r="D33" s="45"/>
      <x:c r="E33" s="41"/>
    </x:row>
    <x:row r="34" ht="26.100000381469727" customHeight="1">
      <x:c r="A34" s="41"/>
      <x:c r="B34" s="41"/>
      <x:c r="C34" s="41"/>
      <x:c r="D34" s="45"/>
      <x:c r="E34" s="41"/>
    </x:row>
    <x:row r="35" ht="26.100000381469727" customHeight="1">
      <x:c r="A35" s="41"/>
      <x:c r="B35" s="41"/>
      <x:c r="C35" s="41"/>
      <x:c r="D35" s="45"/>
      <x:c r="E35" s="41"/>
    </x:row>
    <x:row r="36" ht="26.100000381469727" customHeight="1">
      <x:c r="A36" s="41"/>
      <x:c r="B36" s="41"/>
      <x:c r="C36" s="41"/>
      <x:c r="D36" s="45"/>
      <x:c r="E36" s="41"/>
    </x:row>
    <x:row r="37" ht="26.100000381469727" customHeight="1">
      <x:c r="A37" s="41"/>
      <x:c r="B37" s="41"/>
      <x:c r="C37" s="41"/>
      <x:c r="D37" s="45"/>
      <x:c r="E37" s="41"/>
    </x:row>
    <x:row r="38" ht="26.100000381469727" customHeight="1">
      <x:c r="A38" s="41"/>
      <x:c r="B38" s="41"/>
      <x:c r="C38" s="41"/>
      <x:c r="D38" s="45"/>
      <x:c r="E38" s="41"/>
    </x:row>
    <x:row r="39" ht="26.100000381469727" customHeight="1">
      <x:c r="A39" s="41"/>
      <x:c r="B39" s="41"/>
      <x:c r="C39" s="41"/>
      <x:c r="D39" s="45"/>
      <x:c r="E39" s="41"/>
    </x:row>
    <x:row r="40" ht="26.100000381469727" customHeight="1">
      <x:c r="A40" s="42"/>
      <x:c r="B40" s="42"/>
      <x:c r="C40" s="42"/>
      <x:c r="D40" s="46"/>
      <x:c r="E40" s="42"/>
    </x:row>
  </x:sheetData>
  <x:dataValidations count="2">
    <x:dataValidation type="list" sqref="B2:B40">
      <x:formula1>"Ortaokul,Lise"</x:formula1>
    </x:dataValidation>
    <x:dataValidation type="list" sqref="E2:E40">
      <x:formula1>"Evet,Hayır"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21ed446144641d7"/>
  </x:tableParts>
</x:worksheet>
</file>